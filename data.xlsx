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371e44d70ce7d1c/سطح المكتب/"/>
    </mc:Choice>
  </mc:AlternateContent>
  <xr:revisionPtr revIDLastSave="18" documentId="13_ncr:1_{D1D432C5-03A8-4B28-BCEA-68985ADC14D3}" xr6:coauthVersionLast="47" xr6:coauthVersionMax="47" xr10:uidLastSave="{38B85E06-9A3E-4084-BD29-FC08AE121915}"/>
  <bookViews>
    <workbookView xWindow="-120" yWindow="-120" windowWidth="29040" windowHeight="15720" activeTab="1" xr2:uid="{00000000-000D-0000-FFFF-FFFF00000000}"/>
  </bookViews>
  <sheets>
    <sheet name="شيت" sheetId="1" r:id="rId1"/>
    <sheet name="جداول" sheetId="2" r:id="rId2"/>
    <sheet name="الاحصائيات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3" i="1" l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164" i="1"/>
  <c r="AF163" i="1"/>
  <c r="AF166" i="1"/>
  <c r="AF176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2" i="1"/>
  <c r="AF3" i="1"/>
  <c r="AF77" i="1"/>
  <c r="AF78" i="1"/>
  <c r="AF79" i="1"/>
  <c r="AF80" i="1"/>
  <c r="AF81" i="1"/>
  <c r="AF82" i="1"/>
  <c r="AF4" i="1"/>
  <c r="AF83" i="1"/>
  <c r="AF84" i="1"/>
  <c r="AF85" i="1"/>
  <c r="AF86" i="1"/>
  <c r="AF87" i="1"/>
  <c r="AF88" i="1"/>
  <c r="AF89" i="1"/>
  <c r="AF90" i="1"/>
  <c r="AF91" i="1"/>
  <c r="AF92" i="1"/>
  <c r="AF5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6" i="1"/>
  <c r="AF110" i="1"/>
  <c r="AF7" i="1"/>
  <c r="AF111" i="1"/>
  <c r="AF112" i="1"/>
  <c r="AF8" i="1"/>
  <c r="AF113" i="1"/>
  <c r="AF114" i="1"/>
  <c r="AF115" i="1"/>
  <c r="AF116" i="1"/>
  <c r="AF117" i="1"/>
  <c r="AF9" i="1"/>
  <c r="AF118" i="1"/>
  <c r="AF119" i="1"/>
  <c r="AF120" i="1"/>
  <c r="AF121" i="1"/>
  <c r="AF122" i="1"/>
  <c r="AF123" i="1"/>
  <c r="AF124" i="1"/>
  <c r="AF125" i="1"/>
  <c r="AF10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5" i="1"/>
  <c r="AF167" i="1"/>
  <c r="AF168" i="1"/>
  <c r="AF169" i="1"/>
  <c r="AF170" i="1"/>
  <c r="AF171" i="1"/>
  <c r="AF172" i="1"/>
  <c r="AF173" i="1"/>
  <c r="AF174" i="1"/>
  <c r="AF175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1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12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1120" i="2" l="1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18" i="2"/>
  <c r="A1119" i="2"/>
  <c r="A1113" i="2"/>
  <c r="A1114" i="2"/>
  <c r="A1115" i="2"/>
  <c r="A1116" i="2"/>
  <c r="A1117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C34" i="1"/>
  <c r="AC35" i="1"/>
  <c r="AC36" i="1"/>
  <c r="AC37" i="1"/>
  <c r="AC38" i="1"/>
  <c r="AC39" i="1"/>
  <c r="AC40" i="1"/>
  <c r="AC41" i="1"/>
  <c r="AC42" i="1"/>
  <c r="AI42" i="1" s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I58" i="1" s="1"/>
  <c r="AC59" i="1"/>
  <c r="AC60" i="1"/>
  <c r="AC61" i="1"/>
  <c r="AC62" i="1"/>
  <c r="AC63" i="1"/>
  <c r="AC64" i="1"/>
  <c r="AC65" i="1"/>
  <c r="AC66" i="1"/>
  <c r="AC67" i="1"/>
  <c r="AI67" i="1" s="1"/>
  <c r="AC68" i="1"/>
  <c r="AC69" i="1"/>
  <c r="AC70" i="1"/>
  <c r="AC71" i="1"/>
  <c r="AC72" i="1"/>
  <c r="AC73" i="1"/>
  <c r="AC74" i="1"/>
  <c r="AC75" i="1"/>
  <c r="AI75" i="1" s="1"/>
  <c r="AC76" i="1"/>
  <c r="AC2" i="1"/>
  <c r="AC3" i="1"/>
  <c r="AC77" i="1"/>
  <c r="AC78" i="1"/>
  <c r="AC79" i="1"/>
  <c r="AC80" i="1"/>
  <c r="AC81" i="1"/>
  <c r="AI81" i="1" s="1"/>
  <c r="AC82" i="1"/>
  <c r="AC4" i="1"/>
  <c r="AC83" i="1"/>
  <c r="AC84" i="1"/>
  <c r="AC85" i="1"/>
  <c r="AC86" i="1"/>
  <c r="AC87" i="1"/>
  <c r="AC88" i="1"/>
  <c r="AI88" i="1" s="1"/>
  <c r="AC89" i="1"/>
  <c r="AC90" i="1"/>
  <c r="AC91" i="1"/>
  <c r="AC92" i="1"/>
  <c r="AC5" i="1"/>
  <c r="AC93" i="1"/>
  <c r="AH93" i="1" s="1"/>
  <c r="AC94" i="1"/>
  <c r="AC95" i="1"/>
  <c r="AI95" i="1" s="1"/>
  <c r="AC96" i="1"/>
  <c r="AC97" i="1"/>
  <c r="AC98" i="1"/>
  <c r="AC99" i="1"/>
  <c r="AC100" i="1"/>
  <c r="AC101" i="1"/>
  <c r="AC102" i="1"/>
  <c r="AC103" i="1"/>
  <c r="AI103" i="1" s="1"/>
  <c r="AC104" i="1"/>
  <c r="AC105" i="1"/>
  <c r="AC106" i="1"/>
  <c r="AC107" i="1"/>
  <c r="AC108" i="1"/>
  <c r="AC109" i="1"/>
  <c r="AC6" i="1"/>
  <c r="AC110" i="1"/>
  <c r="AI110" i="1" s="1"/>
  <c r="AC7" i="1"/>
  <c r="AC111" i="1"/>
  <c r="AC112" i="1"/>
  <c r="AC8" i="1"/>
  <c r="AC113" i="1"/>
  <c r="AC114" i="1"/>
  <c r="AC115" i="1"/>
  <c r="AC116" i="1"/>
  <c r="AI116" i="1" s="1"/>
  <c r="AC117" i="1"/>
  <c r="AC9" i="1"/>
  <c r="AC118" i="1"/>
  <c r="AC119" i="1"/>
  <c r="AC120" i="1"/>
  <c r="AC121" i="1"/>
  <c r="AC122" i="1"/>
  <c r="AC123" i="1"/>
  <c r="AI123" i="1" s="1"/>
  <c r="AC124" i="1"/>
  <c r="AC125" i="1"/>
  <c r="AC10" i="1"/>
  <c r="AC126" i="1"/>
  <c r="AC127" i="1"/>
  <c r="AC128" i="1"/>
  <c r="AC129" i="1"/>
  <c r="AC130" i="1"/>
  <c r="AI130" i="1" s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I146" i="1" s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I178" i="1" s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1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I205" i="1" s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I227" i="1" s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12" i="1"/>
  <c r="AC242" i="1"/>
  <c r="AC243" i="1"/>
  <c r="AC244" i="1"/>
  <c r="AC245" i="1"/>
  <c r="AC246" i="1"/>
  <c r="AC247" i="1"/>
  <c r="AI247" i="1" s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I268" i="1" s="1"/>
  <c r="AC269" i="1"/>
  <c r="AC270" i="1"/>
  <c r="AC271" i="1"/>
  <c r="AC272" i="1"/>
  <c r="AC273" i="1"/>
  <c r="AC274" i="1"/>
  <c r="AC275" i="1"/>
  <c r="AC276" i="1"/>
  <c r="AC277" i="1"/>
  <c r="AC278" i="1"/>
  <c r="AH278" i="1" s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I290" i="1" s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I310" i="1" s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I326" i="1" s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I342" i="1" s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I358" i="1" s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I374" i="1" s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I390" i="1" s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I406" i="1" s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13" i="1"/>
  <c r="AI13" i="1" s="1"/>
  <c r="AC14" i="1"/>
  <c r="AC15" i="1"/>
  <c r="AC16" i="1"/>
  <c r="AC17" i="1"/>
  <c r="AC18" i="1"/>
  <c r="AC19" i="1"/>
  <c r="AC20" i="1"/>
  <c r="AC422" i="1"/>
  <c r="AC423" i="1"/>
  <c r="AC424" i="1"/>
  <c r="AC425" i="1"/>
  <c r="AC426" i="1"/>
  <c r="AC427" i="1"/>
  <c r="AC428" i="1"/>
  <c r="AC429" i="1"/>
  <c r="AC430" i="1"/>
  <c r="AI430" i="1" s="1"/>
  <c r="AC431" i="1"/>
  <c r="AC432" i="1"/>
  <c r="AC433" i="1"/>
  <c r="AC434" i="1"/>
  <c r="AC435" i="1"/>
  <c r="AC436" i="1"/>
  <c r="AC437" i="1"/>
  <c r="AC438" i="1"/>
  <c r="AC439" i="1"/>
  <c r="AC440" i="1"/>
  <c r="AH440" i="1" s="1"/>
  <c r="AC441" i="1"/>
  <c r="AC442" i="1"/>
  <c r="AC443" i="1"/>
  <c r="AC444" i="1"/>
  <c r="AC445" i="1"/>
  <c r="AC446" i="1"/>
  <c r="AI446" i="1" s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I462" i="1" s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I478" i="1" s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I494" i="1" s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21" i="1"/>
  <c r="AC22" i="1"/>
  <c r="AI22" i="1" s="1"/>
  <c r="AC23" i="1"/>
  <c r="AC24" i="1"/>
  <c r="AC25" i="1"/>
  <c r="AC26" i="1"/>
  <c r="AC27" i="1"/>
  <c r="AC28" i="1"/>
  <c r="AC29" i="1"/>
  <c r="AC30" i="1"/>
  <c r="AC31" i="1"/>
  <c r="AC32" i="1"/>
  <c r="AC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2" i="1"/>
  <c r="AB3" i="1"/>
  <c r="AB77" i="1"/>
  <c r="AB78" i="1"/>
  <c r="AB79" i="1"/>
  <c r="AB80" i="1"/>
  <c r="AB81" i="1"/>
  <c r="AB82" i="1"/>
  <c r="AB4" i="1"/>
  <c r="AB83" i="1"/>
  <c r="AB84" i="1"/>
  <c r="AB85" i="1"/>
  <c r="AB86" i="1"/>
  <c r="AB87" i="1"/>
  <c r="AB88" i="1"/>
  <c r="AB89" i="1"/>
  <c r="AB90" i="1"/>
  <c r="AB91" i="1"/>
  <c r="AB92" i="1"/>
  <c r="AB5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6" i="1"/>
  <c r="AB110" i="1"/>
  <c r="AB7" i="1"/>
  <c r="AB111" i="1"/>
  <c r="AB112" i="1"/>
  <c r="AB8" i="1"/>
  <c r="AB113" i="1"/>
  <c r="AB114" i="1"/>
  <c r="AB115" i="1"/>
  <c r="AB116" i="1"/>
  <c r="AB117" i="1"/>
  <c r="AB9" i="1"/>
  <c r="AB118" i="1"/>
  <c r="AB119" i="1"/>
  <c r="AB120" i="1"/>
  <c r="AB121" i="1"/>
  <c r="AB122" i="1"/>
  <c r="AB123" i="1"/>
  <c r="AB124" i="1"/>
  <c r="AB125" i="1"/>
  <c r="AB10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1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12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13" i="1"/>
  <c r="AB14" i="1"/>
  <c r="AB15" i="1"/>
  <c r="AB16" i="1"/>
  <c r="AB17" i="1"/>
  <c r="AB18" i="1"/>
  <c r="AB19" i="1"/>
  <c r="AB20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2" i="1"/>
  <c r="AA3" i="1"/>
  <c r="AA77" i="1"/>
  <c r="AA78" i="1"/>
  <c r="AA79" i="1"/>
  <c r="AA80" i="1"/>
  <c r="AA81" i="1"/>
  <c r="AA82" i="1"/>
  <c r="AA4" i="1"/>
  <c r="AA83" i="1"/>
  <c r="AA84" i="1"/>
  <c r="AA85" i="1"/>
  <c r="AA86" i="1"/>
  <c r="AA87" i="1"/>
  <c r="AA88" i="1"/>
  <c r="AA89" i="1"/>
  <c r="AA90" i="1"/>
  <c r="AA91" i="1"/>
  <c r="AA92" i="1"/>
  <c r="AA5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6" i="1"/>
  <c r="AA110" i="1"/>
  <c r="AA7" i="1"/>
  <c r="AA111" i="1"/>
  <c r="AA112" i="1"/>
  <c r="AA8" i="1"/>
  <c r="AA113" i="1"/>
  <c r="AA114" i="1"/>
  <c r="AA115" i="1"/>
  <c r="AA116" i="1"/>
  <c r="AA117" i="1"/>
  <c r="AA9" i="1"/>
  <c r="AA118" i="1"/>
  <c r="AA119" i="1"/>
  <c r="AA120" i="1"/>
  <c r="AA121" i="1"/>
  <c r="AA122" i="1"/>
  <c r="AA123" i="1"/>
  <c r="AA124" i="1"/>
  <c r="AA125" i="1"/>
  <c r="AA10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1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12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13" i="1"/>
  <c r="AA14" i="1"/>
  <c r="AA15" i="1"/>
  <c r="AA16" i="1"/>
  <c r="AA17" i="1"/>
  <c r="AA18" i="1"/>
  <c r="AA19" i="1"/>
  <c r="AA20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2" i="1"/>
  <c r="Z3" i="1"/>
  <c r="Z77" i="1"/>
  <c r="Z78" i="1"/>
  <c r="Z79" i="1"/>
  <c r="Z80" i="1"/>
  <c r="Z81" i="1"/>
  <c r="Z82" i="1"/>
  <c r="Z4" i="1"/>
  <c r="Z83" i="1"/>
  <c r="Z84" i="1"/>
  <c r="Z85" i="1"/>
  <c r="Z86" i="1"/>
  <c r="Z87" i="1"/>
  <c r="Z88" i="1"/>
  <c r="Z89" i="1"/>
  <c r="Z90" i="1"/>
  <c r="Z91" i="1"/>
  <c r="Z92" i="1"/>
  <c r="Z5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6" i="1"/>
  <c r="Z110" i="1"/>
  <c r="Z7" i="1"/>
  <c r="Z111" i="1"/>
  <c r="Z112" i="1"/>
  <c r="Z8" i="1"/>
  <c r="Z113" i="1"/>
  <c r="Z114" i="1"/>
  <c r="Z115" i="1"/>
  <c r="Z116" i="1"/>
  <c r="Z117" i="1"/>
  <c r="Z9" i="1"/>
  <c r="Z118" i="1"/>
  <c r="Z119" i="1"/>
  <c r="Z120" i="1"/>
  <c r="Z121" i="1"/>
  <c r="Z122" i="1"/>
  <c r="Z123" i="1"/>
  <c r="Z124" i="1"/>
  <c r="Z125" i="1"/>
  <c r="Z10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1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12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13" i="1"/>
  <c r="Z14" i="1"/>
  <c r="Z15" i="1"/>
  <c r="Z16" i="1"/>
  <c r="Z17" i="1"/>
  <c r="Z18" i="1"/>
  <c r="Z19" i="1"/>
  <c r="Z20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AH205" i="1" l="1"/>
  <c r="AE205" i="1" s="1"/>
  <c r="AD205" i="1" s="1"/>
  <c r="AH116" i="1"/>
  <c r="AE116" i="1" s="1"/>
  <c r="AD116" i="1" s="1"/>
  <c r="AH13" i="1"/>
  <c r="AH358" i="1"/>
  <c r="AH88" i="1"/>
  <c r="AE88" i="1" s="1"/>
  <c r="AD88" i="1" s="1"/>
  <c r="AH478" i="1"/>
  <c r="AE478" i="1" s="1"/>
  <c r="AD478" i="1" s="1"/>
  <c r="AH290" i="1"/>
  <c r="AH58" i="1"/>
  <c r="AE58" i="1" s="1"/>
  <c r="AD58" i="1" s="1"/>
  <c r="AI33" i="1"/>
  <c r="AH33" i="1"/>
  <c r="AI29" i="1"/>
  <c r="AH29" i="1"/>
  <c r="AI25" i="1"/>
  <c r="AH25" i="1"/>
  <c r="AI21" i="1"/>
  <c r="AH21" i="1"/>
  <c r="AI505" i="1"/>
  <c r="AH505" i="1"/>
  <c r="AI501" i="1"/>
  <c r="AH501" i="1"/>
  <c r="AI497" i="1"/>
  <c r="AH497" i="1"/>
  <c r="AI493" i="1"/>
  <c r="AH493" i="1"/>
  <c r="AI489" i="1"/>
  <c r="AH489" i="1"/>
  <c r="AI485" i="1"/>
  <c r="AH485" i="1"/>
  <c r="AI481" i="1"/>
  <c r="AH481" i="1"/>
  <c r="AI477" i="1"/>
  <c r="AH477" i="1"/>
  <c r="AI473" i="1"/>
  <c r="AH473" i="1"/>
  <c r="AI469" i="1"/>
  <c r="AH469" i="1"/>
  <c r="AI465" i="1"/>
  <c r="AH465" i="1"/>
  <c r="AI461" i="1"/>
  <c r="AH461" i="1"/>
  <c r="AI457" i="1"/>
  <c r="AH457" i="1"/>
  <c r="AI453" i="1"/>
  <c r="AH453" i="1"/>
  <c r="AI449" i="1"/>
  <c r="AH449" i="1"/>
  <c r="AI445" i="1"/>
  <c r="AH445" i="1"/>
  <c r="AI441" i="1"/>
  <c r="AH441" i="1"/>
  <c r="AI437" i="1"/>
  <c r="AH437" i="1"/>
  <c r="AI433" i="1"/>
  <c r="AH433" i="1"/>
  <c r="AI429" i="1"/>
  <c r="AH429" i="1"/>
  <c r="AI425" i="1"/>
  <c r="AH425" i="1"/>
  <c r="AI20" i="1"/>
  <c r="AH20" i="1"/>
  <c r="AI16" i="1"/>
  <c r="AH16" i="1"/>
  <c r="AI421" i="1"/>
  <c r="AH421" i="1"/>
  <c r="AI417" i="1"/>
  <c r="AH417" i="1"/>
  <c r="AI413" i="1"/>
  <c r="AH413" i="1"/>
  <c r="AI409" i="1"/>
  <c r="AH409" i="1"/>
  <c r="AI405" i="1"/>
  <c r="AH405" i="1"/>
  <c r="AI401" i="1"/>
  <c r="AH401" i="1"/>
  <c r="AI397" i="1"/>
  <c r="AH397" i="1"/>
  <c r="AI393" i="1"/>
  <c r="AH393" i="1"/>
  <c r="AI389" i="1"/>
  <c r="AH389" i="1"/>
  <c r="AI385" i="1"/>
  <c r="AH385" i="1"/>
  <c r="AI381" i="1"/>
  <c r="AH381" i="1"/>
  <c r="AI377" i="1"/>
  <c r="AH377" i="1"/>
  <c r="AI373" i="1"/>
  <c r="AH373" i="1"/>
  <c r="AI369" i="1"/>
  <c r="AH369" i="1"/>
  <c r="AI365" i="1"/>
  <c r="AH365" i="1"/>
  <c r="AI361" i="1"/>
  <c r="AH361" i="1"/>
  <c r="AI357" i="1"/>
  <c r="AH357" i="1"/>
  <c r="AI353" i="1"/>
  <c r="AH353" i="1"/>
  <c r="AI349" i="1"/>
  <c r="AH349" i="1"/>
  <c r="AI345" i="1"/>
  <c r="AH345" i="1"/>
  <c r="AI341" i="1"/>
  <c r="AH341" i="1"/>
  <c r="AI337" i="1"/>
  <c r="AH337" i="1"/>
  <c r="AI333" i="1"/>
  <c r="AH333" i="1"/>
  <c r="AI329" i="1"/>
  <c r="AH329" i="1"/>
  <c r="AI325" i="1"/>
  <c r="AH325" i="1"/>
  <c r="AI321" i="1"/>
  <c r="AH321" i="1"/>
  <c r="AI317" i="1"/>
  <c r="AH317" i="1"/>
  <c r="AI313" i="1"/>
  <c r="AH313" i="1"/>
  <c r="AI309" i="1"/>
  <c r="AH309" i="1"/>
  <c r="AI305" i="1"/>
  <c r="AH305" i="1"/>
  <c r="AI301" i="1"/>
  <c r="AH301" i="1"/>
  <c r="AI297" i="1"/>
  <c r="AH297" i="1"/>
  <c r="AH293" i="1"/>
  <c r="AI293" i="1"/>
  <c r="AI289" i="1"/>
  <c r="AH289" i="1"/>
  <c r="AI285" i="1"/>
  <c r="AH285" i="1"/>
  <c r="AI281" i="1"/>
  <c r="AH281" i="1"/>
  <c r="AH277" i="1"/>
  <c r="AI277" i="1"/>
  <c r="AI273" i="1"/>
  <c r="AH273" i="1"/>
  <c r="AI269" i="1"/>
  <c r="AH269" i="1"/>
  <c r="AI265" i="1"/>
  <c r="AH265" i="1"/>
  <c r="AH261" i="1"/>
  <c r="AI261" i="1"/>
  <c r="AI257" i="1"/>
  <c r="AH257" i="1"/>
  <c r="AI253" i="1"/>
  <c r="AH253" i="1"/>
  <c r="AI249" i="1"/>
  <c r="AH249" i="1"/>
  <c r="AH245" i="1"/>
  <c r="AI245" i="1"/>
  <c r="AI12" i="1"/>
  <c r="AH12" i="1"/>
  <c r="AI238" i="1"/>
  <c r="AH238" i="1"/>
  <c r="AI234" i="1"/>
  <c r="AH234" i="1"/>
  <c r="AH230" i="1"/>
  <c r="AI230" i="1"/>
  <c r="AI226" i="1"/>
  <c r="AH226" i="1"/>
  <c r="AI222" i="1"/>
  <c r="AH222" i="1"/>
  <c r="AI218" i="1"/>
  <c r="AH218" i="1"/>
  <c r="AH214" i="1"/>
  <c r="AI214" i="1"/>
  <c r="AI210" i="1"/>
  <c r="AH210" i="1"/>
  <c r="AI206" i="1"/>
  <c r="AH206" i="1"/>
  <c r="AI202" i="1"/>
  <c r="AH202" i="1"/>
  <c r="AH198" i="1"/>
  <c r="AI198" i="1"/>
  <c r="AI194" i="1"/>
  <c r="AH194" i="1"/>
  <c r="AI191" i="1"/>
  <c r="AH191" i="1"/>
  <c r="AI187" i="1"/>
  <c r="AH187" i="1"/>
  <c r="AH183" i="1"/>
  <c r="AI183" i="1"/>
  <c r="AI179" i="1"/>
  <c r="AH179" i="1"/>
  <c r="AI175" i="1"/>
  <c r="AH175" i="1"/>
  <c r="AI171" i="1"/>
  <c r="AH171" i="1"/>
  <c r="AH167" i="1"/>
  <c r="AI167" i="1"/>
  <c r="AI163" i="1"/>
  <c r="AH163" i="1"/>
  <c r="AI159" i="1"/>
  <c r="AH159" i="1"/>
  <c r="AI155" i="1"/>
  <c r="AH155" i="1"/>
  <c r="AH151" i="1"/>
  <c r="AI151" i="1"/>
  <c r="AI147" i="1"/>
  <c r="AH147" i="1"/>
  <c r="AI143" i="1"/>
  <c r="AH143" i="1"/>
  <c r="AI139" i="1"/>
  <c r="AH139" i="1"/>
  <c r="AH135" i="1"/>
  <c r="AI135" i="1"/>
  <c r="AI131" i="1"/>
  <c r="AH131" i="1"/>
  <c r="AI127" i="1"/>
  <c r="AH127" i="1"/>
  <c r="AI124" i="1"/>
  <c r="AH124" i="1"/>
  <c r="AH120" i="1"/>
  <c r="AI120" i="1"/>
  <c r="AI117" i="1"/>
  <c r="AH117" i="1"/>
  <c r="AI113" i="1"/>
  <c r="AH113" i="1"/>
  <c r="AI7" i="1"/>
  <c r="AH7" i="1"/>
  <c r="AH108" i="1"/>
  <c r="AI108" i="1"/>
  <c r="AI104" i="1"/>
  <c r="AH104" i="1"/>
  <c r="AI100" i="1"/>
  <c r="AH100" i="1"/>
  <c r="AI96" i="1"/>
  <c r="AH96" i="1"/>
  <c r="AH5" i="1"/>
  <c r="AI5" i="1"/>
  <c r="AI89" i="1"/>
  <c r="AH89" i="1"/>
  <c r="AI85" i="1"/>
  <c r="AH85" i="1"/>
  <c r="AI82" i="1"/>
  <c r="AH82" i="1"/>
  <c r="AH78" i="1"/>
  <c r="AI78" i="1"/>
  <c r="AI76" i="1"/>
  <c r="AH76" i="1"/>
  <c r="AI72" i="1"/>
  <c r="AH72" i="1"/>
  <c r="AI68" i="1"/>
  <c r="AH68" i="1"/>
  <c r="AH64" i="1"/>
  <c r="AI64" i="1"/>
  <c r="AI60" i="1"/>
  <c r="AH60" i="1"/>
  <c r="AI56" i="1"/>
  <c r="AH56" i="1"/>
  <c r="AI52" i="1"/>
  <c r="AH52" i="1"/>
  <c r="AH48" i="1"/>
  <c r="AI48" i="1"/>
  <c r="AI44" i="1"/>
  <c r="AH44" i="1"/>
  <c r="AI40" i="1"/>
  <c r="AH40" i="1"/>
  <c r="AI36" i="1"/>
  <c r="AH36" i="1"/>
  <c r="AI32" i="1"/>
  <c r="AH32" i="1"/>
  <c r="AI28" i="1"/>
  <c r="AH28" i="1"/>
  <c r="AI24" i="1"/>
  <c r="AH24" i="1"/>
  <c r="AI508" i="1"/>
  <c r="AH508" i="1"/>
  <c r="AH504" i="1"/>
  <c r="AI504" i="1"/>
  <c r="AI500" i="1"/>
  <c r="AH500" i="1"/>
  <c r="AH496" i="1"/>
  <c r="AI496" i="1"/>
  <c r="AI492" i="1"/>
  <c r="AH492" i="1"/>
  <c r="AI488" i="1"/>
  <c r="AH488" i="1"/>
  <c r="AI484" i="1"/>
  <c r="AH484" i="1"/>
  <c r="AI480" i="1"/>
  <c r="AH480" i="1"/>
  <c r="AI476" i="1"/>
  <c r="AH476" i="1"/>
  <c r="AH472" i="1"/>
  <c r="AI472" i="1"/>
  <c r="AI468" i="1"/>
  <c r="AH468" i="1"/>
  <c r="AH464" i="1"/>
  <c r="AI464" i="1"/>
  <c r="AI460" i="1"/>
  <c r="AH460" i="1"/>
  <c r="AI456" i="1"/>
  <c r="AH456" i="1"/>
  <c r="AI452" i="1"/>
  <c r="AH452" i="1"/>
  <c r="AI448" i="1"/>
  <c r="AH448" i="1"/>
  <c r="AI444" i="1"/>
  <c r="AH444" i="1"/>
  <c r="AI436" i="1"/>
  <c r="AH436" i="1"/>
  <c r="AH432" i="1"/>
  <c r="AI432" i="1"/>
  <c r="AI428" i="1"/>
  <c r="AH428" i="1"/>
  <c r="AI424" i="1"/>
  <c r="AH424" i="1"/>
  <c r="AI19" i="1"/>
  <c r="AH19" i="1"/>
  <c r="AI15" i="1"/>
  <c r="AH15" i="1"/>
  <c r="AI420" i="1"/>
  <c r="AH420" i="1"/>
  <c r="AH416" i="1"/>
  <c r="AI416" i="1"/>
  <c r="AI412" i="1"/>
  <c r="AH412" i="1"/>
  <c r="AH408" i="1"/>
  <c r="AI408" i="1"/>
  <c r="AI404" i="1"/>
  <c r="AH404" i="1"/>
  <c r="AI400" i="1"/>
  <c r="AH400" i="1"/>
  <c r="AI396" i="1"/>
  <c r="AH396" i="1"/>
  <c r="AI392" i="1"/>
  <c r="AH392" i="1"/>
  <c r="AI388" i="1"/>
  <c r="AH388" i="1"/>
  <c r="AH384" i="1"/>
  <c r="AI384" i="1"/>
  <c r="AI380" i="1"/>
  <c r="AH380" i="1"/>
  <c r="AH376" i="1"/>
  <c r="AI376" i="1"/>
  <c r="AI372" i="1"/>
  <c r="AH372" i="1"/>
  <c r="AI368" i="1"/>
  <c r="AH368" i="1"/>
  <c r="AI364" i="1"/>
  <c r="AH364" i="1"/>
  <c r="AI360" i="1"/>
  <c r="AH360" i="1"/>
  <c r="AI356" i="1"/>
  <c r="AH356" i="1"/>
  <c r="AI352" i="1"/>
  <c r="AH352" i="1"/>
  <c r="AI348" i="1"/>
  <c r="AH348" i="1"/>
  <c r="AI344" i="1"/>
  <c r="AH344" i="1"/>
  <c r="AI340" i="1"/>
  <c r="AH340" i="1"/>
  <c r="AI336" i="1"/>
  <c r="AH336" i="1"/>
  <c r="AI332" i="1"/>
  <c r="AH332" i="1"/>
  <c r="AI328" i="1"/>
  <c r="AH328" i="1"/>
  <c r="AI324" i="1"/>
  <c r="AH324" i="1"/>
  <c r="AI320" i="1"/>
  <c r="AH320" i="1"/>
  <c r="AI316" i="1"/>
  <c r="AH316" i="1"/>
  <c r="AI312" i="1"/>
  <c r="AH312" i="1"/>
  <c r="AI308" i="1"/>
  <c r="AH308" i="1"/>
  <c r="AI304" i="1"/>
  <c r="AH304" i="1"/>
  <c r="AI300" i="1"/>
  <c r="AH300" i="1"/>
  <c r="AI296" i="1"/>
  <c r="AH296" i="1"/>
  <c r="AI292" i="1"/>
  <c r="AH292" i="1"/>
  <c r="AI288" i="1"/>
  <c r="AH288" i="1"/>
  <c r="AI284" i="1"/>
  <c r="AH284" i="1"/>
  <c r="AI280" i="1"/>
  <c r="AH280" i="1"/>
  <c r="AI276" i="1"/>
  <c r="AH276" i="1"/>
  <c r="AI272" i="1"/>
  <c r="AH272" i="1"/>
  <c r="AI264" i="1"/>
  <c r="AH264" i="1"/>
  <c r="AI260" i="1"/>
  <c r="AH260" i="1"/>
  <c r="AI256" i="1"/>
  <c r="AH256" i="1"/>
  <c r="AI252" i="1"/>
  <c r="AH252" i="1"/>
  <c r="AI248" i="1"/>
  <c r="AH248" i="1"/>
  <c r="AI244" i="1"/>
  <c r="AH244" i="1"/>
  <c r="AI241" i="1"/>
  <c r="AH241" i="1"/>
  <c r="AI237" i="1"/>
  <c r="AH237" i="1"/>
  <c r="AI233" i="1"/>
  <c r="AH233" i="1"/>
  <c r="AI229" i="1"/>
  <c r="AH229" i="1"/>
  <c r="AI225" i="1"/>
  <c r="AH225" i="1"/>
  <c r="AI221" i="1"/>
  <c r="AH221" i="1"/>
  <c r="AI217" i="1"/>
  <c r="AH217" i="1"/>
  <c r="AI213" i="1"/>
  <c r="AH213" i="1"/>
  <c r="AI209" i="1"/>
  <c r="AH209" i="1"/>
  <c r="AI201" i="1"/>
  <c r="AH201" i="1"/>
  <c r="AI197" i="1"/>
  <c r="AH197" i="1"/>
  <c r="AI11" i="1"/>
  <c r="AH11" i="1"/>
  <c r="AI190" i="1"/>
  <c r="AH190" i="1"/>
  <c r="AI186" i="1"/>
  <c r="AH186" i="1"/>
  <c r="AI182" i="1"/>
  <c r="AH182" i="1"/>
  <c r="AI174" i="1"/>
  <c r="AH174" i="1"/>
  <c r="AI170" i="1"/>
  <c r="AH170" i="1"/>
  <c r="AI166" i="1"/>
  <c r="AH166" i="1"/>
  <c r="AI162" i="1"/>
  <c r="AH162" i="1"/>
  <c r="AI158" i="1"/>
  <c r="AH158" i="1"/>
  <c r="AI154" i="1"/>
  <c r="AH154" i="1"/>
  <c r="AI150" i="1"/>
  <c r="AH150" i="1"/>
  <c r="AI142" i="1"/>
  <c r="AH142" i="1"/>
  <c r="AI138" i="1"/>
  <c r="AH138" i="1"/>
  <c r="AI134" i="1"/>
  <c r="AH134" i="1"/>
  <c r="AH462" i="1"/>
  <c r="AE462" i="1" s="1"/>
  <c r="AD462" i="1" s="1"/>
  <c r="AH406" i="1"/>
  <c r="AE406" i="1" s="1"/>
  <c r="AD406" i="1" s="1"/>
  <c r="AH342" i="1"/>
  <c r="AE342" i="1" s="1"/>
  <c r="AD342" i="1" s="1"/>
  <c r="AH268" i="1"/>
  <c r="AE268" i="1" s="1"/>
  <c r="AD268" i="1" s="1"/>
  <c r="AH178" i="1"/>
  <c r="AE178" i="1" s="1"/>
  <c r="AD178" i="1" s="1"/>
  <c r="AI31" i="1"/>
  <c r="AH31" i="1"/>
  <c r="AI27" i="1"/>
  <c r="AH27" i="1"/>
  <c r="AI23" i="1"/>
  <c r="AH23" i="1"/>
  <c r="AI507" i="1"/>
  <c r="AH507" i="1"/>
  <c r="AI503" i="1"/>
  <c r="AH503" i="1"/>
  <c r="AI499" i="1"/>
  <c r="AH499" i="1"/>
  <c r="AI495" i="1"/>
  <c r="AH495" i="1"/>
  <c r="AI491" i="1"/>
  <c r="AH491" i="1"/>
  <c r="AI487" i="1"/>
  <c r="AH487" i="1"/>
  <c r="AI483" i="1"/>
  <c r="AH483" i="1"/>
  <c r="AI479" i="1"/>
  <c r="AH479" i="1"/>
  <c r="AI475" i="1"/>
  <c r="AH475" i="1"/>
  <c r="AI471" i="1"/>
  <c r="AH471" i="1"/>
  <c r="AI467" i="1"/>
  <c r="AH467" i="1"/>
  <c r="AI463" i="1"/>
  <c r="AH463" i="1"/>
  <c r="AI459" i="1"/>
  <c r="AH459" i="1"/>
  <c r="AI455" i="1"/>
  <c r="AH455" i="1"/>
  <c r="AI451" i="1"/>
  <c r="AH451" i="1"/>
  <c r="AI447" i="1"/>
  <c r="AH447" i="1"/>
  <c r="AI443" i="1"/>
  <c r="AH443" i="1"/>
  <c r="AI439" i="1"/>
  <c r="AH439" i="1"/>
  <c r="AI435" i="1"/>
  <c r="AH435" i="1"/>
  <c r="AI431" i="1"/>
  <c r="AH431" i="1"/>
  <c r="AI427" i="1"/>
  <c r="AH427" i="1"/>
  <c r="AI423" i="1"/>
  <c r="AH423" i="1"/>
  <c r="AI18" i="1"/>
  <c r="AH18" i="1"/>
  <c r="AI14" i="1"/>
  <c r="AH14" i="1"/>
  <c r="AI419" i="1"/>
  <c r="AH419" i="1"/>
  <c r="AI415" i="1"/>
  <c r="AH415" i="1"/>
  <c r="AI411" i="1"/>
  <c r="AH411" i="1"/>
  <c r="AI407" i="1"/>
  <c r="AH407" i="1"/>
  <c r="AI403" i="1"/>
  <c r="AH403" i="1"/>
  <c r="AI399" i="1"/>
  <c r="AH399" i="1"/>
  <c r="AI395" i="1"/>
  <c r="AH395" i="1"/>
  <c r="AI391" i="1"/>
  <c r="AH391" i="1"/>
  <c r="AI387" i="1"/>
  <c r="AH387" i="1"/>
  <c r="AI383" i="1"/>
  <c r="AH383" i="1"/>
  <c r="AI379" i="1"/>
  <c r="AH379" i="1"/>
  <c r="AI375" i="1"/>
  <c r="AH375" i="1"/>
  <c r="AI371" i="1"/>
  <c r="AH371" i="1"/>
  <c r="AI367" i="1"/>
  <c r="AH367" i="1"/>
  <c r="AI363" i="1"/>
  <c r="AH363" i="1"/>
  <c r="AI359" i="1"/>
  <c r="AH359" i="1"/>
  <c r="AI355" i="1"/>
  <c r="AH355" i="1"/>
  <c r="AI351" i="1"/>
  <c r="AH351" i="1"/>
  <c r="AI347" i="1"/>
  <c r="AH347" i="1"/>
  <c r="AI343" i="1"/>
  <c r="AH343" i="1"/>
  <c r="AI339" i="1"/>
  <c r="AH339" i="1"/>
  <c r="AI335" i="1"/>
  <c r="AH335" i="1"/>
  <c r="AI331" i="1"/>
  <c r="AH331" i="1"/>
  <c r="AI327" i="1"/>
  <c r="AH327" i="1"/>
  <c r="AI323" i="1"/>
  <c r="AH323" i="1"/>
  <c r="AI319" i="1"/>
  <c r="AH319" i="1"/>
  <c r="AI315" i="1"/>
  <c r="AH315" i="1"/>
  <c r="AI311" i="1"/>
  <c r="AH311" i="1"/>
  <c r="AI307" i="1"/>
  <c r="AH307" i="1"/>
  <c r="AI303" i="1"/>
  <c r="AH303" i="1"/>
  <c r="AI299" i="1"/>
  <c r="AH299" i="1"/>
  <c r="AI295" i="1"/>
  <c r="AH295" i="1"/>
  <c r="AI291" i="1"/>
  <c r="AH291" i="1"/>
  <c r="AI287" i="1"/>
  <c r="AH287" i="1"/>
  <c r="AI283" i="1"/>
  <c r="AH283" i="1"/>
  <c r="AI279" i="1"/>
  <c r="AH279" i="1"/>
  <c r="AI275" i="1"/>
  <c r="AH275" i="1"/>
  <c r="AI271" i="1"/>
  <c r="AH271" i="1"/>
  <c r="AI267" i="1"/>
  <c r="AH267" i="1"/>
  <c r="AI263" i="1"/>
  <c r="AH263" i="1"/>
  <c r="AI259" i="1"/>
  <c r="AH259" i="1"/>
  <c r="AI255" i="1"/>
  <c r="AH255" i="1"/>
  <c r="AI251" i="1"/>
  <c r="AH251" i="1"/>
  <c r="AI243" i="1"/>
  <c r="AH243" i="1"/>
  <c r="AI240" i="1"/>
  <c r="AH240" i="1"/>
  <c r="AI236" i="1"/>
  <c r="AH236" i="1"/>
  <c r="AI232" i="1"/>
  <c r="AH232" i="1"/>
  <c r="AI228" i="1"/>
  <c r="AH228" i="1"/>
  <c r="AI224" i="1"/>
  <c r="AH224" i="1"/>
  <c r="AI220" i="1"/>
  <c r="AH220" i="1"/>
  <c r="AI216" i="1"/>
  <c r="AH216" i="1"/>
  <c r="AI212" i="1"/>
  <c r="AH212" i="1"/>
  <c r="AI208" i="1"/>
  <c r="AH208" i="1"/>
  <c r="AI204" i="1"/>
  <c r="AH204" i="1"/>
  <c r="AI200" i="1"/>
  <c r="AH200" i="1"/>
  <c r="AI196" i="1"/>
  <c r="AH196" i="1"/>
  <c r="AI193" i="1"/>
  <c r="AH193" i="1"/>
  <c r="AI189" i="1"/>
  <c r="AH189" i="1"/>
  <c r="AI185" i="1"/>
  <c r="AH185" i="1"/>
  <c r="AI181" i="1"/>
  <c r="AH181" i="1"/>
  <c r="AI177" i="1"/>
  <c r="AH177" i="1"/>
  <c r="AI173" i="1"/>
  <c r="AH173" i="1"/>
  <c r="AI169" i="1"/>
  <c r="AH169" i="1"/>
  <c r="AI165" i="1"/>
  <c r="AH165" i="1"/>
  <c r="AI161" i="1"/>
  <c r="AH161" i="1"/>
  <c r="AI157" i="1"/>
  <c r="AH157" i="1"/>
  <c r="AI153" i="1"/>
  <c r="AH153" i="1"/>
  <c r="AI149" i="1"/>
  <c r="AH149" i="1"/>
  <c r="AI145" i="1"/>
  <c r="AH145" i="1"/>
  <c r="AI141" i="1"/>
  <c r="AH141" i="1"/>
  <c r="AH22" i="1"/>
  <c r="AE22" i="1" s="1"/>
  <c r="AD22" i="1" s="1"/>
  <c r="AH446" i="1"/>
  <c r="AE446" i="1" s="1"/>
  <c r="AD446" i="1" s="1"/>
  <c r="AH390" i="1"/>
  <c r="AE390" i="1" s="1"/>
  <c r="AD390" i="1" s="1"/>
  <c r="AH326" i="1"/>
  <c r="AE326" i="1" s="1"/>
  <c r="AD326" i="1" s="1"/>
  <c r="AH247" i="1"/>
  <c r="AE247" i="1" s="1"/>
  <c r="AD247" i="1" s="1"/>
  <c r="AH146" i="1"/>
  <c r="AE146" i="1" s="1"/>
  <c r="AD146" i="1" s="1"/>
  <c r="AI440" i="1"/>
  <c r="AE440" i="1" s="1"/>
  <c r="AD440" i="1" s="1"/>
  <c r="AI30" i="1"/>
  <c r="AH30" i="1"/>
  <c r="AI26" i="1"/>
  <c r="AH26" i="1"/>
  <c r="AI506" i="1"/>
  <c r="AH506" i="1"/>
  <c r="AI502" i="1"/>
  <c r="AH502" i="1"/>
  <c r="AI498" i="1"/>
  <c r="AH498" i="1"/>
  <c r="AI490" i="1"/>
  <c r="AH490" i="1"/>
  <c r="AI486" i="1"/>
  <c r="AH486" i="1"/>
  <c r="AI482" i="1"/>
  <c r="AH482" i="1"/>
  <c r="AI474" i="1"/>
  <c r="AH474" i="1"/>
  <c r="AI470" i="1"/>
  <c r="AH470" i="1"/>
  <c r="AI466" i="1"/>
  <c r="AH466" i="1"/>
  <c r="AI458" i="1"/>
  <c r="AH458" i="1"/>
  <c r="AI454" i="1"/>
  <c r="AH454" i="1"/>
  <c r="AI450" i="1"/>
  <c r="AH450" i="1"/>
  <c r="AI442" i="1"/>
  <c r="AH442" i="1"/>
  <c r="AI438" i="1"/>
  <c r="AH438" i="1"/>
  <c r="AI434" i="1"/>
  <c r="AH434" i="1"/>
  <c r="AI426" i="1"/>
  <c r="AH426" i="1"/>
  <c r="AI422" i="1"/>
  <c r="AH422" i="1"/>
  <c r="AI17" i="1"/>
  <c r="AH17" i="1"/>
  <c r="AE13" i="1"/>
  <c r="AD13" i="1" s="1"/>
  <c r="AI418" i="1"/>
  <c r="AH418" i="1"/>
  <c r="AI414" i="1"/>
  <c r="AH414" i="1"/>
  <c r="AI410" i="1"/>
  <c r="AH410" i="1"/>
  <c r="AI402" i="1"/>
  <c r="AH402" i="1"/>
  <c r="AI398" i="1"/>
  <c r="AH398" i="1"/>
  <c r="AI394" i="1"/>
  <c r="AH394" i="1"/>
  <c r="AI386" i="1"/>
  <c r="AH386" i="1"/>
  <c r="AI382" i="1"/>
  <c r="AH382" i="1"/>
  <c r="AI378" i="1"/>
  <c r="AH378" i="1"/>
  <c r="AI370" i="1"/>
  <c r="AH370" i="1"/>
  <c r="AI366" i="1"/>
  <c r="AH366" i="1"/>
  <c r="AI362" i="1"/>
  <c r="AH362" i="1"/>
  <c r="AE358" i="1"/>
  <c r="AD358" i="1" s="1"/>
  <c r="AI354" i="1"/>
  <c r="AH354" i="1"/>
  <c r="AI350" i="1"/>
  <c r="AH350" i="1"/>
  <c r="AI346" i="1"/>
  <c r="AH346" i="1"/>
  <c r="AI338" i="1"/>
  <c r="AH338" i="1"/>
  <c r="AI334" i="1"/>
  <c r="AH334" i="1"/>
  <c r="AI330" i="1"/>
  <c r="AH330" i="1"/>
  <c r="AI322" i="1"/>
  <c r="AH322" i="1"/>
  <c r="AI318" i="1"/>
  <c r="AH318" i="1"/>
  <c r="AI314" i="1"/>
  <c r="AH314" i="1"/>
  <c r="AI306" i="1"/>
  <c r="AH306" i="1"/>
  <c r="AI302" i="1"/>
  <c r="AH302" i="1"/>
  <c r="AI298" i="1"/>
  <c r="AH298" i="1"/>
  <c r="AI294" i="1"/>
  <c r="AH294" i="1"/>
  <c r="AE290" i="1"/>
  <c r="AD290" i="1" s="1"/>
  <c r="AI286" i="1"/>
  <c r="AH286" i="1"/>
  <c r="AI282" i="1"/>
  <c r="AH282" i="1"/>
  <c r="AI274" i="1"/>
  <c r="AH274" i="1"/>
  <c r="AI270" i="1"/>
  <c r="AH270" i="1"/>
  <c r="AI266" i="1"/>
  <c r="AH266" i="1"/>
  <c r="AI262" i="1"/>
  <c r="AH262" i="1"/>
  <c r="AI258" i="1"/>
  <c r="AH258" i="1"/>
  <c r="AI254" i="1"/>
  <c r="AH254" i="1"/>
  <c r="AI250" i="1"/>
  <c r="AH250" i="1"/>
  <c r="AI246" i="1"/>
  <c r="AH246" i="1"/>
  <c r="AI242" i="1"/>
  <c r="AH242" i="1"/>
  <c r="AI239" i="1"/>
  <c r="AH239" i="1"/>
  <c r="AI235" i="1"/>
  <c r="AH235" i="1"/>
  <c r="AI231" i="1"/>
  <c r="AH231" i="1"/>
  <c r="AI223" i="1"/>
  <c r="AH223" i="1"/>
  <c r="AI219" i="1"/>
  <c r="AH219" i="1"/>
  <c r="AH215" i="1"/>
  <c r="AI215" i="1"/>
  <c r="AI211" i="1"/>
  <c r="AH211" i="1"/>
  <c r="AI207" i="1"/>
  <c r="AH207" i="1"/>
  <c r="AI203" i="1"/>
  <c r="AH203" i="1"/>
  <c r="AI199" i="1"/>
  <c r="AH199" i="1"/>
  <c r="AI195" i="1"/>
  <c r="AH195" i="1"/>
  <c r="AI192" i="1"/>
  <c r="AH192" i="1"/>
  <c r="AI188" i="1"/>
  <c r="AH188" i="1"/>
  <c r="AH184" i="1"/>
  <c r="AI184" i="1"/>
  <c r="AI180" i="1"/>
  <c r="AH180" i="1"/>
  <c r="AI176" i="1"/>
  <c r="AH176" i="1"/>
  <c r="AI172" i="1"/>
  <c r="AH172" i="1"/>
  <c r="AH168" i="1"/>
  <c r="AI168" i="1"/>
  <c r="AI164" i="1"/>
  <c r="AH164" i="1"/>
  <c r="AI160" i="1"/>
  <c r="AH160" i="1"/>
  <c r="AI156" i="1"/>
  <c r="AH156" i="1"/>
  <c r="AH152" i="1"/>
  <c r="AI152" i="1"/>
  <c r="AI148" i="1"/>
  <c r="AH148" i="1"/>
  <c r="AI144" i="1"/>
  <c r="AH144" i="1"/>
  <c r="AH494" i="1"/>
  <c r="AE494" i="1" s="1"/>
  <c r="AD494" i="1" s="1"/>
  <c r="AH430" i="1"/>
  <c r="AE430" i="1" s="1"/>
  <c r="AD430" i="1" s="1"/>
  <c r="AH374" i="1"/>
  <c r="AE374" i="1" s="1"/>
  <c r="AD374" i="1" s="1"/>
  <c r="AH310" i="1"/>
  <c r="AE310" i="1" s="1"/>
  <c r="AD310" i="1" s="1"/>
  <c r="AH227" i="1"/>
  <c r="AE227" i="1" s="1"/>
  <c r="AD227" i="1" s="1"/>
  <c r="AI278" i="1"/>
  <c r="AE278" i="1" s="1"/>
  <c r="AD278" i="1" s="1"/>
  <c r="AI126" i="1"/>
  <c r="AH126" i="1"/>
  <c r="AI119" i="1"/>
  <c r="AH119" i="1"/>
  <c r="AI8" i="1"/>
  <c r="AH8" i="1"/>
  <c r="AI107" i="1"/>
  <c r="AH107" i="1"/>
  <c r="AI99" i="1"/>
  <c r="AH99" i="1"/>
  <c r="AI92" i="1"/>
  <c r="AH92" i="1"/>
  <c r="AI84" i="1"/>
  <c r="AH84" i="1"/>
  <c r="AI77" i="1"/>
  <c r="AH77" i="1"/>
  <c r="AI71" i="1"/>
  <c r="AH71" i="1"/>
  <c r="AI63" i="1"/>
  <c r="AH63" i="1"/>
  <c r="AI59" i="1"/>
  <c r="AH59" i="1"/>
  <c r="AI55" i="1"/>
  <c r="AH55" i="1"/>
  <c r="AI51" i="1"/>
  <c r="AH51" i="1"/>
  <c r="AI47" i="1"/>
  <c r="AH47" i="1"/>
  <c r="AI43" i="1"/>
  <c r="AH43" i="1"/>
  <c r="AI39" i="1"/>
  <c r="AH39" i="1"/>
  <c r="AI35" i="1"/>
  <c r="AH35" i="1"/>
  <c r="AH110" i="1"/>
  <c r="AE110" i="1" s="1"/>
  <c r="AD110" i="1" s="1"/>
  <c r="AH81" i="1"/>
  <c r="AE81" i="1" s="1"/>
  <c r="AD81" i="1" s="1"/>
  <c r="AH42" i="1"/>
  <c r="AE42" i="1" s="1"/>
  <c r="AD42" i="1" s="1"/>
  <c r="AI137" i="1"/>
  <c r="AH137" i="1"/>
  <c r="AI133" i="1"/>
  <c r="AH133" i="1"/>
  <c r="AI129" i="1"/>
  <c r="AH129" i="1"/>
  <c r="AI10" i="1"/>
  <c r="AH10" i="1"/>
  <c r="AI122" i="1"/>
  <c r="AH122" i="1"/>
  <c r="AI118" i="1"/>
  <c r="AH118" i="1"/>
  <c r="AI115" i="1"/>
  <c r="AH115" i="1"/>
  <c r="AI112" i="1"/>
  <c r="AH112" i="1"/>
  <c r="AI6" i="1"/>
  <c r="AH6" i="1"/>
  <c r="AI106" i="1"/>
  <c r="AH106" i="1"/>
  <c r="AI102" i="1"/>
  <c r="AH102" i="1"/>
  <c r="AI98" i="1"/>
  <c r="AH98" i="1"/>
  <c r="AI94" i="1"/>
  <c r="AH94" i="1"/>
  <c r="AI91" i="1"/>
  <c r="AH91" i="1"/>
  <c r="AI87" i="1"/>
  <c r="AH87" i="1"/>
  <c r="AI83" i="1"/>
  <c r="AH83" i="1"/>
  <c r="AI80" i="1"/>
  <c r="AH80" i="1"/>
  <c r="AI3" i="1"/>
  <c r="AH3" i="1"/>
  <c r="AI74" i="1"/>
  <c r="AH74" i="1"/>
  <c r="AI70" i="1"/>
  <c r="AH70" i="1"/>
  <c r="AI66" i="1"/>
  <c r="AH66" i="1"/>
  <c r="AI62" i="1"/>
  <c r="AH62" i="1"/>
  <c r="AI54" i="1"/>
  <c r="AH54" i="1"/>
  <c r="AI50" i="1"/>
  <c r="AH50" i="1"/>
  <c r="AI46" i="1"/>
  <c r="AH46" i="1"/>
  <c r="AI38" i="1"/>
  <c r="AH38" i="1"/>
  <c r="AI34" i="1"/>
  <c r="AH34" i="1"/>
  <c r="AH130" i="1"/>
  <c r="AE130" i="1" s="1"/>
  <c r="AD130" i="1" s="1"/>
  <c r="AH103" i="1"/>
  <c r="AE103" i="1" s="1"/>
  <c r="AD103" i="1" s="1"/>
  <c r="AH75" i="1"/>
  <c r="AE75" i="1" s="1"/>
  <c r="AD75" i="1" s="1"/>
  <c r="AI140" i="1"/>
  <c r="AH140" i="1"/>
  <c r="AH136" i="1"/>
  <c r="AI136" i="1"/>
  <c r="AI132" i="1"/>
  <c r="AH132" i="1"/>
  <c r="AI128" i="1"/>
  <c r="AH128" i="1"/>
  <c r="AI125" i="1"/>
  <c r="AH125" i="1"/>
  <c r="AH121" i="1"/>
  <c r="AI121" i="1"/>
  <c r="AI9" i="1"/>
  <c r="AH9" i="1"/>
  <c r="AI114" i="1"/>
  <c r="AH114" i="1"/>
  <c r="AI111" i="1"/>
  <c r="AH111" i="1"/>
  <c r="AH109" i="1"/>
  <c r="AI109" i="1"/>
  <c r="AI105" i="1"/>
  <c r="AH105" i="1"/>
  <c r="AI101" i="1"/>
  <c r="AH101" i="1"/>
  <c r="AI97" i="1"/>
  <c r="AH97" i="1"/>
  <c r="AI90" i="1"/>
  <c r="AH90" i="1"/>
  <c r="AI86" i="1"/>
  <c r="AH86" i="1"/>
  <c r="AI4" i="1"/>
  <c r="AH4" i="1"/>
  <c r="AH79" i="1"/>
  <c r="AI79" i="1"/>
  <c r="AI2" i="1"/>
  <c r="AH2" i="1"/>
  <c r="AI73" i="1"/>
  <c r="AH73" i="1"/>
  <c r="AI69" i="1"/>
  <c r="AH69" i="1"/>
  <c r="AH65" i="1"/>
  <c r="AI65" i="1"/>
  <c r="AI61" i="1"/>
  <c r="AH61" i="1"/>
  <c r="AI57" i="1"/>
  <c r="AH57" i="1"/>
  <c r="AI53" i="1"/>
  <c r="AH53" i="1"/>
  <c r="AH49" i="1"/>
  <c r="AI49" i="1"/>
  <c r="AI45" i="1"/>
  <c r="AH45" i="1"/>
  <c r="AI41" i="1"/>
  <c r="AH41" i="1"/>
  <c r="AI37" i="1"/>
  <c r="AH37" i="1"/>
  <c r="AH123" i="1"/>
  <c r="AE123" i="1" s="1"/>
  <c r="AD123" i="1" s="1"/>
  <c r="AH95" i="1"/>
  <c r="AE95" i="1" s="1"/>
  <c r="AD95" i="1" s="1"/>
  <c r="AH67" i="1"/>
  <c r="AE67" i="1" s="1"/>
  <c r="AD67" i="1" s="1"/>
  <c r="AI93" i="1"/>
  <c r="AE93" i="1" s="1"/>
  <c r="AD93" i="1" s="1"/>
  <c r="AE138" i="1" l="1"/>
  <c r="AD138" i="1" s="1"/>
  <c r="AE150" i="1"/>
  <c r="AD150" i="1" s="1"/>
  <c r="AE158" i="1"/>
  <c r="AD158" i="1" s="1"/>
  <c r="AE166" i="1"/>
  <c r="AD166" i="1" s="1"/>
  <c r="AE174" i="1"/>
  <c r="AD174" i="1" s="1"/>
  <c r="AE186" i="1"/>
  <c r="AD186" i="1" s="1"/>
  <c r="AE11" i="1"/>
  <c r="AD11" i="1" s="1"/>
  <c r="AE201" i="1"/>
  <c r="AD201" i="1" s="1"/>
  <c r="AE213" i="1"/>
  <c r="AD213" i="1" s="1"/>
  <c r="AE221" i="1"/>
  <c r="AD221" i="1" s="1"/>
  <c r="AE229" i="1"/>
  <c r="AD229" i="1" s="1"/>
  <c r="AE237" i="1"/>
  <c r="AD237" i="1" s="1"/>
  <c r="AE244" i="1"/>
  <c r="AD244" i="1" s="1"/>
  <c r="AE252" i="1"/>
  <c r="AD252" i="1" s="1"/>
  <c r="AE260" i="1"/>
  <c r="AD260" i="1" s="1"/>
  <c r="AE272" i="1"/>
  <c r="AD272" i="1" s="1"/>
  <c r="AE280" i="1"/>
  <c r="AD280" i="1" s="1"/>
  <c r="AE288" i="1"/>
  <c r="AD288" i="1" s="1"/>
  <c r="AE296" i="1"/>
  <c r="AD296" i="1" s="1"/>
  <c r="AE304" i="1"/>
  <c r="AD304" i="1" s="1"/>
  <c r="AE312" i="1"/>
  <c r="AD312" i="1" s="1"/>
  <c r="AE320" i="1"/>
  <c r="AD320" i="1" s="1"/>
  <c r="AE328" i="1"/>
  <c r="AD328" i="1" s="1"/>
  <c r="AE336" i="1"/>
  <c r="AD336" i="1" s="1"/>
  <c r="AE344" i="1"/>
  <c r="AD344" i="1" s="1"/>
  <c r="AE352" i="1"/>
  <c r="AD352" i="1" s="1"/>
  <c r="AE360" i="1"/>
  <c r="AD360" i="1" s="1"/>
  <c r="AE368" i="1"/>
  <c r="AD368" i="1" s="1"/>
  <c r="AE392" i="1"/>
  <c r="AD392" i="1" s="1"/>
  <c r="AE400" i="1"/>
  <c r="AD400" i="1" s="1"/>
  <c r="AE15" i="1"/>
  <c r="AD15" i="1" s="1"/>
  <c r="AE424" i="1"/>
  <c r="AD424" i="1" s="1"/>
  <c r="AE444" i="1"/>
  <c r="AD444" i="1" s="1"/>
  <c r="AE452" i="1"/>
  <c r="AD452" i="1" s="1"/>
  <c r="AE460" i="1"/>
  <c r="AD460" i="1" s="1"/>
  <c r="AE468" i="1"/>
  <c r="AD468" i="1" s="1"/>
  <c r="AE476" i="1"/>
  <c r="AD476" i="1" s="1"/>
  <c r="AE484" i="1"/>
  <c r="AD484" i="1" s="1"/>
  <c r="AE492" i="1"/>
  <c r="AD492" i="1" s="1"/>
  <c r="AE500" i="1"/>
  <c r="AD500" i="1" s="1"/>
  <c r="AE508" i="1"/>
  <c r="AD508" i="1" s="1"/>
  <c r="AE28" i="1"/>
  <c r="AD28" i="1" s="1"/>
  <c r="AE36" i="1"/>
  <c r="AD36" i="1" s="1"/>
  <c r="AE44" i="1"/>
  <c r="AD44" i="1" s="1"/>
  <c r="AE52" i="1"/>
  <c r="AD52" i="1" s="1"/>
  <c r="AE60" i="1"/>
  <c r="AD60" i="1" s="1"/>
  <c r="AE127" i="1"/>
  <c r="AD127" i="1" s="1"/>
  <c r="AE143" i="1"/>
  <c r="AD143" i="1" s="1"/>
  <c r="AE68" i="1"/>
  <c r="AD68" i="1" s="1"/>
  <c r="AE76" i="1"/>
  <c r="AD76" i="1" s="1"/>
  <c r="AE82" i="1"/>
  <c r="AD82" i="1" s="1"/>
  <c r="AE89" i="1"/>
  <c r="AD89" i="1" s="1"/>
  <c r="AE96" i="1"/>
  <c r="AD96" i="1" s="1"/>
  <c r="AE104" i="1"/>
  <c r="AD104" i="1" s="1"/>
  <c r="AE7" i="1"/>
  <c r="AD7" i="1" s="1"/>
  <c r="AE448" i="1"/>
  <c r="AD448" i="1" s="1"/>
  <c r="AE456" i="1"/>
  <c r="AD456" i="1" s="1"/>
  <c r="AE480" i="1"/>
  <c r="AD480" i="1" s="1"/>
  <c r="AE488" i="1"/>
  <c r="AD488" i="1" s="1"/>
  <c r="AE24" i="1"/>
  <c r="AD24" i="1" s="1"/>
  <c r="AE32" i="1"/>
  <c r="AD32" i="1" s="1"/>
  <c r="AE40" i="1"/>
  <c r="AD40" i="1" s="1"/>
  <c r="AE56" i="1"/>
  <c r="AD56" i="1" s="1"/>
  <c r="AE72" i="1"/>
  <c r="AD72" i="1" s="1"/>
  <c r="AE85" i="1"/>
  <c r="AD85" i="1" s="1"/>
  <c r="AE100" i="1"/>
  <c r="AD100" i="1" s="1"/>
  <c r="AE113" i="1"/>
  <c r="AD113" i="1" s="1"/>
  <c r="AE117" i="1"/>
  <c r="AD117" i="1" s="1"/>
  <c r="AE159" i="1"/>
  <c r="AD159" i="1" s="1"/>
  <c r="AE175" i="1"/>
  <c r="AD175" i="1" s="1"/>
  <c r="AE191" i="1"/>
  <c r="AD191" i="1" s="1"/>
  <c r="AE206" i="1"/>
  <c r="AD206" i="1" s="1"/>
  <c r="AE222" i="1"/>
  <c r="AD222" i="1" s="1"/>
  <c r="AE238" i="1"/>
  <c r="AD238" i="1" s="1"/>
  <c r="AE253" i="1"/>
  <c r="AD253" i="1" s="1"/>
  <c r="AE269" i="1"/>
  <c r="AD269" i="1" s="1"/>
  <c r="AE285" i="1"/>
  <c r="AD285" i="1" s="1"/>
  <c r="AE124" i="1"/>
  <c r="AD124" i="1" s="1"/>
  <c r="AE131" i="1"/>
  <c r="AD131" i="1" s="1"/>
  <c r="AE139" i="1"/>
  <c r="AD139" i="1" s="1"/>
  <c r="AE147" i="1"/>
  <c r="AD147" i="1" s="1"/>
  <c r="AE155" i="1"/>
  <c r="AD155" i="1" s="1"/>
  <c r="AE163" i="1"/>
  <c r="AD163" i="1" s="1"/>
  <c r="AE171" i="1"/>
  <c r="AD171" i="1" s="1"/>
  <c r="AE301" i="1"/>
  <c r="AD301" i="1" s="1"/>
  <c r="AE309" i="1"/>
  <c r="AD309" i="1" s="1"/>
  <c r="AE317" i="1"/>
  <c r="AD317" i="1" s="1"/>
  <c r="AE325" i="1"/>
  <c r="AD325" i="1" s="1"/>
  <c r="AE333" i="1"/>
  <c r="AD333" i="1" s="1"/>
  <c r="AE341" i="1"/>
  <c r="AD341" i="1" s="1"/>
  <c r="AE179" i="1"/>
  <c r="AD179" i="1" s="1"/>
  <c r="AE187" i="1"/>
  <c r="AD187" i="1" s="1"/>
  <c r="AE194" i="1"/>
  <c r="AD194" i="1" s="1"/>
  <c r="AE202" i="1"/>
  <c r="AD202" i="1" s="1"/>
  <c r="AE210" i="1"/>
  <c r="AD210" i="1" s="1"/>
  <c r="AE218" i="1"/>
  <c r="AD218" i="1" s="1"/>
  <c r="AE349" i="1"/>
  <c r="AD349" i="1" s="1"/>
  <c r="AE357" i="1"/>
  <c r="AD357" i="1" s="1"/>
  <c r="AE365" i="1"/>
  <c r="AD365" i="1" s="1"/>
  <c r="AE373" i="1"/>
  <c r="AD373" i="1" s="1"/>
  <c r="AE381" i="1"/>
  <c r="AD381" i="1" s="1"/>
  <c r="AE226" i="1"/>
  <c r="AD226" i="1" s="1"/>
  <c r="AE234" i="1"/>
  <c r="AD234" i="1" s="1"/>
  <c r="AE12" i="1"/>
  <c r="AD12" i="1" s="1"/>
  <c r="AE249" i="1"/>
  <c r="AD249" i="1" s="1"/>
  <c r="AE257" i="1"/>
  <c r="AD257" i="1" s="1"/>
  <c r="AE265" i="1"/>
  <c r="AD265" i="1" s="1"/>
  <c r="AE273" i="1"/>
  <c r="AD273" i="1" s="1"/>
  <c r="AE281" i="1"/>
  <c r="AD281" i="1" s="1"/>
  <c r="AE289" i="1"/>
  <c r="AD289" i="1" s="1"/>
  <c r="AE389" i="1"/>
  <c r="AD389" i="1" s="1"/>
  <c r="AE397" i="1"/>
  <c r="AD397" i="1" s="1"/>
  <c r="AE405" i="1"/>
  <c r="AD405" i="1" s="1"/>
  <c r="AE413" i="1"/>
  <c r="AD413" i="1" s="1"/>
  <c r="AE421" i="1"/>
  <c r="AD421" i="1" s="1"/>
  <c r="AE20" i="1"/>
  <c r="AD20" i="1" s="1"/>
  <c r="AE429" i="1"/>
  <c r="AD429" i="1" s="1"/>
  <c r="AE437" i="1"/>
  <c r="AD437" i="1" s="1"/>
  <c r="AE445" i="1"/>
  <c r="AD445" i="1" s="1"/>
  <c r="AE453" i="1"/>
  <c r="AD453" i="1" s="1"/>
  <c r="AE34" i="1"/>
  <c r="AD34" i="1" s="1"/>
  <c r="AE46" i="1"/>
  <c r="AD46" i="1" s="1"/>
  <c r="AE54" i="1"/>
  <c r="AD54" i="1" s="1"/>
  <c r="AE66" i="1"/>
  <c r="AD66" i="1" s="1"/>
  <c r="AE74" i="1"/>
  <c r="AD74" i="1" s="1"/>
  <c r="AE80" i="1"/>
  <c r="AD80" i="1" s="1"/>
  <c r="AE87" i="1"/>
  <c r="AD87" i="1" s="1"/>
  <c r="AE94" i="1"/>
  <c r="AD94" i="1" s="1"/>
  <c r="AE102" i="1"/>
  <c r="AD102" i="1" s="1"/>
  <c r="AE6" i="1"/>
  <c r="AD6" i="1" s="1"/>
  <c r="AE115" i="1"/>
  <c r="AD115" i="1" s="1"/>
  <c r="AE122" i="1"/>
  <c r="AD122" i="1" s="1"/>
  <c r="AE129" i="1"/>
  <c r="AD129" i="1" s="1"/>
  <c r="AE137" i="1"/>
  <c r="AD137" i="1" s="1"/>
  <c r="AE297" i="1"/>
  <c r="AD297" i="1" s="1"/>
  <c r="AE305" i="1"/>
  <c r="AD305" i="1" s="1"/>
  <c r="AE313" i="1"/>
  <c r="AD313" i="1" s="1"/>
  <c r="AE321" i="1"/>
  <c r="AD321" i="1" s="1"/>
  <c r="AE329" i="1"/>
  <c r="AD329" i="1" s="1"/>
  <c r="AE337" i="1"/>
  <c r="AD337" i="1" s="1"/>
  <c r="AE345" i="1"/>
  <c r="AD345" i="1" s="1"/>
  <c r="AE353" i="1"/>
  <c r="AD353" i="1" s="1"/>
  <c r="AE361" i="1"/>
  <c r="AD361" i="1" s="1"/>
  <c r="AE369" i="1"/>
  <c r="AD369" i="1" s="1"/>
  <c r="AE377" i="1"/>
  <c r="AD377" i="1" s="1"/>
  <c r="AE385" i="1"/>
  <c r="AD385" i="1" s="1"/>
  <c r="AE393" i="1"/>
  <c r="AD393" i="1" s="1"/>
  <c r="AE401" i="1"/>
  <c r="AD401" i="1" s="1"/>
  <c r="AE409" i="1"/>
  <c r="AD409" i="1" s="1"/>
  <c r="AE461" i="1"/>
  <c r="AD461" i="1" s="1"/>
  <c r="AE469" i="1"/>
  <c r="AD469" i="1" s="1"/>
  <c r="AE477" i="1"/>
  <c r="AD477" i="1" s="1"/>
  <c r="AE485" i="1"/>
  <c r="AD485" i="1" s="1"/>
  <c r="AE493" i="1"/>
  <c r="AD493" i="1" s="1"/>
  <c r="AE501" i="1"/>
  <c r="AD501" i="1" s="1"/>
  <c r="AE21" i="1"/>
  <c r="AD21" i="1" s="1"/>
  <c r="AE29" i="1"/>
  <c r="AD29" i="1" s="1"/>
  <c r="AE109" i="1"/>
  <c r="AD109" i="1" s="1"/>
  <c r="AE121" i="1"/>
  <c r="AD121" i="1" s="1"/>
  <c r="AE136" i="1"/>
  <c r="AD136" i="1" s="1"/>
  <c r="AE35" i="1"/>
  <c r="AD35" i="1" s="1"/>
  <c r="AE43" i="1"/>
  <c r="AD43" i="1" s="1"/>
  <c r="AE51" i="1"/>
  <c r="AD51" i="1" s="1"/>
  <c r="AE59" i="1"/>
  <c r="AD59" i="1" s="1"/>
  <c r="AE71" i="1"/>
  <c r="AD71" i="1" s="1"/>
  <c r="AE84" i="1"/>
  <c r="AD84" i="1" s="1"/>
  <c r="AE99" i="1"/>
  <c r="AD99" i="1" s="1"/>
  <c r="AE8" i="1"/>
  <c r="AD8" i="1" s="1"/>
  <c r="AE126" i="1"/>
  <c r="AD126" i="1" s="1"/>
  <c r="AE152" i="1"/>
  <c r="AD152" i="1" s="1"/>
  <c r="AE168" i="1"/>
  <c r="AD168" i="1" s="1"/>
  <c r="AE184" i="1"/>
  <c r="AD184" i="1" s="1"/>
  <c r="AE215" i="1"/>
  <c r="AD215" i="1" s="1"/>
  <c r="AE417" i="1"/>
  <c r="AD417" i="1" s="1"/>
  <c r="AE16" i="1"/>
  <c r="AD16" i="1" s="1"/>
  <c r="AE425" i="1"/>
  <c r="AD425" i="1" s="1"/>
  <c r="AE433" i="1"/>
  <c r="AD433" i="1" s="1"/>
  <c r="AE441" i="1"/>
  <c r="AD441" i="1" s="1"/>
  <c r="AE449" i="1"/>
  <c r="AD449" i="1" s="1"/>
  <c r="AE457" i="1"/>
  <c r="AD457" i="1" s="1"/>
  <c r="AE465" i="1"/>
  <c r="AD465" i="1" s="1"/>
  <c r="AE473" i="1"/>
  <c r="AD473" i="1" s="1"/>
  <c r="AE481" i="1"/>
  <c r="AD481" i="1" s="1"/>
  <c r="AE489" i="1"/>
  <c r="AD489" i="1" s="1"/>
  <c r="AE497" i="1"/>
  <c r="AD497" i="1" s="1"/>
  <c r="AE505" i="1"/>
  <c r="AD505" i="1" s="1"/>
  <c r="AE25" i="1"/>
  <c r="AD25" i="1" s="1"/>
  <c r="AE33" i="1"/>
  <c r="AD33" i="1" s="1"/>
  <c r="AE298" i="1"/>
  <c r="AD298" i="1" s="1"/>
  <c r="AE306" i="1"/>
  <c r="AD306" i="1" s="1"/>
  <c r="AE482" i="1"/>
  <c r="AD482" i="1" s="1"/>
  <c r="AE490" i="1"/>
  <c r="AD490" i="1" s="1"/>
  <c r="AE145" i="1"/>
  <c r="AD145" i="1" s="1"/>
  <c r="AE153" i="1"/>
  <c r="AD153" i="1" s="1"/>
  <c r="AE161" i="1"/>
  <c r="AD161" i="1" s="1"/>
  <c r="AE169" i="1"/>
  <c r="AD169" i="1" s="1"/>
  <c r="AE177" i="1"/>
  <c r="AD177" i="1" s="1"/>
  <c r="AE185" i="1"/>
  <c r="AD185" i="1" s="1"/>
  <c r="AE193" i="1"/>
  <c r="AD193" i="1" s="1"/>
  <c r="AE200" i="1"/>
  <c r="AD200" i="1" s="1"/>
  <c r="AE208" i="1"/>
  <c r="AD208" i="1" s="1"/>
  <c r="AE216" i="1"/>
  <c r="AD216" i="1" s="1"/>
  <c r="AE224" i="1"/>
  <c r="AD224" i="1" s="1"/>
  <c r="AE232" i="1"/>
  <c r="AD232" i="1" s="1"/>
  <c r="AE240" i="1"/>
  <c r="AD240" i="1" s="1"/>
  <c r="AE251" i="1"/>
  <c r="AD251" i="1" s="1"/>
  <c r="AE259" i="1"/>
  <c r="AD259" i="1" s="1"/>
  <c r="AE267" i="1"/>
  <c r="AD267" i="1" s="1"/>
  <c r="AE275" i="1"/>
  <c r="AD275" i="1" s="1"/>
  <c r="AE283" i="1"/>
  <c r="AD283" i="1" s="1"/>
  <c r="AE291" i="1"/>
  <c r="AD291" i="1" s="1"/>
  <c r="AE299" i="1"/>
  <c r="AD299" i="1" s="1"/>
  <c r="AE307" i="1"/>
  <c r="AD307" i="1" s="1"/>
  <c r="AE315" i="1"/>
  <c r="AD315" i="1" s="1"/>
  <c r="AE323" i="1"/>
  <c r="AD323" i="1" s="1"/>
  <c r="AE331" i="1"/>
  <c r="AD331" i="1" s="1"/>
  <c r="AE339" i="1"/>
  <c r="AD339" i="1" s="1"/>
  <c r="AE347" i="1"/>
  <c r="AD347" i="1" s="1"/>
  <c r="AE355" i="1"/>
  <c r="AD355" i="1" s="1"/>
  <c r="AE363" i="1"/>
  <c r="AD363" i="1" s="1"/>
  <c r="AE371" i="1"/>
  <c r="AD371" i="1" s="1"/>
  <c r="AE379" i="1"/>
  <c r="AD379" i="1" s="1"/>
  <c r="AE387" i="1"/>
  <c r="AD387" i="1" s="1"/>
  <c r="AE395" i="1"/>
  <c r="AD395" i="1" s="1"/>
  <c r="AE403" i="1"/>
  <c r="AD403" i="1" s="1"/>
  <c r="AE411" i="1"/>
  <c r="AD411" i="1" s="1"/>
  <c r="AE419" i="1"/>
  <c r="AD419" i="1" s="1"/>
  <c r="AE18" i="1"/>
  <c r="AD18" i="1" s="1"/>
  <c r="AE427" i="1"/>
  <c r="AD427" i="1" s="1"/>
  <c r="AE435" i="1"/>
  <c r="AD435" i="1" s="1"/>
  <c r="AE443" i="1"/>
  <c r="AD443" i="1" s="1"/>
  <c r="AE451" i="1"/>
  <c r="AD451" i="1" s="1"/>
  <c r="AE459" i="1"/>
  <c r="AD459" i="1" s="1"/>
  <c r="AE467" i="1"/>
  <c r="AD467" i="1" s="1"/>
  <c r="AE475" i="1"/>
  <c r="AD475" i="1" s="1"/>
  <c r="AE483" i="1"/>
  <c r="AD483" i="1" s="1"/>
  <c r="AE491" i="1"/>
  <c r="AD491" i="1" s="1"/>
  <c r="AE499" i="1"/>
  <c r="AD499" i="1" s="1"/>
  <c r="AE507" i="1"/>
  <c r="AD507" i="1" s="1"/>
  <c r="AE27" i="1"/>
  <c r="AD27" i="1" s="1"/>
  <c r="AE41" i="1"/>
  <c r="AD41" i="1" s="1"/>
  <c r="AE57" i="1"/>
  <c r="AD57" i="1" s="1"/>
  <c r="AE73" i="1"/>
  <c r="AD73" i="1" s="1"/>
  <c r="AE86" i="1"/>
  <c r="AD86" i="1" s="1"/>
  <c r="AE97" i="1"/>
  <c r="AD97" i="1" s="1"/>
  <c r="AE105" i="1"/>
  <c r="AD105" i="1" s="1"/>
  <c r="AE111" i="1"/>
  <c r="AD111" i="1" s="1"/>
  <c r="AE9" i="1"/>
  <c r="AD9" i="1" s="1"/>
  <c r="AE125" i="1"/>
  <c r="AD125" i="1" s="1"/>
  <c r="AE132" i="1"/>
  <c r="AD132" i="1" s="1"/>
  <c r="AE140" i="1"/>
  <c r="AD140" i="1" s="1"/>
  <c r="AE148" i="1"/>
  <c r="AD148" i="1" s="1"/>
  <c r="AE156" i="1"/>
  <c r="AD156" i="1" s="1"/>
  <c r="AE164" i="1"/>
  <c r="AD164" i="1" s="1"/>
  <c r="AE172" i="1"/>
  <c r="AD172" i="1" s="1"/>
  <c r="AE180" i="1"/>
  <c r="AD180" i="1" s="1"/>
  <c r="AE188" i="1"/>
  <c r="AD188" i="1" s="1"/>
  <c r="AE195" i="1"/>
  <c r="AD195" i="1" s="1"/>
  <c r="AE203" i="1"/>
  <c r="AD203" i="1" s="1"/>
  <c r="AE211" i="1"/>
  <c r="AD211" i="1" s="1"/>
  <c r="AE219" i="1"/>
  <c r="AD219" i="1" s="1"/>
  <c r="AE17" i="1"/>
  <c r="AD17" i="1" s="1"/>
  <c r="AE426" i="1"/>
  <c r="AD426" i="1" s="1"/>
  <c r="AE454" i="1"/>
  <c r="AD454" i="1" s="1"/>
  <c r="AE362" i="1"/>
  <c r="AD362" i="1" s="1"/>
  <c r="AE370" i="1"/>
  <c r="AD370" i="1" s="1"/>
  <c r="AE398" i="1"/>
  <c r="AD398" i="1" s="1"/>
  <c r="AE38" i="1"/>
  <c r="AD38" i="1" s="1"/>
  <c r="AE50" i="1"/>
  <c r="AD50" i="1" s="1"/>
  <c r="AE62" i="1"/>
  <c r="AD62" i="1" s="1"/>
  <c r="AE70" i="1"/>
  <c r="AD70" i="1" s="1"/>
  <c r="AE3" i="1"/>
  <c r="AD3" i="1" s="1"/>
  <c r="AE83" i="1"/>
  <c r="AD83" i="1" s="1"/>
  <c r="AE91" i="1"/>
  <c r="AD91" i="1" s="1"/>
  <c r="AE98" i="1"/>
  <c r="AD98" i="1" s="1"/>
  <c r="AE106" i="1"/>
  <c r="AD106" i="1" s="1"/>
  <c r="AE112" i="1"/>
  <c r="AD112" i="1" s="1"/>
  <c r="AE118" i="1"/>
  <c r="AD118" i="1" s="1"/>
  <c r="AE10" i="1"/>
  <c r="AD10" i="1" s="1"/>
  <c r="AE133" i="1"/>
  <c r="AD133" i="1" s="1"/>
  <c r="AE334" i="1"/>
  <c r="AD334" i="1" s="1"/>
  <c r="AE30" i="1"/>
  <c r="AD30" i="1" s="1"/>
  <c r="AE141" i="1"/>
  <c r="AD141" i="1" s="1"/>
  <c r="AE149" i="1"/>
  <c r="AD149" i="1" s="1"/>
  <c r="AE157" i="1"/>
  <c r="AD157" i="1" s="1"/>
  <c r="AE165" i="1"/>
  <c r="AD165" i="1" s="1"/>
  <c r="AE173" i="1"/>
  <c r="AD173" i="1" s="1"/>
  <c r="AE181" i="1"/>
  <c r="AD181" i="1" s="1"/>
  <c r="AE189" i="1"/>
  <c r="AD189" i="1" s="1"/>
  <c r="AE196" i="1"/>
  <c r="AD196" i="1" s="1"/>
  <c r="AE204" i="1"/>
  <c r="AD204" i="1" s="1"/>
  <c r="AE212" i="1"/>
  <c r="AD212" i="1" s="1"/>
  <c r="AE220" i="1"/>
  <c r="AD220" i="1" s="1"/>
  <c r="AE228" i="1"/>
  <c r="AD228" i="1" s="1"/>
  <c r="AE236" i="1"/>
  <c r="AD236" i="1" s="1"/>
  <c r="AE243" i="1"/>
  <c r="AD243" i="1" s="1"/>
  <c r="AE255" i="1"/>
  <c r="AD255" i="1" s="1"/>
  <c r="AE263" i="1"/>
  <c r="AD263" i="1" s="1"/>
  <c r="AE271" i="1"/>
  <c r="AD271" i="1" s="1"/>
  <c r="AE279" i="1"/>
  <c r="AD279" i="1" s="1"/>
  <c r="AE287" i="1"/>
  <c r="AD287" i="1" s="1"/>
  <c r="AE295" i="1"/>
  <c r="AD295" i="1" s="1"/>
  <c r="AE303" i="1"/>
  <c r="AD303" i="1" s="1"/>
  <c r="AE311" i="1"/>
  <c r="AD311" i="1" s="1"/>
  <c r="AE319" i="1"/>
  <c r="AD319" i="1" s="1"/>
  <c r="AE327" i="1"/>
  <c r="AD327" i="1" s="1"/>
  <c r="AE335" i="1"/>
  <c r="AD335" i="1" s="1"/>
  <c r="AE343" i="1"/>
  <c r="AD343" i="1" s="1"/>
  <c r="AE351" i="1"/>
  <c r="AD351" i="1" s="1"/>
  <c r="AE359" i="1"/>
  <c r="AD359" i="1" s="1"/>
  <c r="AE367" i="1"/>
  <c r="AD367" i="1" s="1"/>
  <c r="AE375" i="1"/>
  <c r="AD375" i="1" s="1"/>
  <c r="AE383" i="1"/>
  <c r="AD383" i="1" s="1"/>
  <c r="AE391" i="1"/>
  <c r="AD391" i="1" s="1"/>
  <c r="AE399" i="1"/>
  <c r="AD399" i="1" s="1"/>
  <c r="AE407" i="1"/>
  <c r="AD407" i="1" s="1"/>
  <c r="AE415" i="1"/>
  <c r="AD415" i="1" s="1"/>
  <c r="AE14" i="1"/>
  <c r="AD14" i="1" s="1"/>
  <c r="AE423" i="1"/>
  <c r="AD423" i="1" s="1"/>
  <c r="AE431" i="1"/>
  <c r="AD431" i="1" s="1"/>
  <c r="AE439" i="1"/>
  <c r="AD439" i="1" s="1"/>
  <c r="AE447" i="1"/>
  <c r="AD447" i="1" s="1"/>
  <c r="AE455" i="1"/>
  <c r="AD455" i="1" s="1"/>
  <c r="AE463" i="1"/>
  <c r="AD463" i="1" s="1"/>
  <c r="AE471" i="1"/>
  <c r="AD471" i="1" s="1"/>
  <c r="AE479" i="1"/>
  <c r="AD479" i="1" s="1"/>
  <c r="AE487" i="1"/>
  <c r="AD487" i="1" s="1"/>
  <c r="AE495" i="1"/>
  <c r="AD495" i="1" s="1"/>
  <c r="AE503" i="1"/>
  <c r="AD503" i="1" s="1"/>
  <c r="AE23" i="1"/>
  <c r="AD23" i="1" s="1"/>
  <c r="AE31" i="1"/>
  <c r="AD31" i="1" s="1"/>
  <c r="AE231" i="1"/>
  <c r="AD231" i="1" s="1"/>
  <c r="AE239" i="1"/>
  <c r="AD239" i="1" s="1"/>
  <c r="AE246" i="1"/>
  <c r="AD246" i="1" s="1"/>
  <c r="AE254" i="1"/>
  <c r="AD254" i="1" s="1"/>
  <c r="AE262" i="1"/>
  <c r="AD262" i="1" s="1"/>
  <c r="AE270" i="1"/>
  <c r="AD270" i="1" s="1"/>
  <c r="AE282" i="1"/>
  <c r="AD282" i="1" s="1"/>
  <c r="AE318" i="1"/>
  <c r="AD318" i="1" s="1"/>
  <c r="AE346" i="1"/>
  <c r="AD346" i="1" s="1"/>
  <c r="AE354" i="1"/>
  <c r="AD354" i="1" s="1"/>
  <c r="AE382" i="1"/>
  <c r="AD382" i="1" s="1"/>
  <c r="AE410" i="1"/>
  <c r="AD410" i="1" s="1"/>
  <c r="AE418" i="1"/>
  <c r="AD418" i="1" s="1"/>
  <c r="AE438" i="1"/>
  <c r="AD438" i="1" s="1"/>
  <c r="AE466" i="1"/>
  <c r="AD466" i="1" s="1"/>
  <c r="AE474" i="1"/>
  <c r="AD474" i="1" s="1"/>
  <c r="AE502" i="1"/>
  <c r="AD502" i="1" s="1"/>
  <c r="AE464" i="1"/>
  <c r="AD464" i="1" s="1"/>
  <c r="AE472" i="1"/>
  <c r="AD472" i="1" s="1"/>
  <c r="AE496" i="1"/>
  <c r="AD496" i="1" s="1"/>
  <c r="AE504" i="1"/>
  <c r="AD504" i="1" s="1"/>
  <c r="AE48" i="1"/>
  <c r="AD48" i="1" s="1"/>
  <c r="AE64" i="1"/>
  <c r="AD64" i="1" s="1"/>
  <c r="AE78" i="1"/>
  <c r="AD78" i="1" s="1"/>
  <c r="AE5" i="1"/>
  <c r="AD5" i="1" s="1"/>
  <c r="AE108" i="1"/>
  <c r="AD108" i="1" s="1"/>
  <c r="AE120" i="1"/>
  <c r="AD120" i="1" s="1"/>
  <c r="AE135" i="1"/>
  <c r="AD135" i="1" s="1"/>
  <c r="AE151" i="1"/>
  <c r="AD151" i="1" s="1"/>
  <c r="AE167" i="1"/>
  <c r="AD167" i="1" s="1"/>
  <c r="AE183" i="1"/>
  <c r="AD183" i="1" s="1"/>
  <c r="AE198" i="1"/>
  <c r="AD198" i="1" s="1"/>
  <c r="AE214" i="1"/>
  <c r="AD214" i="1" s="1"/>
  <c r="AE230" i="1"/>
  <c r="AD230" i="1" s="1"/>
  <c r="AE245" i="1"/>
  <c r="AD245" i="1" s="1"/>
  <c r="AE261" i="1"/>
  <c r="AD261" i="1" s="1"/>
  <c r="AE277" i="1"/>
  <c r="AD277" i="1" s="1"/>
  <c r="AE293" i="1"/>
  <c r="AD293" i="1" s="1"/>
  <c r="AE37" i="1"/>
  <c r="AD37" i="1" s="1"/>
  <c r="AE45" i="1"/>
  <c r="AD45" i="1" s="1"/>
  <c r="AE53" i="1"/>
  <c r="AD53" i="1" s="1"/>
  <c r="AE61" i="1"/>
  <c r="AD61" i="1" s="1"/>
  <c r="AE69" i="1"/>
  <c r="AD69" i="1" s="1"/>
  <c r="AE2" i="1"/>
  <c r="AD2" i="1" s="1"/>
  <c r="AE4" i="1"/>
  <c r="AD4" i="1" s="1"/>
  <c r="AE90" i="1"/>
  <c r="AD90" i="1" s="1"/>
  <c r="AE101" i="1"/>
  <c r="AD101" i="1" s="1"/>
  <c r="AE114" i="1"/>
  <c r="AD114" i="1" s="1"/>
  <c r="AE128" i="1"/>
  <c r="AD128" i="1" s="1"/>
  <c r="AE144" i="1"/>
  <c r="AD144" i="1" s="1"/>
  <c r="AE160" i="1"/>
  <c r="AD160" i="1" s="1"/>
  <c r="AE176" i="1"/>
  <c r="AD176" i="1" s="1"/>
  <c r="AE192" i="1"/>
  <c r="AD192" i="1" s="1"/>
  <c r="AE199" i="1"/>
  <c r="AD199" i="1" s="1"/>
  <c r="AE207" i="1"/>
  <c r="AD207" i="1" s="1"/>
  <c r="AE223" i="1"/>
  <c r="AD223" i="1" s="1"/>
  <c r="AE294" i="1"/>
  <c r="AD294" i="1" s="1"/>
  <c r="AE302" i="1"/>
  <c r="AD302" i="1" s="1"/>
  <c r="AE330" i="1"/>
  <c r="AD330" i="1" s="1"/>
  <c r="AE338" i="1"/>
  <c r="AD338" i="1" s="1"/>
  <c r="AE366" i="1"/>
  <c r="AD366" i="1" s="1"/>
  <c r="AE394" i="1"/>
  <c r="AD394" i="1" s="1"/>
  <c r="AE402" i="1"/>
  <c r="AD402" i="1" s="1"/>
  <c r="AE422" i="1"/>
  <c r="AD422" i="1" s="1"/>
  <c r="AE450" i="1"/>
  <c r="AD450" i="1" s="1"/>
  <c r="AE458" i="1"/>
  <c r="AD458" i="1" s="1"/>
  <c r="AE486" i="1"/>
  <c r="AD486" i="1" s="1"/>
  <c r="AE26" i="1"/>
  <c r="AD26" i="1" s="1"/>
  <c r="AE376" i="1"/>
  <c r="AD376" i="1" s="1"/>
  <c r="AE384" i="1"/>
  <c r="AD384" i="1" s="1"/>
  <c r="AE408" i="1"/>
  <c r="AD408" i="1" s="1"/>
  <c r="AE416" i="1"/>
  <c r="AD416" i="1" s="1"/>
  <c r="AE432" i="1"/>
  <c r="AD432" i="1" s="1"/>
  <c r="AE49" i="1"/>
  <c r="AD49" i="1" s="1"/>
  <c r="AE65" i="1"/>
  <c r="AD65" i="1" s="1"/>
  <c r="AE79" i="1"/>
  <c r="AD79" i="1" s="1"/>
  <c r="AE39" i="1"/>
  <c r="AD39" i="1" s="1"/>
  <c r="AE47" i="1"/>
  <c r="AD47" i="1" s="1"/>
  <c r="AE55" i="1"/>
  <c r="AD55" i="1" s="1"/>
  <c r="AE63" i="1"/>
  <c r="AD63" i="1" s="1"/>
  <c r="AE77" i="1"/>
  <c r="AD77" i="1" s="1"/>
  <c r="AE92" i="1"/>
  <c r="AD92" i="1" s="1"/>
  <c r="AE107" i="1"/>
  <c r="AD107" i="1" s="1"/>
  <c r="AE119" i="1"/>
  <c r="AD119" i="1" s="1"/>
  <c r="AE235" i="1"/>
  <c r="AD235" i="1" s="1"/>
  <c r="AE242" i="1"/>
  <c r="AD242" i="1" s="1"/>
  <c r="AE250" i="1"/>
  <c r="AD250" i="1" s="1"/>
  <c r="AE258" i="1"/>
  <c r="AD258" i="1" s="1"/>
  <c r="AE266" i="1"/>
  <c r="AD266" i="1" s="1"/>
  <c r="AE274" i="1"/>
  <c r="AD274" i="1" s="1"/>
  <c r="AE286" i="1"/>
  <c r="AD286" i="1" s="1"/>
  <c r="AE314" i="1"/>
  <c r="AD314" i="1" s="1"/>
  <c r="AE322" i="1"/>
  <c r="AD322" i="1" s="1"/>
  <c r="AE350" i="1"/>
  <c r="AD350" i="1" s="1"/>
  <c r="AE378" i="1"/>
  <c r="AD378" i="1" s="1"/>
  <c r="AE386" i="1"/>
  <c r="AD386" i="1" s="1"/>
  <c r="AE414" i="1"/>
  <c r="AD414" i="1" s="1"/>
  <c r="AE434" i="1"/>
  <c r="AD434" i="1" s="1"/>
  <c r="AE442" i="1"/>
  <c r="AD442" i="1" s="1"/>
  <c r="AE470" i="1"/>
  <c r="AD470" i="1" s="1"/>
  <c r="AE498" i="1"/>
  <c r="AD498" i="1" s="1"/>
  <c r="AE506" i="1"/>
  <c r="AD506" i="1" s="1"/>
  <c r="AE134" i="1"/>
  <c r="AD134" i="1" s="1"/>
  <c r="AE142" i="1"/>
  <c r="AD142" i="1" s="1"/>
  <c r="AE154" i="1"/>
  <c r="AD154" i="1" s="1"/>
  <c r="AE162" i="1"/>
  <c r="AD162" i="1" s="1"/>
  <c r="AE170" i="1"/>
  <c r="AD170" i="1" s="1"/>
  <c r="AE182" i="1"/>
  <c r="AD182" i="1" s="1"/>
  <c r="AE190" i="1"/>
  <c r="AD190" i="1" s="1"/>
  <c r="AE197" i="1"/>
  <c r="AD197" i="1" s="1"/>
  <c r="AE209" i="1"/>
  <c r="AD209" i="1" s="1"/>
  <c r="AE217" i="1"/>
  <c r="AD217" i="1" s="1"/>
  <c r="AE225" i="1"/>
  <c r="AD225" i="1" s="1"/>
  <c r="AE233" i="1"/>
  <c r="AD233" i="1" s="1"/>
  <c r="AE241" i="1"/>
  <c r="AD241" i="1" s="1"/>
  <c r="AE248" i="1"/>
  <c r="AD248" i="1" s="1"/>
  <c r="AE256" i="1"/>
  <c r="AD256" i="1" s="1"/>
  <c r="AE264" i="1"/>
  <c r="AD264" i="1" s="1"/>
  <c r="AE276" i="1"/>
  <c r="AD276" i="1" s="1"/>
  <c r="AE284" i="1"/>
  <c r="AD284" i="1" s="1"/>
  <c r="AE292" i="1"/>
  <c r="AD292" i="1" s="1"/>
  <c r="AE300" i="1"/>
  <c r="AD300" i="1" s="1"/>
  <c r="AE308" i="1"/>
  <c r="AD308" i="1" s="1"/>
  <c r="AE316" i="1"/>
  <c r="AD316" i="1" s="1"/>
  <c r="AE324" i="1"/>
  <c r="AD324" i="1" s="1"/>
  <c r="AE332" i="1"/>
  <c r="AD332" i="1" s="1"/>
  <c r="AE340" i="1"/>
  <c r="AD340" i="1" s="1"/>
  <c r="AE348" i="1"/>
  <c r="AD348" i="1" s="1"/>
  <c r="AE356" i="1"/>
  <c r="AD356" i="1" s="1"/>
  <c r="AE364" i="1"/>
  <c r="AD364" i="1" s="1"/>
  <c r="AE372" i="1"/>
  <c r="AD372" i="1" s="1"/>
  <c r="AE380" i="1"/>
  <c r="AD380" i="1" s="1"/>
  <c r="AE388" i="1"/>
  <c r="AD388" i="1" s="1"/>
  <c r="AE396" i="1"/>
  <c r="AD396" i="1" s="1"/>
  <c r="AE404" i="1"/>
  <c r="AD404" i="1" s="1"/>
  <c r="AE412" i="1"/>
  <c r="AD412" i="1" s="1"/>
  <c r="AE420" i="1"/>
  <c r="AD420" i="1" s="1"/>
  <c r="AE19" i="1"/>
  <c r="AD19" i="1" s="1"/>
  <c r="AE428" i="1"/>
  <c r="AD428" i="1" s="1"/>
  <c r="AE436" i="1"/>
  <c r="AD436" i="1" s="1"/>
</calcChain>
</file>

<file path=xl/sharedStrings.xml><?xml version="1.0" encoding="utf-8"?>
<sst xmlns="http://schemas.openxmlformats.org/spreadsheetml/2006/main" count="11980" uniqueCount="3205">
  <si>
    <t>ليندا ناجي رفعت ذكي تاوضروس</t>
  </si>
  <si>
    <t>ريهام احمد عبدالمنعم دغيدى</t>
  </si>
  <si>
    <t>هدى عبد السلام على خزام</t>
  </si>
  <si>
    <t>انجى حسن محمد بدر</t>
  </si>
  <si>
    <t>دينا محمد مسعد مسعد القفاص</t>
  </si>
  <si>
    <t>نهي زكريا عباس حسن</t>
  </si>
  <si>
    <t>دينا زكريا حسن عبد الوهاب هريدي</t>
  </si>
  <si>
    <t>شيماء السيد محمد محمد مردان</t>
  </si>
  <si>
    <t>دعاء رمضان بدوى بدوى</t>
  </si>
  <si>
    <t>شيماء محمد يوسف حسن السعدانى</t>
  </si>
  <si>
    <t>ولاء محمد احمد مصطفى شلبى</t>
  </si>
  <si>
    <t>رغدة نبيل صادق السيد</t>
  </si>
  <si>
    <t>دينا السعيد ابراهيم موافى</t>
  </si>
  <si>
    <t>رانيا السيد مصطفى البغدادى</t>
  </si>
  <si>
    <t>سارة احمد محمود الضوينى</t>
  </si>
  <si>
    <t>آيه جمال السيد أبو الخير</t>
  </si>
  <si>
    <t>دعاء أنسى عويس محمد البلاسى</t>
  </si>
  <si>
    <t>كريستين بهيج شوقى حنين</t>
  </si>
  <si>
    <t>هناء عبد العزيز عبد العزيز موسى</t>
  </si>
  <si>
    <t>دينا رضا رشاد السنجابى</t>
  </si>
  <si>
    <t>نجوى على حسن أبو زيد</t>
  </si>
  <si>
    <t>منصور سعد على هباله</t>
  </si>
  <si>
    <t>اشرف انور خليل عيسى</t>
  </si>
  <si>
    <t>خليفة عبد المنعم خليفة ابراهيم</t>
  </si>
  <si>
    <t>حاتم حسن محمد ابو النجا</t>
  </si>
  <si>
    <t>حسن حسن حامد محمد خلف</t>
  </si>
  <si>
    <t>حسن السيد محمد حسن المصري</t>
  </si>
  <si>
    <t>عمرو ابراهيم ابراهيم ابو الفرح</t>
  </si>
  <si>
    <t>محمد عبد العزيز خليفة عبادى</t>
  </si>
  <si>
    <t>ياسر عبدالله محمد الروبى السيد</t>
  </si>
  <si>
    <t>محمد السيد محمد العشماوى</t>
  </si>
  <si>
    <t>مايكل عطيه جرجس غبريال</t>
  </si>
  <si>
    <t>شريف محسن حلمى البربرى</t>
  </si>
  <si>
    <t>معتز محمد شاهين عبد العال</t>
  </si>
  <si>
    <t>ياسر ابو بكر محمد فؤاد مهنا</t>
  </si>
  <si>
    <t>احمد محمد نجيب على حسن</t>
  </si>
  <si>
    <t>شريف ابراهيم عبد العاطى محمد</t>
  </si>
  <si>
    <t>احمد شعبان ابراهيم محمد</t>
  </si>
  <si>
    <t>محمود محمود محمد محمود الشيمى</t>
  </si>
  <si>
    <t>شريف أحمد محمود على هجرس</t>
  </si>
  <si>
    <t>احمد محمد حلمى يوسف متولى</t>
  </si>
  <si>
    <t>ميشيل نبيل وارد يوسف</t>
  </si>
  <si>
    <t>محمد محمود محمود الروس</t>
  </si>
  <si>
    <t>رامى رؤول جاد الله عوض موسى</t>
  </si>
  <si>
    <t>معتز مجدى محمد رزق الشربينى</t>
  </si>
  <si>
    <t>عمر محمد عبد الوهاب أحمد سند</t>
  </si>
  <si>
    <t>أحمد محمد مسعد عبده السيسي</t>
  </si>
  <si>
    <t>أحمد طه أحمد عبد الكريم</t>
  </si>
  <si>
    <t>محمد حلمي السيد محمود</t>
  </si>
  <si>
    <t>محمد عماد السيد الفقى</t>
  </si>
  <si>
    <t>أحمد فكرى فتحى عبد الغفار</t>
  </si>
  <si>
    <t>محمد فؤاد السعيد السيد عطوة</t>
  </si>
  <si>
    <t>محمد جمال عبد العظيم محمود</t>
  </si>
  <si>
    <t>محمد عصام مسعد محمد حسن</t>
  </si>
  <si>
    <t>مصطفى محمود مصطفى عبد الحميد</t>
  </si>
  <si>
    <t>أحمد محمد محمد كمال أحمد</t>
  </si>
  <si>
    <t>محمد إبراهيم مصطفى حسن النحاس</t>
  </si>
  <si>
    <t>محمد يسرى إبراهيم الشافعى</t>
  </si>
  <si>
    <t>محمد يحيى محمد محمد عوض الله</t>
  </si>
  <si>
    <t>محمد محمد السيد فتيت</t>
  </si>
  <si>
    <t>محمد مختار عوضين مختار الحوت</t>
  </si>
  <si>
    <t>احمد عبد الفتاح محمد كمال طلبه</t>
  </si>
  <si>
    <t>محمد سمير محمد صلي</t>
  </si>
  <si>
    <t>محمود أحمد سعد خليل أبو حسين</t>
  </si>
  <si>
    <t>عمر خالد محمد السعيد حجاج</t>
  </si>
  <si>
    <t>أحمد يحيى محمد زكريا أحمد</t>
  </si>
  <si>
    <t>عرفة محمد السيد عيسى</t>
  </si>
  <si>
    <t>حسن ابراهيم الدسوقى عبده</t>
  </si>
  <si>
    <t>هانى محمود محمد جاد</t>
  </si>
  <si>
    <t>حامد حسن حامد المحروقى</t>
  </si>
  <si>
    <t>اشرف محمد محمد مشالى</t>
  </si>
  <si>
    <t>السيد السيد الحاج محمد العريان</t>
  </si>
  <si>
    <t>محمد حنيدق محمد ابراهيم الناغى</t>
  </si>
  <si>
    <t>محمد على عبده الشوربجى</t>
  </si>
  <si>
    <t>تغريد بدوى على حسن</t>
  </si>
  <si>
    <t>شريف محمد محمد الشريف</t>
  </si>
  <si>
    <t>نصرة يحى محمد الشريف</t>
  </si>
  <si>
    <t>شوزان السيد محمد الفول</t>
  </si>
  <si>
    <t>عبد السيد جندى اسكندر</t>
  </si>
  <si>
    <t>السيد عبدة حسين محمد</t>
  </si>
  <si>
    <t>علاء سالم محمد محمود</t>
  </si>
  <si>
    <t>جمال يسرى محمود حسن الدالى</t>
  </si>
  <si>
    <t>طارق صالح محمود الساعى</t>
  </si>
  <si>
    <t>هشام شحاتة عبد اللطيف شحاتة</t>
  </si>
  <si>
    <t>اسامه حسن رجب عبده المرشدى</t>
  </si>
  <si>
    <t>ممدوح عبدالسلام ابراهيم العايدي</t>
  </si>
  <si>
    <t>احمد محمد احمد ابووردة</t>
  </si>
  <si>
    <t>محمد السعيد محمد ابراهيم</t>
  </si>
  <si>
    <t>محمد رافت محمد الحسيني</t>
  </si>
  <si>
    <t>صبري عاشور علي صبح</t>
  </si>
  <si>
    <t>عادل محمد عمر محمد</t>
  </si>
  <si>
    <t>اشرف محمود فكرى فرج الشافعى</t>
  </si>
  <si>
    <t>طارق محمد محمد احمد زيتون</t>
  </si>
  <si>
    <t>وائل ممدوح محمد العطار</t>
  </si>
  <si>
    <t>السيد احمد محمد سعيد</t>
  </si>
  <si>
    <t>أبواليزيد محمود محمد العشرى</t>
  </si>
  <si>
    <t>وليد السيد العربى احمد</t>
  </si>
  <si>
    <t>اشرف حمدى الداوودى الشابورى</t>
  </si>
  <si>
    <t>محمد سيد محمد عطية</t>
  </si>
  <si>
    <t>اشرف احمد محمد ابوصير</t>
  </si>
  <si>
    <t>شريف محمود محمد نعمان</t>
  </si>
  <si>
    <t>محمد فوزي حسانين ابوعوف</t>
  </si>
  <si>
    <t>مسعد احمد مرسي عرنوس</t>
  </si>
  <si>
    <t>أيمن محمود محمد على عيسى</t>
  </si>
  <si>
    <t>عمرو محمد عبدالهادى مرشد</t>
  </si>
  <si>
    <t>محمد محمد علي الفار</t>
  </si>
  <si>
    <t>سمير محمد محمد احمد</t>
  </si>
  <si>
    <t>التابعى فاروق رجب ابراهيم الكومى</t>
  </si>
  <si>
    <t>السيد مختار السيد عبدالعال</t>
  </si>
  <si>
    <t>اشرف رجب عبد الوهاب احمد</t>
  </si>
  <si>
    <t>ابراهيم ابوزيد يونس ابوزيد</t>
  </si>
  <si>
    <t>رباح محمد شعبان التابعى</t>
  </si>
  <si>
    <t>ماهر منصور تادرس منصور</t>
  </si>
  <si>
    <t>محمد عثمان عوض عثمان موسى</t>
  </si>
  <si>
    <t>احمد محمد عبده محمد بكير</t>
  </si>
  <si>
    <t>زينب متولى مسعد ابو زيد</t>
  </si>
  <si>
    <t>عايده السيد بدرى عبدالرحمن</t>
  </si>
  <si>
    <t>فاطمه احمد الشربينى الصياد</t>
  </si>
  <si>
    <t>هيام السيد السادات الشوة</t>
  </si>
  <si>
    <t>منى غريب حامد ابراهيم</t>
  </si>
  <si>
    <t>سعاد رجب درويش عمارى</t>
  </si>
  <si>
    <t>غاده عوض السيد السبع شردى</t>
  </si>
  <si>
    <t>نها مصطفى مصطفى الحارونى</t>
  </si>
  <si>
    <t>عزه عبده محمد عوض</t>
  </si>
  <si>
    <t>سحر ابراهيم على الشريف</t>
  </si>
  <si>
    <t>نيفين محمد احمد برجاس</t>
  </si>
  <si>
    <t>محمد السيد ابراهيم الليلى</t>
  </si>
  <si>
    <t>محمد حمدى عبده السيد حجاج</t>
  </si>
  <si>
    <t>محمد سامى السيد محمود</t>
  </si>
  <si>
    <t>رانيه محمد العجمى حسن شباره</t>
  </si>
  <si>
    <t>فتحيه محمد محمد الغندور جوان</t>
  </si>
  <si>
    <t>نشوه محمد محمد حسين الأدهم</t>
  </si>
  <si>
    <t>داليا السيد محمد عثمان</t>
  </si>
  <si>
    <t>فاطمه عبدالله هدى احمد</t>
  </si>
  <si>
    <t>فاطمه ابراهيم احمدخليل المغربى</t>
  </si>
  <si>
    <t>امل ابراهيم رمضان أبوجمعة</t>
  </si>
  <si>
    <t>سلوى محمد عبدالرحيم محمد</t>
  </si>
  <si>
    <t>محمد احمد عبدالسلام محمد شردى</t>
  </si>
  <si>
    <t>وحيد ابراهيم كامل السيد صفا</t>
  </si>
  <si>
    <t>مصطفى محمد حلمى المنشاوى</t>
  </si>
  <si>
    <t>محمود عطا اسماعيل محمد</t>
  </si>
  <si>
    <t>وليد صابر عابدين عبد اللطيف</t>
  </si>
  <si>
    <t>اسلام ناجى رشاد عبده</t>
  </si>
  <si>
    <t>محمد ابراهيم محمد طه</t>
  </si>
  <si>
    <t>محمد مجدى محمد محمد</t>
  </si>
  <si>
    <t>احمد عاطف احمد صبحى الرازقى</t>
  </si>
  <si>
    <t>عواطف محمد السيد السيد القزاز</t>
  </si>
  <si>
    <t>حنان حسنى السيد أحمد محمد</t>
  </si>
  <si>
    <t>هبه محمد احمد محمود</t>
  </si>
  <si>
    <t>السيد سليمان فرح المرسى</t>
  </si>
  <si>
    <t>السيد حسن حامد فيالة</t>
  </si>
  <si>
    <t>محمد صلاح احمد سليم</t>
  </si>
  <si>
    <t>أشرف محمد السيد السخيلى</t>
  </si>
  <si>
    <t>السيد مختار فهيم جاد</t>
  </si>
  <si>
    <t>محمد حسن محمد السيد</t>
  </si>
  <si>
    <t>سامى صالح محمد صالح</t>
  </si>
  <si>
    <t>ابراهيم محمد أحمد صديق</t>
  </si>
  <si>
    <t>أحمد اسماعيل ابراهيم همام</t>
  </si>
  <si>
    <t>سامى الزناتى بدير مصطفى</t>
  </si>
  <si>
    <t>هانى محمد حافظ أبوالشهود</t>
  </si>
  <si>
    <t>السعيد بدوى توفيق بدوى</t>
  </si>
  <si>
    <t>مصطفى حلمى أحمد محمد</t>
  </si>
  <si>
    <t>احمد نبيل محمود عبد العاطي</t>
  </si>
  <si>
    <t>احمد اسامه يحيى حسنين الحلوانى</t>
  </si>
  <si>
    <t>محمد جمال محمد عويس</t>
  </si>
  <si>
    <t>السيد السيد المتولى سلامه</t>
  </si>
  <si>
    <t>ابراهيم عثمان ابوزيد احمد</t>
  </si>
  <si>
    <t>ثروت سمير حنا خليل</t>
  </si>
  <si>
    <t>احمد لطفى لطفى احمد</t>
  </si>
  <si>
    <t>حسام وصفى محمود محمد</t>
  </si>
  <si>
    <t>محمد التابعى محمود مصطفى</t>
  </si>
  <si>
    <t>كريم الدين حسين على عبدالمعطى</t>
  </si>
  <si>
    <t>يحى سيد سيد محمد عثمان</t>
  </si>
  <si>
    <t>هيثم محمد سمير محمد محمد</t>
  </si>
  <si>
    <t>محمد حسين احمد على</t>
  </si>
  <si>
    <t>احمد عبد المنعم رضوان رضوان</t>
  </si>
  <si>
    <t>محمد عبده محمد عبده المبيض</t>
  </si>
  <si>
    <t>سليمان حسن سليمان سليمان</t>
  </si>
  <si>
    <t>محمد خضر السيد عيسى</t>
  </si>
  <si>
    <t>هانى رضا ابراهيم حسن</t>
  </si>
  <si>
    <t>رامى خليل جرجس مقار</t>
  </si>
  <si>
    <t>احمد محمود عبدالله العباسى</t>
  </si>
  <si>
    <t>حسن عبد الغنى محمد الحديدى</t>
  </si>
  <si>
    <t>ايهاب فؤاد محمد محمد الشامى</t>
  </si>
  <si>
    <t>احمد محمد ضيف جلال</t>
  </si>
  <si>
    <t>عماد حليم سامى لبس</t>
  </si>
  <si>
    <t>احمد حسنى محمد منصور</t>
  </si>
  <si>
    <t>مروه محمد السيد ابو العطا</t>
  </si>
  <si>
    <t>راويه كارم عطوان على فلا</t>
  </si>
  <si>
    <t>طارق محسن عبد المنعم منسي</t>
  </si>
  <si>
    <t>اسلام احمد احمد محمد البربرى</t>
  </si>
  <si>
    <t>عبد الرحمن رضا حمزة علي</t>
  </si>
  <si>
    <t>احمد محمد حسن التابعي محمود</t>
  </si>
  <si>
    <t>احمد على العدل محمد جاد</t>
  </si>
  <si>
    <t>محمد عبد الله عبد الكريم عبد الله</t>
  </si>
  <si>
    <t>احمد حمدى السيد محمد قوطه</t>
  </si>
  <si>
    <t>ابراهيم حسان سويلم حسان</t>
  </si>
  <si>
    <t>طاهر نجاح ابراهيم موسى</t>
  </si>
  <si>
    <t>وفاء محسن محمد السيد الطوشليمى</t>
  </si>
  <si>
    <t>ولاء رمضان مسعد همام</t>
  </si>
  <si>
    <t>مريم حماده ابراهيم حماده محمود</t>
  </si>
  <si>
    <t>ايمان جمال محمد احمد جوده</t>
  </si>
  <si>
    <t>صفاء سمير ابراهيم محمد الروضى</t>
  </si>
  <si>
    <t>الهام محمد حمدى احمد سالم</t>
  </si>
  <si>
    <t>نهله على السيد محمد حسن</t>
  </si>
  <si>
    <t>دعاء عادل يحى ابراهيم الابيض</t>
  </si>
  <si>
    <t>هبه عادل احمد خليل عبد العال</t>
  </si>
  <si>
    <t>الشيماء مجدى نصر محمد عثمان</t>
  </si>
  <si>
    <t>منة الله على فهيم السيد حسان</t>
  </si>
  <si>
    <t>تغريد نصر محمد محمد عوضين</t>
  </si>
  <si>
    <t>رامز رمزى رزق الله الجندى</t>
  </si>
  <si>
    <t>حسام مجدى محمد عبد الحافظ</t>
  </si>
  <si>
    <t>احمد محمد احمد محمد صالح</t>
  </si>
  <si>
    <t>احمد جابر احمد حفنى السمان</t>
  </si>
  <si>
    <t>محمد صلاح محمود عبد الحميد</t>
  </si>
  <si>
    <t>عبده احمد عبده محمود الصدر</t>
  </si>
  <si>
    <t>حامد حسن حسن ابراهيم البغدادى</t>
  </si>
  <si>
    <t>محمد محمد سمير مرسىمرسى</t>
  </si>
  <si>
    <t>هيثم محمد المغاورى على المرسى</t>
  </si>
  <si>
    <t>محمود يسرى عبده على الباز</t>
  </si>
  <si>
    <t>حسين حميد محمد ابراهيم</t>
  </si>
  <si>
    <t>وليد احمد على على السقا</t>
  </si>
  <si>
    <t>حسن محمود منصور محمود عيد</t>
  </si>
  <si>
    <t>احمد رمضان طه احمد الشربينى</t>
  </si>
  <si>
    <t>محمد كمال كامل عبد الحليم</t>
  </si>
  <si>
    <t>احمد محمد رفعت محمد الدحروجى</t>
  </si>
  <si>
    <t>عمرو احمد محمد احمد حسن</t>
  </si>
  <si>
    <t>احمد فؤاد على عبد الغنى على</t>
  </si>
  <si>
    <t>السيد السيد محمد على الاسكندرانى</t>
  </si>
  <si>
    <t>ابراهيم المتولى ابراهيم ابو الوفا</t>
  </si>
  <si>
    <t>ماهر مصطفى ابراهيم موسى الجزار</t>
  </si>
  <si>
    <t>محمود نبيل محمد محمد الخميسى</t>
  </si>
  <si>
    <t>احمد محمود احمد على مهران</t>
  </si>
  <si>
    <t>احمد السيد العربى على على فلفل</t>
  </si>
  <si>
    <t>عبير السيد على عبد الغفار</t>
  </si>
  <si>
    <t>السيد عبدالعزيز محمد عبدالعزيز</t>
  </si>
  <si>
    <t>حنان على على الهجين</t>
  </si>
  <si>
    <t>تامر سعيد حامد محمد والي</t>
  </si>
  <si>
    <t>محمد السيد محمد ابراهيم الصياد</t>
  </si>
  <si>
    <t>محمد نبيل محمد عبده حميد</t>
  </si>
  <si>
    <t>ابراهيم احمد شعبان حسن شرف</t>
  </si>
  <si>
    <t>احمد السيد رجب احمد رمضان</t>
  </si>
  <si>
    <t>احمد طلعت احمد عبد الحميد</t>
  </si>
  <si>
    <t>عادل رشاد يوسف خميس فياض</t>
  </si>
  <si>
    <t>نهي السيد عطية عباس نور الدين</t>
  </si>
  <si>
    <t>رانيا هلال عواد مسلم</t>
  </si>
  <si>
    <t>نهى السيد عبد العال محمد ابراهيم</t>
  </si>
  <si>
    <t>غاده السيد اسماعيل ابو طالب</t>
  </si>
  <si>
    <t>ولاء مصطفى محمد على ابومباركه</t>
  </si>
  <si>
    <t>تغريد صلاح محمد سليمان بدوى</t>
  </si>
  <si>
    <t>ابراهيم عزت تهامى عزب</t>
  </si>
  <si>
    <t>ياسمين محمد جابر عمر محمود</t>
  </si>
  <si>
    <t>ساره احمد ثابت معاطى فريحه</t>
  </si>
  <si>
    <t>دعاء ضاحى احمد تمام</t>
  </si>
  <si>
    <t>فاطمه ابوالعطا حامد عبده الصنعى</t>
  </si>
  <si>
    <t>دعاء بشير محمد حسين عبد الحميد</t>
  </si>
  <si>
    <t>هبه فهمى محمد احمد عبد الكريم</t>
  </si>
  <si>
    <t>نورهان جمال عبد الفتاح محمد جويد</t>
  </si>
  <si>
    <t>اسماء محمد ابراهيم محمد رمضان</t>
  </si>
  <si>
    <t>رشا ابو الفتوح حماد رشوان</t>
  </si>
  <si>
    <t>نوال عبد الغفار ابراهيم عبده زعلوك</t>
  </si>
  <si>
    <t>هويدا محمد محمود احمد الطنطاوى</t>
  </si>
  <si>
    <t>انجى ممدوح السيد محمد عبد العال</t>
  </si>
  <si>
    <t>منى احمد امين ابو المعاطى</t>
  </si>
  <si>
    <t>امل فهمي عبد الحميد رمضان</t>
  </si>
  <si>
    <t>عزه محمد يحيى احمد الشبكى</t>
  </si>
  <si>
    <t>فاطمه اسماعيل عبده محمد الشحات</t>
  </si>
  <si>
    <t>هبه رزق علي حسين العيسوي</t>
  </si>
  <si>
    <t>ريهام رافت فتحى الكومى</t>
  </si>
  <si>
    <t>ليلى جمال عبد الرحمن تمام</t>
  </si>
  <si>
    <t>هويدا عيد فهمي محمد زهران</t>
  </si>
  <si>
    <t>محمد حاتم نبيه صابر</t>
  </si>
  <si>
    <t>سماح احمد عوض الشامى</t>
  </si>
  <si>
    <t>صابرين المتولى السيدمحمد ريان</t>
  </si>
  <si>
    <t>مروه محمد ابراهيم احمد عياد</t>
  </si>
  <si>
    <t>ضحى محمود محمد غراب</t>
  </si>
  <si>
    <t>مياده محمد عبد العزيز عبد الرازق</t>
  </si>
  <si>
    <t>محمد جمال عوضين ابو الجود</t>
  </si>
  <si>
    <t>مديحه احمد السيد ابراهيم قبضايه</t>
  </si>
  <si>
    <t>امانى اسماعيل عبد الفتاح على</t>
  </si>
  <si>
    <t>فوزيه صالح محمد وهبه</t>
  </si>
  <si>
    <t>ابتسام محمد الغريب السعيد محمد</t>
  </si>
  <si>
    <t>حنان احمد محمد عبد الصمد</t>
  </si>
  <si>
    <t>دينا محسن كامل ابراهيم قوطه</t>
  </si>
  <si>
    <t>امل عبد الحميد احمد محمد</t>
  </si>
  <si>
    <t>احمد سالم احمد زهران</t>
  </si>
  <si>
    <t>ياسمين ممدوح فهمى فريد محمد</t>
  </si>
  <si>
    <t>رشا أحمد حسن محمدعياد</t>
  </si>
  <si>
    <t>على محمد احمد محمد</t>
  </si>
  <si>
    <t>منى محمود السيد محمود ابو عبده</t>
  </si>
  <si>
    <t>محمد على عبد الغنى مسره</t>
  </si>
  <si>
    <t>هدير عاطف محمود محمد حجاب</t>
  </si>
  <si>
    <t>ايمان مدحت عثمان احمد عثمان</t>
  </si>
  <si>
    <t>عبدالله صالح صابر محمد</t>
  </si>
  <si>
    <t>اميره السيد غريب مراد</t>
  </si>
  <si>
    <t>نجاه السيد محمد عبدالله متولى</t>
  </si>
  <si>
    <t>رضا محمد عبد النعيم زوكى محمد</t>
  </si>
  <si>
    <t>امل محمد يوسف احمد جودة</t>
  </si>
  <si>
    <t>منى محمد حسن محمد احمد غراب</t>
  </si>
  <si>
    <t>فاطمه حسن محمد طاهر ابراهيم</t>
  </si>
  <si>
    <t>سماح عوض عبداللاه حسين حسن</t>
  </si>
  <si>
    <t>بسمة ناصر السيد شتيوي</t>
  </si>
  <si>
    <t>سارة عادل حسن محمد ابوالنصر</t>
  </si>
  <si>
    <t>إحسان ابراهيم ابراهيم محمد الاشعل</t>
  </si>
  <si>
    <t>بدرية ناصر سعد محمد</t>
  </si>
  <si>
    <t>امنية طة السيد رمضان الكفراوي</t>
  </si>
  <si>
    <t>سارة رضا منصور مصطفي عرفة</t>
  </si>
  <si>
    <t>نجلاء عبد الحميد أحمد محمد نجم</t>
  </si>
  <si>
    <t>سلوي وفيق محمد عوض الحويلي</t>
  </si>
  <si>
    <t>الشيماء السيد محمد موسي</t>
  </si>
  <si>
    <t>سماح عادل عبد الصمد عبدالتواب</t>
  </si>
  <si>
    <t>شيماء محمد محمد ابراهيم فراج</t>
  </si>
  <si>
    <t>ايه احمد عبده السحراوى</t>
  </si>
  <si>
    <t>سمر سعد محمود صالح ابراهيم</t>
  </si>
  <si>
    <t>امل على شعبان محمد حسين</t>
  </si>
  <si>
    <t>ايمان اسماعيل عبد الفتاح على</t>
  </si>
  <si>
    <t>شريف خضر ابراهيم محمد الدسوقى</t>
  </si>
  <si>
    <t>محمد احمد محمد اسماعيل</t>
  </si>
  <si>
    <t>محمد سمير محمود على</t>
  </si>
  <si>
    <t>احمد محمد ابراهيم زناتى</t>
  </si>
  <si>
    <t>احمد عبدالله صالح عبدالله</t>
  </si>
  <si>
    <t>احمد محمد احمد محمد عبيد</t>
  </si>
  <si>
    <t>السيد على عبد الغنى مسره</t>
  </si>
  <si>
    <t>محمد احمد مصطفى احمد الصاحى</t>
  </si>
  <si>
    <t>ايمن احمد على السعيد البواب</t>
  </si>
  <si>
    <t>مصطفي عبدالله اسماعيل ابو زامل</t>
  </si>
  <si>
    <t>على محمد احمد عبد الحميد سعود</t>
  </si>
  <si>
    <t>محمود محمد عباس السيد صالح</t>
  </si>
  <si>
    <t>احمد نبيل سعد محمد البصال</t>
  </si>
  <si>
    <t>محمد عيد توفيق مصطفي سليمان</t>
  </si>
  <si>
    <t>حسام علاء حسن مرسى الشامى</t>
  </si>
  <si>
    <t>محمد السعيد كامل محمد سلامه</t>
  </si>
  <si>
    <t>فهمى وحيد عزت محمد عبد الحليم</t>
  </si>
  <si>
    <t>محمد السيد محمد احمد قامش</t>
  </si>
  <si>
    <t>خالد مسعد محمود مصطفى</t>
  </si>
  <si>
    <t>محمود احمد غانم غنيم</t>
  </si>
  <si>
    <t>محمد شعبان محمد ابراهيم سعيد</t>
  </si>
  <si>
    <t>محمود احمد صالح احمد على</t>
  </si>
  <si>
    <t>محمد لطفي كامل بهلول السيد</t>
  </si>
  <si>
    <t>اسلام سعيد محمد محمود موافي</t>
  </si>
  <si>
    <t>احمد عبد الرحيم محمد بكري عيسي</t>
  </si>
  <si>
    <t>احمد حسني محمد احمد الجويلي</t>
  </si>
  <si>
    <t>احمد محمد عزام محمد ابراهيم</t>
  </si>
  <si>
    <t>اسامه محمد حسنين بدوى</t>
  </si>
  <si>
    <t>مينا سامي فريد متياس</t>
  </si>
  <si>
    <t>محمد سعد حسن علي الشناوي</t>
  </si>
  <si>
    <t>محمد عادل سعد السقا</t>
  </si>
  <si>
    <t>جورج عادل لبيب عبد الملاك</t>
  </si>
  <si>
    <t>محمد عبد العليم فتوح متولي</t>
  </si>
  <si>
    <t>ايهاب محمد عبد الراضي محمد علي</t>
  </si>
  <si>
    <t>كريم محمد محمد فتحى حسين</t>
  </si>
  <si>
    <t>بركات سعد بركات السيد</t>
  </si>
  <si>
    <t>هاله احمد السيد مصطفي</t>
  </si>
  <si>
    <t>هايدي محمد مبارك سعد</t>
  </si>
  <si>
    <t>عبير حلمي حسين حبيشي</t>
  </si>
  <si>
    <t>لمياء السيد محمد عطيه الغول</t>
  </si>
  <si>
    <t>سميحه حسن رضوان محمد</t>
  </si>
  <si>
    <t>حنان محمود محمد بدوي</t>
  </si>
  <si>
    <t>سهير محمود محمد بدوي</t>
  </si>
  <si>
    <t>ريهام على احمد محمد موسى</t>
  </si>
  <si>
    <t>زينب فتحي محمد عبداللطيف جوده</t>
  </si>
  <si>
    <t>الهام ربيع حسن علي جاد</t>
  </si>
  <si>
    <t>اسماء كامل عبد السلام بدوي</t>
  </si>
  <si>
    <t>اشرف ابراهيم انيس محمد</t>
  </si>
  <si>
    <t>مروة محمد عادل شلبى محمود</t>
  </si>
  <si>
    <t>نعيمه فتحى المحمدى سليمان غانم</t>
  </si>
  <si>
    <t>احمد مصطفى خليل رضوان</t>
  </si>
  <si>
    <t>أيه مجدي فوزي محمد الريس</t>
  </si>
  <si>
    <t>شرين محمود محمد محمود الشاعر</t>
  </si>
  <si>
    <t>دينا علي احمد محمد موسي</t>
  </si>
  <si>
    <t>هند محمد طنطاوى السيد</t>
  </si>
  <si>
    <t>فاطمه حسن محمد شطا</t>
  </si>
  <si>
    <t>محمد محمود فريج زايد</t>
  </si>
  <si>
    <t>محمود سمير محمد محمد الرفاعى</t>
  </si>
  <si>
    <t>محمود حامد عبده الحسينى</t>
  </si>
  <si>
    <t>اماني حسني السيد احمد محمد</t>
  </si>
  <si>
    <t>دنيا محمد محمد يوسف السيد</t>
  </si>
  <si>
    <t>سماح السيد اسماعيل عبدالحميد</t>
  </si>
  <si>
    <t>سهير كامل احمد ابوالنجا</t>
  </si>
  <si>
    <t>شيماء محمد نجيب حسن خضر</t>
  </si>
  <si>
    <t>نشوي محمد كمال السيد الجندي</t>
  </si>
  <si>
    <t>هاله عوض محمد وهيب</t>
  </si>
  <si>
    <t>امال محمد غريب السيد احمد</t>
  </si>
  <si>
    <t>احمد محمد احمد عثمان</t>
  </si>
  <si>
    <t>ايه محمود محمد محمود الشاعر</t>
  </si>
  <si>
    <t>بشري محمد محمد ابوسليمه</t>
  </si>
  <si>
    <t>تامر محمد عبد الهادي</t>
  </si>
  <si>
    <t>عايده حسن رضوان محمد عجلان</t>
  </si>
  <si>
    <t>لمياء احمد محمد محمود الرفاعي</t>
  </si>
  <si>
    <t>دعاء ابراهيم السيد مطر</t>
  </si>
  <si>
    <t>اسلام توفيق محمد حسان</t>
  </si>
  <si>
    <t>احمد اسامه توفيق عبدالرازق</t>
  </si>
  <si>
    <t>امل سامي حسن عبدالعال</t>
  </si>
  <si>
    <t>حسام الدين سعد عباس العويلى</t>
  </si>
  <si>
    <t>دينا مسعد ياقوت مصطفي</t>
  </si>
  <si>
    <t>رغده عادل محمد البنان</t>
  </si>
  <si>
    <t>سحر السيد ابراهيم ابو العطا</t>
  </si>
  <si>
    <t>معتز سلامه ابراهيم السيد</t>
  </si>
  <si>
    <t>ناهد احمد محمد محمود</t>
  </si>
  <si>
    <t>هبه محسن عيد سراج</t>
  </si>
  <si>
    <t>وائل السيد محمد عطيه</t>
  </si>
  <si>
    <t>ياسمين السيد ابراهيم السيد</t>
  </si>
  <si>
    <t>ياسمين محمد علي احمد</t>
  </si>
  <si>
    <t>ابراهيم ابراهيم حسن محمد</t>
  </si>
  <si>
    <t>احمد محمد محمود محمد البدرانى</t>
  </si>
  <si>
    <t>السيد على على شنشن</t>
  </si>
  <si>
    <t>اماني سعد عثمان علي</t>
  </si>
  <si>
    <t>سامر ابراهيم عطيه حميد</t>
  </si>
  <si>
    <t>سامر محمد مختار عبده</t>
  </si>
  <si>
    <t>صابر محمد فايز احمد عبد الحميد</t>
  </si>
  <si>
    <t>عبده عيسي أحمد السيد الشناوي</t>
  </si>
  <si>
    <t>فهمى السعيد محمد صالح</t>
  </si>
  <si>
    <t>محمد السيد العربى محمد الصاوى</t>
  </si>
  <si>
    <t>محمد محمود سلامه حسنين</t>
  </si>
  <si>
    <t>مروة جابر محمود عمر الوالي</t>
  </si>
  <si>
    <t>نيفين أحمد أحمد الحسيني</t>
  </si>
  <si>
    <t>محمد احمد اسماعيل محمد الشناوى</t>
  </si>
  <si>
    <t>رمضان محمود على الصياد</t>
  </si>
  <si>
    <t>ندى مرسي هاشم إسماعيل</t>
  </si>
  <si>
    <t>طارق محمود احمد محمود هريسه</t>
  </si>
  <si>
    <t>احمد ابراهيم محمد ابراهيم</t>
  </si>
  <si>
    <t>احمد محمد محمد احمد عميره</t>
  </si>
  <si>
    <t>السعيد محمد السعيد محمد المهدى</t>
  </si>
  <si>
    <t>جهاد احمد محمد محمد حسن</t>
  </si>
  <si>
    <t>عمرو مصطفى محمد مصطفى العيس</t>
  </si>
  <si>
    <t>محمد الحسيني الحسيني مصلحى اس</t>
  </si>
  <si>
    <t>محمد لبيب السيد مسعد علام</t>
  </si>
  <si>
    <t>محمد محسن عبد الرحيم محمود عل</t>
  </si>
  <si>
    <t>محمد محسن محمد خليل الشرايدى</t>
  </si>
  <si>
    <t>محمد محمد على السيد عبدالله</t>
  </si>
  <si>
    <t>محمود عبد الفتاح عبد العال محمد</t>
  </si>
  <si>
    <t>محمود محمد نجيب محمد يحي</t>
  </si>
  <si>
    <t>مصطفى محمود محمد سيد احمد</t>
  </si>
  <si>
    <t>فاطمه عبد الله الغريب احمد فراج</t>
  </si>
  <si>
    <t>هبه عبده الداودى ابراهيم الهدبى</t>
  </si>
  <si>
    <t>رباب حسن السيد ابراهيم</t>
  </si>
  <si>
    <t>احمد فرج عبدالمنعم مصطفى عيسى</t>
  </si>
  <si>
    <t>كريم هشام السيد عبدالنعيم حسنين</t>
  </si>
  <si>
    <t>سعد طارق محمد ابراهيم موسى</t>
  </si>
  <si>
    <t>آلاء محمود محمد مصطفى السيد</t>
  </si>
  <si>
    <t>مصطفى محمد مصطفى مخيمر</t>
  </si>
  <si>
    <t>مينا عاطف جرجس زكريا</t>
  </si>
  <si>
    <t>شهير محمد أحمد محمد نور</t>
  </si>
  <si>
    <t>مارك ميخائيل سامي خليل جرجس</t>
  </si>
  <si>
    <t>سلمى محمد عبد الباعث محمد</t>
  </si>
  <si>
    <t>ندى محمد محمود محمود محمد أبو ع</t>
  </si>
  <si>
    <t>سلمى هاني محمد طنطاوي</t>
  </si>
  <si>
    <t>أحمد محمد البدري عيسى</t>
  </si>
  <si>
    <t>البلد</t>
  </si>
  <si>
    <t>القسم</t>
  </si>
  <si>
    <t>الرقم</t>
  </si>
  <si>
    <t>الاسم</t>
  </si>
  <si>
    <t>تاريخ الميلاد</t>
  </si>
  <si>
    <t>تاريخ التعيين</t>
  </si>
  <si>
    <t>تاريخ الدرجة</t>
  </si>
  <si>
    <t>م. المهنة</t>
  </si>
  <si>
    <t>م. الوظيفة</t>
  </si>
  <si>
    <t>الدرجة</t>
  </si>
  <si>
    <t>م. القسم</t>
  </si>
  <si>
    <t>المهنة</t>
  </si>
  <si>
    <t>الوظيفة</t>
  </si>
  <si>
    <t>مسمى الدرجة</t>
  </si>
  <si>
    <t>الأساسي</t>
  </si>
  <si>
    <t>Column1</t>
  </si>
  <si>
    <t>م. البلد</t>
  </si>
  <si>
    <t>بورسعيد</t>
  </si>
  <si>
    <t>الفئة الوظيفية</t>
  </si>
  <si>
    <t>موظفين دائمين</t>
  </si>
  <si>
    <t>عمال دائمين</t>
  </si>
  <si>
    <t>موظفين عقود</t>
  </si>
  <si>
    <t>عمـال عقـود</t>
  </si>
  <si>
    <t>عمـال عقـود شاملة</t>
  </si>
  <si>
    <t>شئون صحية</t>
  </si>
  <si>
    <t>المالى والإدارى</t>
  </si>
  <si>
    <t>نقل بورسعيد</t>
  </si>
  <si>
    <t>العمر الحالي</t>
  </si>
  <si>
    <t>العمر اليوم</t>
  </si>
  <si>
    <t>مدة الخدمة</t>
  </si>
  <si>
    <t xml:space="preserve">تاريخ بلوغ 60 </t>
  </si>
  <si>
    <t>معاش 12/31</t>
  </si>
  <si>
    <t>معاش 01/01</t>
  </si>
  <si>
    <t>الجنس</t>
  </si>
  <si>
    <t>مكان الميلاد</t>
  </si>
  <si>
    <t>الشهر=1</t>
  </si>
  <si>
    <t>اليوم=1</t>
  </si>
  <si>
    <t>م. الدرجة</t>
  </si>
  <si>
    <t>المهن والدرجات بهيئة قناة السويس</t>
  </si>
  <si>
    <t>جمع</t>
  </si>
  <si>
    <t>مسمي الدرجة</t>
  </si>
  <si>
    <t>م -- المهنة</t>
  </si>
  <si>
    <t>مسمي المهنة حسب الدرجة</t>
  </si>
  <si>
    <t>بدون</t>
  </si>
  <si>
    <t>مهندس معار</t>
  </si>
  <si>
    <t>الثانيه</t>
  </si>
  <si>
    <t>فنى تشغيل تليفونات</t>
  </si>
  <si>
    <t>مشرف اول فنى تشغيل تليفونات</t>
  </si>
  <si>
    <t>الثالثة</t>
  </si>
  <si>
    <t>مشرف فنى تشغيل تليفونات</t>
  </si>
  <si>
    <t>الرابعة</t>
  </si>
  <si>
    <t>فنى تشغيل تليفونات ممتاز اول</t>
  </si>
  <si>
    <t>الخامسة</t>
  </si>
  <si>
    <t>فنى تشغيل تليفونات ممتاز</t>
  </si>
  <si>
    <t>السادسة</t>
  </si>
  <si>
    <t>فنى تشغيل تليفونات رئيسي</t>
  </si>
  <si>
    <t>السابعة</t>
  </si>
  <si>
    <t>فنى تشغيل تليفونات اول</t>
  </si>
  <si>
    <t>الثامنة</t>
  </si>
  <si>
    <t>مستشار رئيس الهيئة</t>
  </si>
  <si>
    <t>مدير</t>
  </si>
  <si>
    <t>فنى سلامه وصحه مهنية</t>
  </si>
  <si>
    <t>مشرف اول فنى سلامه وصحه مهنية</t>
  </si>
  <si>
    <t>مشرف فنى سلامه وصحه مهنية</t>
  </si>
  <si>
    <t>فنى سلامه وصحه مهنية ممتاز اول</t>
  </si>
  <si>
    <t>فنى سلامه وصحه مهنية ممتاز</t>
  </si>
  <si>
    <t>فنى سلامه وصحه مهنية رئيسي</t>
  </si>
  <si>
    <t>فنى سلامه وصحه مهنية اول</t>
  </si>
  <si>
    <t>رئيس الهيئة</t>
  </si>
  <si>
    <t>نائب رئيس الهيئة</t>
  </si>
  <si>
    <t>مدير مكتب السيد الفريق</t>
  </si>
  <si>
    <t>رئيس شؤون الامن للمجري الملاحي</t>
  </si>
  <si>
    <t>ربان قاطرة انقاذ</t>
  </si>
  <si>
    <t>وكيل مدير</t>
  </si>
  <si>
    <t>عقد شامل -اعمال كتابية ومدخل بيانات</t>
  </si>
  <si>
    <t>عقد شامل -عامل طباعة وتجليد</t>
  </si>
  <si>
    <t>عقد شامل -عامل إنشاءات وصيانة</t>
  </si>
  <si>
    <t>عقد شامل -عامل تجليخ معادن</t>
  </si>
  <si>
    <t>عقد شامل -عامل لحام كهرباء وقطعية</t>
  </si>
  <si>
    <t>عقد شامل -عامل توضيب</t>
  </si>
  <si>
    <t>عقد شامل -عامل صيدلية</t>
  </si>
  <si>
    <t>عقد شامل -عامل تثقيبات تربة</t>
  </si>
  <si>
    <t>عقد شامل - بحرى</t>
  </si>
  <si>
    <t>عقد شامل -عامل خدمات معاونة</t>
  </si>
  <si>
    <t>عقد شامل -سائق سيارة</t>
  </si>
  <si>
    <t>عقد شامل -عامل معمل تحاليل</t>
  </si>
  <si>
    <t>عقد شامل -عامل كهربائى قوى</t>
  </si>
  <si>
    <t>عقد شامل -عامل تمريض</t>
  </si>
  <si>
    <t>عقد شامل -عامل منجد</t>
  </si>
  <si>
    <t>عقد شامل -عامل ميكانيكى تركيبات</t>
  </si>
  <si>
    <t>عقد شامل -عامل جناينى</t>
  </si>
  <si>
    <t>عقد شامل -سائق معده</t>
  </si>
  <si>
    <t>عقد شامل -عامل مصعد</t>
  </si>
  <si>
    <t>عقد شامل -عامل براده مواسير</t>
  </si>
  <si>
    <t>عقد شامل -عامل إستورجى</t>
  </si>
  <si>
    <t>عقد شامل -عامل رشمه ودهان</t>
  </si>
  <si>
    <t>عقد شامل -عامل سمكرى سيارات</t>
  </si>
  <si>
    <t>عقد شامل -عامل إصلاح كاوتشوك</t>
  </si>
  <si>
    <t>عقد شامل -عامل ميكانيكا سيارات</t>
  </si>
  <si>
    <t>عقد شامل -عامل نجاره عامه</t>
  </si>
  <si>
    <t>عقد شامل -عامل خراطه معادن</t>
  </si>
  <si>
    <t>عقد شامل -عامل محركات بحرية</t>
  </si>
  <si>
    <t>عقد شامل -عامل سباكه معادن</t>
  </si>
  <si>
    <t>عقد شامل - عامل تغذيه</t>
  </si>
  <si>
    <t>عقد شامل-عامل صيانة الالات بال</t>
  </si>
  <si>
    <t>عقد شامل -مساعد معمل تحاليل طبية</t>
  </si>
  <si>
    <t>عقد شامل - حجار</t>
  </si>
  <si>
    <t>عقد شامل - سروجى</t>
  </si>
  <si>
    <t>عقد شامل - عامل تشحييم وتزييت</t>
  </si>
  <si>
    <t>عقد شامل - عامل وناش</t>
  </si>
  <si>
    <t>عقد شامل - عامل غسيل مروقات وخ</t>
  </si>
  <si>
    <t>عقد شامل - عامل كهربائى توصيلات</t>
  </si>
  <si>
    <t>عقد شامل - عامل مرشحات</t>
  </si>
  <si>
    <t>عقد شامل - عامل زجاج</t>
  </si>
  <si>
    <t>عقد شامل - عامل سباكة</t>
  </si>
  <si>
    <t>عقد شامل - عامل صرف صحى</t>
  </si>
  <si>
    <t>عقد شامل - عامل نقاشة</t>
  </si>
  <si>
    <t>عقد شامل - عامل نجارة مسلحة</t>
  </si>
  <si>
    <t>عقد شامل - عامل ميكانيكى معدات</t>
  </si>
  <si>
    <t>عقد شامل - عامل دوكو سيارات</t>
  </si>
  <si>
    <t>عقد شامل - عامل تبريد وتكييف</t>
  </si>
  <si>
    <t>عقد شامل - عامل بوتاجازات وسخانات</t>
  </si>
  <si>
    <t>عقد شامل - عامل مبيض محارة</t>
  </si>
  <si>
    <t>عقد شامل - عامل صيانة مروقات</t>
  </si>
  <si>
    <t>عقد شامل - عامل مبيض</t>
  </si>
  <si>
    <t>عقد شامل - عامل معمل</t>
  </si>
  <si>
    <t>عقد شامل - عامل كهربائى سيارات</t>
  </si>
  <si>
    <t>عقد شامل - عامل نقش وزخرفة</t>
  </si>
  <si>
    <t>عقد شامل - عامل شبكات مياة</t>
  </si>
  <si>
    <t>عقد شامل - عامل نجارة</t>
  </si>
  <si>
    <t>عقد شامل - أعمال كتابية معاونة</t>
  </si>
  <si>
    <t>عقد شامل - عامل مساعد قارئ عدادات</t>
  </si>
  <si>
    <t>عقد شامل - عامل مساعد سفرجي</t>
  </si>
  <si>
    <t>عقد شامل - عامل مساعد طباخ</t>
  </si>
  <si>
    <t>عقد شامل - عامل تعقييم</t>
  </si>
  <si>
    <t>عقد شامل - عامل سويتش</t>
  </si>
  <si>
    <t>طالب</t>
  </si>
  <si>
    <t>طلبة</t>
  </si>
  <si>
    <t>اولى</t>
  </si>
  <si>
    <t>مهندس</t>
  </si>
  <si>
    <t>رئيس قسم مهندس</t>
  </si>
  <si>
    <t>وكيل قسم مهندس</t>
  </si>
  <si>
    <t>مدير اعمال</t>
  </si>
  <si>
    <t>مساعد مدير أعمال</t>
  </si>
  <si>
    <t>مهندس أول</t>
  </si>
  <si>
    <t>وكيل مدير مهندس</t>
  </si>
  <si>
    <t>نائب مدير</t>
  </si>
  <si>
    <t>نائب مدير مهندس</t>
  </si>
  <si>
    <t>طبيب</t>
  </si>
  <si>
    <t>كبير أطباء</t>
  </si>
  <si>
    <t>كبير أطباء مساعد</t>
  </si>
  <si>
    <t>طبيب ممتاز</t>
  </si>
  <si>
    <t>طبيب رئيسى</t>
  </si>
  <si>
    <t>طبيب أول</t>
  </si>
  <si>
    <t>كبير أطباء أول</t>
  </si>
  <si>
    <t>كبير أطباء ممتاز</t>
  </si>
  <si>
    <t>صيدلى</t>
  </si>
  <si>
    <t>كبير صيادلة</t>
  </si>
  <si>
    <t>كبير صيادلة مساعد</t>
  </si>
  <si>
    <t>صيدلى ممتاز</t>
  </si>
  <si>
    <t>صيدلى رئيسى</t>
  </si>
  <si>
    <t>صيدلى اول</t>
  </si>
  <si>
    <t>كبير صيادلة اول</t>
  </si>
  <si>
    <t>كبير صيادلة ممتاز</t>
  </si>
  <si>
    <t>اخصائى تمريض</t>
  </si>
  <si>
    <t>كبيراخصائيين خدمات مساعدة</t>
  </si>
  <si>
    <t>مساعد كبيراخصائيين خدمات مساعدة</t>
  </si>
  <si>
    <t>اخصائى خدمات مساعدة ممتاز</t>
  </si>
  <si>
    <t>اخصائى خدمات مساعدة رئيسى</t>
  </si>
  <si>
    <t>اخصائى خدمات مساعدة اول</t>
  </si>
  <si>
    <t>اخصائى خدمات مساعدة</t>
  </si>
  <si>
    <t>كبير اخصائيين خدمساعدة اول</t>
  </si>
  <si>
    <t>كبير اخصائيين خدمات مساعدة ممتاز</t>
  </si>
  <si>
    <t>اخصائى علاج طبيعى</t>
  </si>
  <si>
    <t>كبير اخصائيين علاج طبيعى</t>
  </si>
  <si>
    <t>كبير اخصائيين علاج طبيعى مساعد</t>
  </si>
  <si>
    <t>اخصائى علاج طبيعى ممتاز</t>
  </si>
  <si>
    <t>اخصائى علاج طبيعى رئيسى</t>
  </si>
  <si>
    <t>اخصائى علاج طبيعى اول</t>
  </si>
  <si>
    <t>كبير اخصائيين علاج طبيعى اول</t>
  </si>
  <si>
    <t>كبير اخصائيين علاج طبيعى ممتاز</t>
  </si>
  <si>
    <t>محاسب</t>
  </si>
  <si>
    <t>رئيس قسم محاسب</t>
  </si>
  <si>
    <t>وكيل قسم محاسب</t>
  </si>
  <si>
    <t>محاسب ممتاز</t>
  </si>
  <si>
    <t>محاسب رئيسى</t>
  </si>
  <si>
    <t>محاسب اول</t>
  </si>
  <si>
    <t>وكيل مدير محاسب</t>
  </si>
  <si>
    <t>نائب مدير محاسب</t>
  </si>
  <si>
    <t>اخصائى مشتريات</t>
  </si>
  <si>
    <t>رئيس قسم اخصائى</t>
  </si>
  <si>
    <t>وكيل قسم اخصائى</t>
  </si>
  <si>
    <t>اخصائى ممتاز</t>
  </si>
  <si>
    <t>اخصائى رئيسى</t>
  </si>
  <si>
    <t>اخصائى اول</t>
  </si>
  <si>
    <t>اخصائى</t>
  </si>
  <si>
    <t>وكيل مديراخصائى</t>
  </si>
  <si>
    <t>نائب مديراخصائى</t>
  </si>
  <si>
    <t>محامى</t>
  </si>
  <si>
    <t>رئيس قسم محامى</t>
  </si>
  <si>
    <t>وكيل قسم محامى</t>
  </si>
  <si>
    <t>محامى ممتاز</t>
  </si>
  <si>
    <t>محامى رئيسى</t>
  </si>
  <si>
    <t>محامى اول</t>
  </si>
  <si>
    <t>وكيل مدير محامى</t>
  </si>
  <si>
    <t>نائب مدير محامى</t>
  </si>
  <si>
    <t>اخصائى افراد</t>
  </si>
  <si>
    <t>اخصائى خدمات ادارية</t>
  </si>
  <si>
    <t>اخصائى علاقات عامة</t>
  </si>
  <si>
    <t>اخصائى ترجمة</t>
  </si>
  <si>
    <t>اخصائى خدمات اجتماعية</t>
  </si>
  <si>
    <t>اخصائى تنظيم وادارة</t>
  </si>
  <si>
    <t>اخصائى امن</t>
  </si>
  <si>
    <t>اخصائى بحوث اقتصادية</t>
  </si>
  <si>
    <t>اخصائى احصاء</t>
  </si>
  <si>
    <t>اخصائى تربية بدنية</t>
  </si>
  <si>
    <t>كبير اخصائيين خدمات مساعدة اول</t>
  </si>
  <si>
    <t>اخصائى تدبير منزلى</t>
  </si>
  <si>
    <t>اخصائى اعمال ذراعية</t>
  </si>
  <si>
    <t>مرشد</t>
  </si>
  <si>
    <t>كبير مرشدين</t>
  </si>
  <si>
    <t>مرشد ممتاز</t>
  </si>
  <si>
    <t>مرشدرئيسى</t>
  </si>
  <si>
    <t>كبير مرشدين أول</t>
  </si>
  <si>
    <t>كبير مرشدين ممتاز</t>
  </si>
  <si>
    <t>ضابط ميناء</t>
  </si>
  <si>
    <t>قائد ميناء</t>
  </si>
  <si>
    <t>قبطان ميناء او امدادات</t>
  </si>
  <si>
    <t>ضابط ميناء اوامدادات</t>
  </si>
  <si>
    <t>وكيل مدير ضابط ميناء</t>
  </si>
  <si>
    <t>نائب مدير ضابط ميناء</t>
  </si>
  <si>
    <t>قبطان قاطرة</t>
  </si>
  <si>
    <t>رئيس قباطنة قاطرات</t>
  </si>
  <si>
    <t>قبطان قاطرة ممتاز</t>
  </si>
  <si>
    <t>قبطان قاطرة اول</t>
  </si>
  <si>
    <t>قبطان قاطرة ثان</t>
  </si>
  <si>
    <t>ضابط لاسلكى</t>
  </si>
  <si>
    <t>كبيرضابط لاسلكى</t>
  </si>
  <si>
    <t>ضابط لاسلكى ممتاز</t>
  </si>
  <si>
    <t>ضابط لاسلكى اول</t>
  </si>
  <si>
    <t>ضابط لاسلكى ثان</t>
  </si>
  <si>
    <t>ضابط لاسلكى مبتدىء</t>
  </si>
  <si>
    <t>مراجع حمولة ورسوم سفن</t>
  </si>
  <si>
    <t>كبير مراجع حمولة ورسوم سفن</t>
  </si>
  <si>
    <t>كبير مراجع حمولة ورسوم سفن مساعد</t>
  </si>
  <si>
    <t>مراجع حمولة ورسوم سفن ممتاز</t>
  </si>
  <si>
    <t>مراجع حمولة ورسوم سفن اول</t>
  </si>
  <si>
    <t>مراجع حمولة ورسوم سفن ثان</t>
  </si>
  <si>
    <t>كبير مراجع حمولة ورسوم سفن اول</t>
  </si>
  <si>
    <t>كبير مراجع حمولة ورسوم سفن ممتاز</t>
  </si>
  <si>
    <t>مراقب حركة</t>
  </si>
  <si>
    <t>كبيرمراقبى حركة</t>
  </si>
  <si>
    <t>كبيرمراقبى حركة مساعد</t>
  </si>
  <si>
    <t>مراقب حركة ممتاز</t>
  </si>
  <si>
    <t>مراقب حركة رئيسى</t>
  </si>
  <si>
    <t>مراقب حركة اول</t>
  </si>
  <si>
    <t>كبيرمراقبى حركة اول</t>
  </si>
  <si>
    <t>كبيرمراقبى حركة ممتاز</t>
  </si>
  <si>
    <t>رصاد</t>
  </si>
  <si>
    <t>رئيس رصادين اول</t>
  </si>
  <si>
    <t>رئيس رصادين</t>
  </si>
  <si>
    <t>رصاد رئيس وردية</t>
  </si>
  <si>
    <t>رصاد ممتاز</t>
  </si>
  <si>
    <t>رصاد أول</t>
  </si>
  <si>
    <t>رصاد مبتدئ</t>
  </si>
  <si>
    <t>كاتب</t>
  </si>
  <si>
    <t>رئيس قلم اول</t>
  </si>
  <si>
    <t>رئيس قلم</t>
  </si>
  <si>
    <t>رئيس مكتب</t>
  </si>
  <si>
    <t>كاتب ممتاز</t>
  </si>
  <si>
    <t>كاتب رئيسي</t>
  </si>
  <si>
    <t>كاتب اول</t>
  </si>
  <si>
    <t>كاتبة الة كاتبة</t>
  </si>
  <si>
    <t>كاتبة الة كاتبة ممتاز</t>
  </si>
  <si>
    <t>كاتبة الة كاتبة رئيسي</t>
  </si>
  <si>
    <t>كاتبة الة كاتبة اولى</t>
  </si>
  <si>
    <t>محصل</t>
  </si>
  <si>
    <t>محصل ممتاز</t>
  </si>
  <si>
    <t>محصل رئيسي</t>
  </si>
  <si>
    <t>محصل اول</t>
  </si>
  <si>
    <t>فنى كهربائى بوبينات</t>
  </si>
  <si>
    <t>مشرف اول تركيبات وصيانه كهربائية</t>
  </si>
  <si>
    <t>مشرف تركيبات وصيانه كهربائية</t>
  </si>
  <si>
    <t>فنى كهربائى بوبينات ممتاز اول</t>
  </si>
  <si>
    <t>فنى كهربائى بوبينات ممتاز</t>
  </si>
  <si>
    <t>فنى كهربائى بوبينات رئيسي</t>
  </si>
  <si>
    <t>فنى كهربائى بوبينات اول</t>
  </si>
  <si>
    <t>فنى كهربائى قوى عام</t>
  </si>
  <si>
    <t>فنى كهربائى قوى عام ممتاز اول</t>
  </si>
  <si>
    <t>فنى كهربائى قوى عام ممتاز</t>
  </si>
  <si>
    <t>فنى كهربائى قوى عام رئيسي</t>
  </si>
  <si>
    <t>فنى كهربائى قوى عام اول</t>
  </si>
  <si>
    <t>فنى كهربائى تركيبات سفن</t>
  </si>
  <si>
    <t>فنى كهربائى تركيبات سفن ممتاز اول</t>
  </si>
  <si>
    <t>فنى كهربائى تركيبات سفن ممتاز</t>
  </si>
  <si>
    <t>فنى كهربائى تركيبات سفن رئيسي</t>
  </si>
  <si>
    <t>فنى كهربائى تركيبات سفن اول</t>
  </si>
  <si>
    <t>فنى كهربائى تبريد وتكييف</t>
  </si>
  <si>
    <t>فنى كهربائى تبريد وتكييف ممتاز اول</t>
  </si>
  <si>
    <t>فنى كهربائى تبريد وتكييف ممتاز</t>
  </si>
  <si>
    <t>فنى كهربائى تبريد وتكييف رئيسي</t>
  </si>
  <si>
    <t>فنى كهربائى تبريد وتكييف اول</t>
  </si>
  <si>
    <t>فنى كهربائى اجهزة دقيقة</t>
  </si>
  <si>
    <t>فنى كهربائى اجهزة دقيقة ممتاز اول</t>
  </si>
  <si>
    <t>فنى كهربائى اجهزة دقيقة ممتاز</t>
  </si>
  <si>
    <t>فنى كهربائى اجهزة دقيقة رئيسي</t>
  </si>
  <si>
    <t>فنى كهربائى اجهزة دقيقة اول</t>
  </si>
  <si>
    <t>فنى كهربائى سيارات</t>
  </si>
  <si>
    <t>فنى كهربائى سيارات ممتاز اول</t>
  </si>
  <si>
    <t>فنى كهربائى سيارات ممتاز</t>
  </si>
  <si>
    <t>فنى كهربائى سيارات رئيسي</t>
  </si>
  <si>
    <t>فنى كهربائى سيارات اول</t>
  </si>
  <si>
    <t>فنى كهربائى شبكات ومحطات قوى</t>
  </si>
  <si>
    <t>مشرف اول محطات وتوزيع قوى</t>
  </si>
  <si>
    <t>مشرف محطات وتوزيع قوى</t>
  </si>
  <si>
    <t>فنى كهربائى شبكات ومحطات قوى ممتاز اول</t>
  </si>
  <si>
    <t>فنى كهربائى شبكات ومحطات قوى ممتاز</t>
  </si>
  <si>
    <t>فنى كهربائى شبكات ومحطات قوى رئيسي</t>
  </si>
  <si>
    <t>فنى كهربائى شبكات ومحطات قوى اول</t>
  </si>
  <si>
    <t>فنى كهربائى مواصلات</t>
  </si>
  <si>
    <t>مشرف اول إتصالات</t>
  </si>
  <si>
    <t>مشرف إتصالات</t>
  </si>
  <si>
    <t>فنى كهربائى إتصالات ممتاز اول</t>
  </si>
  <si>
    <t>فنى كهربائى إتصالات ممتاز</t>
  </si>
  <si>
    <t>فنى كهربائى إتصالات رئيسي</t>
  </si>
  <si>
    <t>فنى كهربائى إتصالات اول</t>
  </si>
  <si>
    <t>فنى كهربائى إتصالات</t>
  </si>
  <si>
    <t>فنى ميكانيكى معدات</t>
  </si>
  <si>
    <t>مشرف اول ميكانيكا</t>
  </si>
  <si>
    <t>مشرف ميكانيكا</t>
  </si>
  <si>
    <t>فنى ميكانيكى معدات ممتاز اول</t>
  </si>
  <si>
    <t>فنى ميكانيكى معدات ممتاز</t>
  </si>
  <si>
    <t>فنى ميكانيكى معدات رئيسي</t>
  </si>
  <si>
    <t>فنى ميكانيكى معدات اول</t>
  </si>
  <si>
    <t>فنى ميكانيكى ديزل</t>
  </si>
  <si>
    <t>فنى ميكانيكى ديزل ممتاز اول</t>
  </si>
  <si>
    <t>فنى ميكانيكى ديزل ممتاز</t>
  </si>
  <si>
    <t>فنى ميكانيكى ديزل رئيسي</t>
  </si>
  <si>
    <t>فنى ميكانيكى ديزل اول</t>
  </si>
  <si>
    <t>فنى ميكانيكى تركيبات</t>
  </si>
  <si>
    <t>فنى ميكانيكى تركيبات ممتاز اول</t>
  </si>
  <si>
    <t>فنى ميكانيكى تركيبات ممتاز</t>
  </si>
  <si>
    <t>فنى ميكانيكى تركيبات رئيسي</t>
  </si>
  <si>
    <t>فنى ميكانيكى تركيبات اول</t>
  </si>
  <si>
    <t>فنى ميكانيكى بخار</t>
  </si>
  <si>
    <t>فنى ميكانيكى بخار ممتاز اول</t>
  </si>
  <si>
    <t>فنى ميكانيكى بخار ممتاز</t>
  </si>
  <si>
    <t>فنى ميكانيكى بخار رئيسي</t>
  </si>
  <si>
    <t>فنى ميكانيكى بخار اول</t>
  </si>
  <si>
    <t>فنى ميكانيكى سيارات</t>
  </si>
  <si>
    <t>فنى ميكانيكى سيارات ممتاز اول</t>
  </si>
  <si>
    <t>فنى ميكانيكى سيارات ممتاز</t>
  </si>
  <si>
    <t>فنى ميكانيكى سيارات رئيسي</t>
  </si>
  <si>
    <t>فنى ميكانيكى سيارات اول</t>
  </si>
  <si>
    <t>فنى براد مواسير</t>
  </si>
  <si>
    <t>مشرف اول براده مواسير</t>
  </si>
  <si>
    <t>مشرف براده مواسير</t>
  </si>
  <si>
    <t>فنى براد مواسير سباكة ممتاز اول</t>
  </si>
  <si>
    <t>فنى براد مواسير سباكة ممتاز</t>
  </si>
  <si>
    <t>فنى براد مواسير سباكة رئيسي</t>
  </si>
  <si>
    <t>فنى براد مواسير سباكة اول</t>
  </si>
  <si>
    <t>فنى براد مواسير / سباكة صحية</t>
  </si>
  <si>
    <t>فنى براد نجار</t>
  </si>
  <si>
    <t>مشرف اول براده</t>
  </si>
  <si>
    <t>مشرف براده</t>
  </si>
  <si>
    <t>فنى براد بخار ممتاز اول</t>
  </si>
  <si>
    <t>فنى براد بخار ممتاز</t>
  </si>
  <si>
    <t>فنى براد بخار رئيسي</t>
  </si>
  <si>
    <t>فنى براد بخار اول</t>
  </si>
  <si>
    <t>فنى براد بخار</t>
  </si>
  <si>
    <t>فنى براد تزجة</t>
  </si>
  <si>
    <t>فنى براد تزجة ممتاز اول</t>
  </si>
  <si>
    <t>فنى براد تزجة ممتاز</t>
  </si>
  <si>
    <t>فنى براد تزجة رئيسي</t>
  </si>
  <si>
    <t>فنى براد تزجة اول</t>
  </si>
  <si>
    <t>فنى براد عدة</t>
  </si>
  <si>
    <t>فنى براد عدة ممتاز اول</t>
  </si>
  <si>
    <t>فنى براد عدة ممتاز</t>
  </si>
  <si>
    <t>فنى براد عدة رئيسي</t>
  </si>
  <si>
    <t>فنى براد عدة اول</t>
  </si>
  <si>
    <t>فنى حدادة</t>
  </si>
  <si>
    <t>مشرف اول حدادة</t>
  </si>
  <si>
    <t>مشرف حدادة</t>
  </si>
  <si>
    <t>فنى حدادة ممتاز اول</t>
  </si>
  <si>
    <t>فنى حدادة ممتاز</t>
  </si>
  <si>
    <t>فنى حدادة رئيسي</t>
  </si>
  <si>
    <t>فنى حدادة اول</t>
  </si>
  <si>
    <t>فنى سباكة معادن</t>
  </si>
  <si>
    <t>مشرف اول سباكة معادن</t>
  </si>
  <si>
    <t>مشرف سباكة معادن</t>
  </si>
  <si>
    <t>فنى سباكة معادن ممتاز اول</t>
  </si>
  <si>
    <t>فنى سباكة معادن ممتاز</t>
  </si>
  <si>
    <t>فنى سباكة معادن رئيسي</t>
  </si>
  <si>
    <t>فنى سباكة معادن اول</t>
  </si>
  <si>
    <t>فنى نجار سفن</t>
  </si>
  <si>
    <t>مشرف اول نجارة</t>
  </si>
  <si>
    <t>مشرف نجارة</t>
  </si>
  <si>
    <t>فنى نجار سفن ممتاز اول</t>
  </si>
  <si>
    <t>فنى نجار سفن ممتاز</t>
  </si>
  <si>
    <t>فنى نجار سفن رئيسي</t>
  </si>
  <si>
    <t>فنى نجار سفن اول</t>
  </si>
  <si>
    <t>فنى نجار أثاث</t>
  </si>
  <si>
    <t>فنى نجار أثاث ممتاز اول</t>
  </si>
  <si>
    <t>فنى نجار أثاث ممتاز</t>
  </si>
  <si>
    <t>فنى نجار أثاث رئيسي</t>
  </si>
  <si>
    <t>فنى نجار أثاث اول</t>
  </si>
  <si>
    <t>فنى نجار نمازج</t>
  </si>
  <si>
    <t>فنى نجار نمازج ممتاز اول</t>
  </si>
  <si>
    <t>فنى نجار نمازج ممتاز</t>
  </si>
  <si>
    <t>فنى نجار نمازج رئيسي</t>
  </si>
  <si>
    <t>فنى نجار نمازج اول</t>
  </si>
  <si>
    <t>فنى نجار ماكينة</t>
  </si>
  <si>
    <t>فنى نجار ماكينة ممتاز اول</t>
  </si>
  <si>
    <t>فنى نجار ماكينة ممتاز</t>
  </si>
  <si>
    <t>فنى نجار ماكينة رئيسي</t>
  </si>
  <si>
    <t>فنى نجار ماكينة اول</t>
  </si>
  <si>
    <t>فنى قلفاط معادن</t>
  </si>
  <si>
    <t>مشرف اول قلفاط معادن</t>
  </si>
  <si>
    <t>مشرف قلفاط معادن</t>
  </si>
  <si>
    <t>قلفاط معادن ممتاز اول</t>
  </si>
  <si>
    <t>قلفاط معادن ممتاز</t>
  </si>
  <si>
    <t>قلفاط معادن رئيسي</t>
  </si>
  <si>
    <t>قلفاط معادن اول</t>
  </si>
  <si>
    <t>قلفاط معادن</t>
  </si>
  <si>
    <t>فنى برشامجى معادن</t>
  </si>
  <si>
    <t>مشرف اول برشامجي</t>
  </si>
  <si>
    <t>مشرف برشامجي</t>
  </si>
  <si>
    <t>برشامجي ممتاز اول</t>
  </si>
  <si>
    <t>برشامجي ممتاز</t>
  </si>
  <si>
    <t>برشامجي رئيسي</t>
  </si>
  <si>
    <t>برشامجي اول</t>
  </si>
  <si>
    <t>برشامجي</t>
  </si>
  <si>
    <t>فنى مكابس تشكيل</t>
  </si>
  <si>
    <t>مشرف اول مكابس تشكيل</t>
  </si>
  <si>
    <t>مشرف مكابس تشكيل</t>
  </si>
  <si>
    <t>فني مكابس تشكيل ممتاز اول</t>
  </si>
  <si>
    <t>فني مكابس تشكيل ممتاز</t>
  </si>
  <si>
    <t>فني مكابس تشكيل رئيسي</t>
  </si>
  <si>
    <t>فني مكابس تشكيل اول</t>
  </si>
  <si>
    <t>فني مكابس تشكيل</t>
  </si>
  <si>
    <t>فنى خراطة معادن</t>
  </si>
  <si>
    <t>مشرف اول خراطة وتجليخ</t>
  </si>
  <si>
    <t>مشرف خراطة وتجليخ</t>
  </si>
  <si>
    <t>فني خراطة معادن ممتاز اول</t>
  </si>
  <si>
    <t>فني خراطة معادن ممتاز</t>
  </si>
  <si>
    <t>فني خراطة معادن رئيسي</t>
  </si>
  <si>
    <t>فني خراطة معادن اول</t>
  </si>
  <si>
    <t>فني خراطة معادن</t>
  </si>
  <si>
    <t>فنى تجليخ</t>
  </si>
  <si>
    <t>فني تجليخ ممتاز اول</t>
  </si>
  <si>
    <t>فني تجليخ ممتاز</t>
  </si>
  <si>
    <t>فني تجليخ رئيسي</t>
  </si>
  <si>
    <t>فني تجليخ اول</t>
  </si>
  <si>
    <t>فني تجليخ</t>
  </si>
  <si>
    <t>فنى فريزه</t>
  </si>
  <si>
    <t>مشرف اول قطع ولحام</t>
  </si>
  <si>
    <t>مشرف قطع ولحام</t>
  </si>
  <si>
    <t>فني فريزة ممتاز اول</t>
  </si>
  <si>
    <t>فني فريزة ممتاز</t>
  </si>
  <si>
    <t>فني فريزة رئيسي</t>
  </si>
  <si>
    <t>فني فريزة اول</t>
  </si>
  <si>
    <t>فني فريزة</t>
  </si>
  <si>
    <t>فنى لحام كهرباء وقطعيه</t>
  </si>
  <si>
    <t>فني لحام كهرباء وقطعية ممتاز اول</t>
  </si>
  <si>
    <t>فني لحام كهرباء وقطعية ممتاز</t>
  </si>
  <si>
    <t>فني لحام كهرباء وقطعية رئيسي</t>
  </si>
  <si>
    <t>فني لحام كهرباء وقطعية اول</t>
  </si>
  <si>
    <t>فني لحام كهرباء وقطعية</t>
  </si>
  <si>
    <t>فنى لحام أكسجين</t>
  </si>
  <si>
    <t>فني لحام اكسجين ممتاز اول</t>
  </si>
  <si>
    <t>فني لحام اكسجين ممتاز</t>
  </si>
  <si>
    <t>فني لحام اكسجين رئيسي</t>
  </si>
  <si>
    <t>فني لحام اكسجين اول</t>
  </si>
  <si>
    <t>فني لحام اكسجين</t>
  </si>
  <si>
    <t>فنى توضيب</t>
  </si>
  <si>
    <t>مشرف اول بناء سفن</t>
  </si>
  <si>
    <t>مشرف بناء سفن</t>
  </si>
  <si>
    <t>فني توضيب ممتاز اول</t>
  </si>
  <si>
    <t>فني توضيب ممتاز</t>
  </si>
  <si>
    <t>فني توضيب رئيسي</t>
  </si>
  <si>
    <t>فني توضيب اول</t>
  </si>
  <si>
    <t>فني توضيب</t>
  </si>
  <si>
    <t>فنى تخطيط سفن</t>
  </si>
  <si>
    <t>فني تخطيط سفن ممتاز اول</t>
  </si>
  <si>
    <t>فني تخطيط سفن ممتاز</t>
  </si>
  <si>
    <t>فني تخطيط سفن رئيسي</t>
  </si>
  <si>
    <t>فني تخطيط سفن اول</t>
  </si>
  <si>
    <t>فني تخطيط سفن</t>
  </si>
  <si>
    <t>فنى مناورة تركيبات</t>
  </si>
  <si>
    <t>مشرف اول مناورة تركيبات سفن</t>
  </si>
  <si>
    <t>مشرف مناورة تركيبات سفن</t>
  </si>
  <si>
    <t>فني مناورة تركيبات ممتاز اول</t>
  </si>
  <si>
    <t>فني مناورة تركيبات ممتاز</t>
  </si>
  <si>
    <t>فني مناورة تركيبات رئيسي</t>
  </si>
  <si>
    <t>فني مناورة تركيبات اول</t>
  </si>
  <si>
    <t>فني مناورة تركيبات</t>
  </si>
  <si>
    <t>فنى مناورة احواض وقزنات</t>
  </si>
  <si>
    <t>مشرف اول مناورة احواض وقزاقات</t>
  </si>
  <si>
    <t>مشرف مناورة احواض وقزاقات</t>
  </si>
  <si>
    <t>فني مناورة احواض وقزاقات ممتاز اول</t>
  </si>
  <si>
    <t>فني مناورة احواض وقزاقات ممتاز</t>
  </si>
  <si>
    <t>فني مناورة احواض وقزاقات رئيسي</t>
  </si>
  <si>
    <t>فني مناورة احواض وقزاقات اول</t>
  </si>
  <si>
    <t>فني مناورة احواض وقزاقات</t>
  </si>
  <si>
    <t>فنى حاسب آلى</t>
  </si>
  <si>
    <t>مشرف اول حاسب الي</t>
  </si>
  <si>
    <t>مشرف حاسب الى</t>
  </si>
  <si>
    <t>فني حاسب الى ممتاز اول</t>
  </si>
  <si>
    <t>فني حاسب الى ممتاز</t>
  </si>
  <si>
    <t>فني حاسب الى رئيسي</t>
  </si>
  <si>
    <t>فني حاسب الى اول</t>
  </si>
  <si>
    <t>فني حاسب الى</t>
  </si>
  <si>
    <t>فنى تصفيف آلى</t>
  </si>
  <si>
    <t>مشرف اول طباعه</t>
  </si>
  <si>
    <t>مشرف طباعه</t>
  </si>
  <si>
    <t>فني تصفيف الى ممتاز اول</t>
  </si>
  <si>
    <t>فني تصفيف الى ممتاز</t>
  </si>
  <si>
    <t>فني تصفيف الى رئيسي</t>
  </si>
  <si>
    <t>فني تصفيف الى اول</t>
  </si>
  <si>
    <t>فني تصفيف الى</t>
  </si>
  <si>
    <t>فنى تصفيف يدوى</t>
  </si>
  <si>
    <t>مشرف طباعه اول</t>
  </si>
  <si>
    <t>فني تصفيف يدوي ممتاز اول</t>
  </si>
  <si>
    <t>فني تصفيف يدوي ممتاز</t>
  </si>
  <si>
    <t>فني تصفيف يدوي رئيسي</t>
  </si>
  <si>
    <t>فني تصفيف يدوي اول</t>
  </si>
  <si>
    <t>فني تصفيف يدوي</t>
  </si>
  <si>
    <t>فنى طباعة</t>
  </si>
  <si>
    <t>فني طباعة ممتاز اول</t>
  </si>
  <si>
    <t>فني طباعة ممتاز</t>
  </si>
  <si>
    <t>فني طباعه رئيسي</t>
  </si>
  <si>
    <t>فني طباعه اول</t>
  </si>
  <si>
    <t>فني طباعه</t>
  </si>
  <si>
    <t>فنى تجليد</t>
  </si>
  <si>
    <t>فني تجليد ممتاز اول</t>
  </si>
  <si>
    <t>فني تجليد ممتاز</t>
  </si>
  <si>
    <t>فني تجليد رئيسي</t>
  </si>
  <si>
    <t>فني تجليد اول</t>
  </si>
  <si>
    <t>فني تجليد</t>
  </si>
  <si>
    <t>فنى رسم هندسى</t>
  </si>
  <si>
    <t>مشرف اول رسم هندسي</t>
  </si>
  <si>
    <t>مشرف رسم هندسي</t>
  </si>
  <si>
    <t>فني رسم هندسي ممتاز أول</t>
  </si>
  <si>
    <t>فني رسم هندسي ممتاز</t>
  </si>
  <si>
    <t>فني رسم هندسي رئيسي</t>
  </si>
  <si>
    <t>فني رسم هندسي اول</t>
  </si>
  <si>
    <t>فني رسم هندسي</t>
  </si>
  <si>
    <t>فنى انشاءات</t>
  </si>
  <si>
    <t>مشرف اول اشغال انشاءات</t>
  </si>
  <si>
    <t>مشرف اشغال انشاءات</t>
  </si>
  <si>
    <t>فني انشاءات ممتاز اول</t>
  </si>
  <si>
    <t>فني انشاءات ممتاز</t>
  </si>
  <si>
    <t>فني انشاءات رئيسي</t>
  </si>
  <si>
    <t>فني انشاءات اول</t>
  </si>
  <si>
    <t>فني انشاءات</t>
  </si>
  <si>
    <t>جس هيدروجرافى</t>
  </si>
  <si>
    <t>مشرف اول جساس هيدروجرافي</t>
  </si>
  <si>
    <t>مشرف جساس هيدروجرافي</t>
  </si>
  <si>
    <t>جساس هيدروجرافي ممتاز اول</t>
  </si>
  <si>
    <t>جساس هيدروجرافي ممتاز</t>
  </si>
  <si>
    <t>جساس هيدروجرافي رئيسي</t>
  </si>
  <si>
    <t>جساس هيدروجرافي اول</t>
  </si>
  <si>
    <t>جساس هيدروجرافي</t>
  </si>
  <si>
    <t>مصور</t>
  </si>
  <si>
    <t>مشرف اول مصور</t>
  </si>
  <si>
    <t>مشرف مصور</t>
  </si>
  <si>
    <t>فني مصور ممتاز اول</t>
  </si>
  <si>
    <t>فني مصور ممتاز</t>
  </si>
  <si>
    <t>فني مصور رئيسي</t>
  </si>
  <si>
    <t>فني مصور اول</t>
  </si>
  <si>
    <t>فني مصور</t>
  </si>
  <si>
    <t>بناء</t>
  </si>
  <si>
    <t>مشرف اول بنائين</t>
  </si>
  <si>
    <t>مشرف بنائين</t>
  </si>
  <si>
    <t>رئيس بنائين ممتاز اول</t>
  </si>
  <si>
    <t>رئيس بنائين ممتاز</t>
  </si>
  <si>
    <t>بناء اول</t>
  </si>
  <si>
    <t>فنى غطاس انتشال</t>
  </si>
  <si>
    <t>مشرف اول انتشال</t>
  </si>
  <si>
    <t>مشرف انتشال</t>
  </si>
  <si>
    <t>فني غطاس انتشال ممتاز اول</t>
  </si>
  <si>
    <t>فني غطاس انتشال ممتاز</t>
  </si>
  <si>
    <t>فني غطاس انتشال رئيسي</t>
  </si>
  <si>
    <t>فني غطاس انتشال اول</t>
  </si>
  <si>
    <t>فني غطاس انتشال</t>
  </si>
  <si>
    <t>وناش ارضى</t>
  </si>
  <si>
    <t>مشرف اول اوناش ارضية وبحرية</t>
  </si>
  <si>
    <t>مشرف اوناش ارضية وبحريه</t>
  </si>
  <si>
    <t>وناش ارضي ممتاز اول</t>
  </si>
  <si>
    <t>وناش ارضي ممتاز</t>
  </si>
  <si>
    <t>وناش ارضي رئيسي</t>
  </si>
  <si>
    <t>وناش ارضي اول</t>
  </si>
  <si>
    <t>وناش ارضي</t>
  </si>
  <si>
    <t>وناش بحرى</t>
  </si>
  <si>
    <t>وناش بحري ممتاز اول</t>
  </si>
  <si>
    <t>وناش بحري ممتاز</t>
  </si>
  <si>
    <t>وناش بحري رئيسي</t>
  </si>
  <si>
    <t>وناش بحري أول</t>
  </si>
  <si>
    <t>وناش بحري</t>
  </si>
  <si>
    <t>سائق سيارة</t>
  </si>
  <si>
    <t>مشرف أول مركبات</t>
  </si>
  <si>
    <t>مشرف مركبات</t>
  </si>
  <si>
    <t>رئيس سائقي مركبات ممتاز أول</t>
  </si>
  <si>
    <t>رئيس سائقي مركبات ممتاز</t>
  </si>
  <si>
    <t>سائق سيارة رئيسي</t>
  </si>
  <si>
    <t>سائق سيارة اول</t>
  </si>
  <si>
    <t>امين مخزن</t>
  </si>
  <si>
    <t>مشرف اول مخازن</t>
  </si>
  <si>
    <t>مشرف مخازن</t>
  </si>
  <si>
    <t>امين مخزن ممتاز اول</t>
  </si>
  <si>
    <t>امين مخزن ممتاز</t>
  </si>
  <si>
    <t>امين مخزن رئيسي</t>
  </si>
  <si>
    <t>امين مخزن أول</t>
  </si>
  <si>
    <t>فني معمل ابحاث</t>
  </si>
  <si>
    <t>مشرف اول فنيين معامل</t>
  </si>
  <si>
    <t>مشرف فنيين معامل</t>
  </si>
  <si>
    <t>فني معمل ابحاث ممتاز أول</t>
  </si>
  <si>
    <t>فني معمل ابحاث ممتاز</t>
  </si>
  <si>
    <t>فني معمل ابحاث رئيسي</t>
  </si>
  <si>
    <t>فني معمل ابحاث اول</t>
  </si>
  <si>
    <t>فنى معمل تحاليل</t>
  </si>
  <si>
    <t>مشرف أول فنيين معامل</t>
  </si>
  <si>
    <t>فني معمل تحاليل ممتاز اول</t>
  </si>
  <si>
    <t>فني معمل تحاليل ممتاز</t>
  </si>
  <si>
    <t>فني معمل تحاليل رئيسي</t>
  </si>
  <si>
    <t>فني معمل تحاليل أول</t>
  </si>
  <si>
    <t>فني معمل تحاليل</t>
  </si>
  <si>
    <t>فنى معمل اشعة</t>
  </si>
  <si>
    <t>مشرف اول فنيين أشعة</t>
  </si>
  <si>
    <t>مشرف فنيين أشعة</t>
  </si>
  <si>
    <t>فني أشعة ممتاز أول</t>
  </si>
  <si>
    <t>فني اشعة ممتاز</t>
  </si>
  <si>
    <t>فني أشعة رئيسي</t>
  </si>
  <si>
    <t>فني أشعة أول</t>
  </si>
  <si>
    <t>فني أشعة</t>
  </si>
  <si>
    <t>ممرض و ممرضة</t>
  </si>
  <si>
    <t>مشرف اول تمريض</t>
  </si>
  <si>
    <t>مشرف تمريض</t>
  </si>
  <si>
    <t>رئيس ممرضين ممتاز أول</t>
  </si>
  <si>
    <t>رئيس ممرضين ممتاز</t>
  </si>
  <si>
    <t>ممرض رئيسي</t>
  </si>
  <si>
    <t>ممرض اول</t>
  </si>
  <si>
    <t>ممرض</t>
  </si>
  <si>
    <t>مساعد صيدلية</t>
  </si>
  <si>
    <t>مشرف اول مساعد صيدلي</t>
  </si>
  <si>
    <t>مشرف مساعد صيدلي</t>
  </si>
  <si>
    <t>مساعد صيدلي ممتاز اول</t>
  </si>
  <si>
    <t>مساعد صيدلي ممتاز</t>
  </si>
  <si>
    <t>مساعد صيدلي رئيسي</t>
  </si>
  <si>
    <t>مساعد صيدلي اول</t>
  </si>
  <si>
    <t>مساعد صيدلي</t>
  </si>
  <si>
    <t>فنى مساحة</t>
  </si>
  <si>
    <t>مشرف اول مساحه</t>
  </si>
  <si>
    <t>مشرف مساحه</t>
  </si>
  <si>
    <t>فني مساحه ممتاز اول</t>
  </si>
  <si>
    <t>فني مساحه ممتاز</t>
  </si>
  <si>
    <t>فني مساحه رئيسي</t>
  </si>
  <si>
    <t>فني مساحه اول</t>
  </si>
  <si>
    <t>فني مساحه</t>
  </si>
  <si>
    <t>فنى نقش وزخرفة</t>
  </si>
  <si>
    <t>مشرف اول نقش وزخرفه</t>
  </si>
  <si>
    <t>مشرف نقش وزخرفه</t>
  </si>
  <si>
    <t>فني نقش وزخرفه ممتاز اول</t>
  </si>
  <si>
    <t>فني نقش وزخرفه ممتاز</t>
  </si>
  <si>
    <t>فني نقش وزخرفه رئيسي</t>
  </si>
  <si>
    <t>فني نقش وزخرفه اول</t>
  </si>
  <si>
    <t>فني نقش وزخرفه</t>
  </si>
  <si>
    <t>سائق جرار او بلدوزر</t>
  </si>
  <si>
    <t>مشرف اول سائقي معدات حفر على الناشف</t>
  </si>
  <si>
    <t>مشرف سائقي معدات حفر على الناشف</t>
  </si>
  <si>
    <t>رئيس سائقي معدات حفر على الناشف ممتاز اول</t>
  </si>
  <si>
    <t>رئيس سائقي معدات حفر على الناشف ممتاز</t>
  </si>
  <si>
    <t>سائق جرار - هراس- بلدوزر رئيسي</t>
  </si>
  <si>
    <t>سائق جرار - هراس- بلدوزر اول</t>
  </si>
  <si>
    <t>سائق جرار - هراس- بلدوزر</t>
  </si>
  <si>
    <t>فنى تشكيل لدائن مقواة</t>
  </si>
  <si>
    <t>مشرف اول تشكيل لدائن مقواه</t>
  </si>
  <si>
    <t>مشرف تشكيل لدائن مقواه</t>
  </si>
  <si>
    <t>فني تشكيل لدائن مقواه ممتاز اول</t>
  </si>
  <si>
    <t>فني تشكيل لدائن مقواه ممتاز</t>
  </si>
  <si>
    <t>فني تشكيل لدائن مقواه رئيسي</t>
  </si>
  <si>
    <t>فني تشكيل لدائن مقواه أول</t>
  </si>
  <si>
    <t>فني تشكيل لدائن مقواه</t>
  </si>
  <si>
    <t>فنى معمل اسنان</t>
  </si>
  <si>
    <t>مشرف اول معمل اسنان</t>
  </si>
  <si>
    <t>مشرف معمل اسنان</t>
  </si>
  <si>
    <t>فني معمل اسنان ممتاز اول</t>
  </si>
  <si>
    <t>فني معمل اسنان ممتاز</t>
  </si>
  <si>
    <t>فني معمل اسنان رئيسي</t>
  </si>
  <si>
    <t>فني معمل اسنان اول</t>
  </si>
  <si>
    <t>فني معمل اسنان</t>
  </si>
  <si>
    <t>مساعد رئيس طاقم ونش عائم</t>
  </si>
  <si>
    <t>رئيس طاقم ونش عائم اكثر من ٩٠ طن</t>
  </si>
  <si>
    <t>رئيس طاقم ونش عائم ٩٠ طن</t>
  </si>
  <si>
    <t>رئيس طاقم ونش عائم ٣٠ طن</t>
  </si>
  <si>
    <t>مساعد رئيس طاقم ونش - معدية</t>
  </si>
  <si>
    <t>بحرى</t>
  </si>
  <si>
    <t>مشرف اول بحري</t>
  </si>
  <si>
    <t>مشرف بحري</t>
  </si>
  <si>
    <t>ريس بحري ممتاز وحدة بحرية قاطرة</t>
  </si>
  <si>
    <t>ريس بحري اول وحدة بحرية قاطرة</t>
  </si>
  <si>
    <t>ريس بحري وحدة بحرية قاطرة</t>
  </si>
  <si>
    <t>بحري اول</t>
  </si>
  <si>
    <t>بحري ثان</t>
  </si>
  <si>
    <t>التاسعة</t>
  </si>
  <si>
    <t>بحري</t>
  </si>
  <si>
    <t>مساعد ريس تكريك</t>
  </si>
  <si>
    <t>ريس تكريك ممتاز</t>
  </si>
  <si>
    <t>ريس تكريك أول</t>
  </si>
  <si>
    <t>ريس تكريك رئيسي</t>
  </si>
  <si>
    <t>مساعد ريس تكريك أول</t>
  </si>
  <si>
    <t>مساعد ريس تكريك ثان</t>
  </si>
  <si>
    <t>بحرى كراكة</t>
  </si>
  <si>
    <t>ريس بحري كراكه ممتاز</t>
  </si>
  <si>
    <t>ريس بحري كراكه أول</t>
  </si>
  <si>
    <t>ريس بحري كراكة</t>
  </si>
  <si>
    <t>بحري كراكه اول</t>
  </si>
  <si>
    <t>بحري كراكه ثان</t>
  </si>
  <si>
    <t>بحري كراكه ثالث</t>
  </si>
  <si>
    <t>غطاس عادى</t>
  </si>
  <si>
    <t>مشرف بحري اول</t>
  </si>
  <si>
    <t>غطاس عادي ممتاز اول</t>
  </si>
  <si>
    <t>غطاس عادي ممتاز</t>
  </si>
  <si>
    <t>غطاس عادي رئيسي</t>
  </si>
  <si>
    <t>غطاس عادي اول</t>
  </si>
  <si>
    <t>غطاس عادي ثان</t>
  </si>
  <si>
    <t>غطاس عادي ثالث</t>
  </si>
  <si>
    <t>مقيد</t>
  </si>
  <si>
    <t>مقيد ممتاز اول</t>
  </si>
  <si>
    <t>مقيد ممتاز</t>
  </si>
  <si>
    <t>مقيد رئيسي</t>
  </si>
  <si>
    <t>مقيد اول</t>
  </si>
  <si>
    <t>مقيد ثان</t>
  </si>
  <si>
    <t>مقيد ثالث</t>
  </si>
  <si>
    <t>امين عهدة</t>
  </si>
  <si>
    <t>امين عهده ممتاز اول</t>
  </si>
  <si>
    <t>امين عهده ممتاز</t>
  </si>
  <si>
    <t>امين عهده رئيسي</t>
  </si>
  <si>
    <t>امين عهده اول</t>
  </si>
  <si>
    <t>امين عهدة ثان</t>
  </si>
  <si>
    <t>امين عهده ثالث</t>
  </si>
  <si>
    <t>مراقب أمن</t>
  </si>
  <si>
    <t>مراقب امن ممتاز اول</t>
  </si>
  <si>
    <t>مراقب امن ممتاز</t>
  </si>
  <si>
    <t>مراقب امن رئيسي</t>
  </si>
  <si>
    <t>مراقب امن اول</t>
  </si>
  <si>
    <t>مراقب امن ثان</t>
  </si>
  <si>
    <t>مراقب امن ثالث</t>
  </si>
  <si>
    <t>عامل الة حاسبة</t>
  </si>
  <si>
    <t>عامل اله حاسبه ممتاز اول</t>
  </si>
  <si>
    <t>عامل اله حاسبه ممتاز</t>
  </si>
  <si>
    <t>عامل اله حاسبه رئيسي</t>
  </si>
  <si>
    <t>عامل اله حاسبه اول</t>
  </si>
  <si>
    <t>عامل اله حاسبه ثان</t>
  </si>
  <si>
    <t>عامل اله حاسبه ثالث</t>
  </si>
  <si>
    <t>مباشر لوحة تليفونات</t>
  </si>
  <si>
    <t>مباشر لوحة تليفونات ممتاز اول</t>
  </si>
  <si>
    <t>مباشر لوحة تليفونات ممتاز</t>
  </si>
  <si>
    <t>مباشر لوحة تليفونات رئيسي</t>
  </si>
  <si>
    <t>مباشر لوحة تليفونات اول</t>
  </si>
  <si>
    <t>مباشر لوحة تليفونات ثان</t>
  </si>
  <si>
    <t>مباشر لوحة تليفونات ثالث</t>
  </si>
  <si>
    <t>عامل بياض</t>
  </si>
  <si>
    <t>عامل بياض ممتاز اول</t>
  </si>
  <si>
    <t>عامل بياض ممتاز</t>
  </si>
  <si>
    <t>عامل بياض رئيسي</t>
  </si>
  <si>
    <t>السابع</t>
  </si>
  <si>
    <t>عامل بياض اول</t>
  </si>
  <si>
    <t>عامل بياض ثان</t>
  </si>
  <si>
    <t>عامل بياض ثالث</t>
  </si>
  <si>
    <t>عامل تبليط</t>
  </si>
  <si>
    <t>عامل تبليط ممتاز اول</t>
  </si>
  <si>
    <t>عامل تبليط ممتاز</t>
  </si>
  <si>
    <t>عامل تبليط رئيسي</t>
  </si>
  <si>
    <t>عامل تبليط اول</t>
  </si>
  <si>
    <t>عامل تبليط ثان</t>
  </si>
  <si>
    <t>عامل تبليط ثالث</t>
  </si>
  <si>
    <t>حجار</t>
  </si>
  <si>
    <t>حجار ممتاز اول</t>
  </si>
  <si>
    <t>حجار ممتاز</t>
  </si>
  <si>
    <t>حجار رئيسي</t>
  </si>
  <si>
    <t>حجار اول</t>
  </si>
  <si>
    <t>حجار ثان</t>
  </si>
  <si>
    <t>حجار ثالث</t>
  </si>
  <si>
    <t>فورمجى اسفلت</t>
  </si>
  <si>
    <t>فورمجي اسفلت ممتاز اول</t>
  </si>
  <si>
    <t>فورمجي اسفلت ممتاز</t>
  </si>
  <si>
    <t>فورمجي اسفلت رئيسي</t>
  </si>
  <si>
    <t>فورمجي اسفلت اول</t>
  </si>
  <si>
    <t>فورمجي اسفلت ثان</t>
  </si>
  <si>
    <t>فورمجي اسفلت ثالث</t>
  </si>
  <si>
    <t>فورمجى خرسانة</t>
  </si>
  <si>
    <t>فورمجي خرسانه ممتاز أول</t>
  </si>
  <si>
    <t>فورمجي خرسانه ممتاز</t>
  </si>
  <si>
    <t>فورمجي خرسانه رئيسي</t>
  </si>
  <si>
    <t>فورمجي خرسانه اول</t>
  </si>
  <si>
    <t>فورمجي خرسانه ثان</t>
  </si>
  <si>
    <t>فورمجي خرسانه ثالث</t>
  </si>
  <si>
    <t>نجار مسلح</t>
  </si>
  <si>
    <t>نجار مسلح ممتاز اول</t>
  </si>
  <si>
    <t>نجار مسلح ممتاز</t>
  </si>
  <si>
    <t>نجار مسلح رئيسي</t>
  </si>
  <si>
    <t>نجار مسلح اول</t>
  </si>
  <si>
    <t>نجار مسلح ثان</t>
  </si>
  <si>
    <t>نجار مسلح ثالث</t>
  </si>
  <si>
    <t>استورجى</t>
  </si>
  <si>
    <t>استورجي ممتاز اول</t>
  </si>
  <si>
    <t>استورجي ممتاز</t>
  </si>
  <si>
    <t>استورجي رئيسي</t>
  </si>
  <si>
    <t>استورجي اول</t>
  </si>
  <si>
    <t>استورجي ثان</t>
  </si>
  <si>
    <t>استورجي ثالث</t>
  </si>
  <si>
    <t>منجد</t>
  </si>
  <si>
    <t>منجد ممتاز اول</t>
  </si>
  <si>
    <t>منجد ممتاز</t>
  </si>
  <si>
    <t>منجد رئيسي</t>
  </si>
  <si>
    <t>منجد اول</t>
  </si>
  <si>
    <t>منجد ثان</t>
  </si>
  <si>
    <t>منجد ثالث</t>
  </si>
  <si>
    <t>سروجى</t>
  </si>
  <si>
    <t>سروجي ممتاز اول</t>
  </si>
  <si>
    <t>سروجي ممتاز</t>
  </si>
  <si>
    <t>سروجي رئيسي</t>
  </si>
  <si>
    <t>سروجي اول</t>
  </si>
  <si>
    <t>سروجي ثان</t>
  </si>
  <si>
    <t>سروجي ثالث</t>
  </si>
  <si>
    <t>عامل مرشحات</t>
  </si>
  <si>
    <t>عامل مرشحات ممتاز اول</t>
  </si>
  <si>
    <t>عامل مرشحات ممتاز</t>
  </si>
  <si>
    <t>عامل مرشحات رئيسي</t>
  </si>
  <si>
    <t>عامل مرشحات اول</t>
  </si>
  <si>
    <t>عامل مرشحات ثان</t>
  </si>
  <si>
    <t>عامل مرشحات ثالث</t>
  </si>
  <si>
    <t>سائق ماكينة</t>
  </si>
  <si>
    <t>سائق ماكينة ممتاز اول</t>
  </si>
  <si>
    <t>سائق ماكينة ممتاز</t>
  </si>
  <si>
    <t>سائق ماكينة رئيسي</t>
  </si>
  <si>
    <t>سائق ماكينة اول</t>
  </si>
  <si>
    <t>سائق ماكينة ثان</t>
  </si>
  <si>
    <t>سائق ماكينة ثالث</t>
  </si>
  <si>
    <t>عامل تنظيف مسبوكات</t>
  </si>
  <si>
    <t>عامل تنظيف مسبوكات ممتاز اول</t>
  </si>
  <si>
    <t>عامل تنظيف مسبوكات ممتاز</t>
  </si>
  <si>
    <t>عامل تنظيف مسبوكات رئيسي</t>
  </si>
  <si>
    <t>عامل تنظيف مسبوكات اول</t>
  </si>
  <si>
    <t>عامل تنظيف مسبوكات ثان</t>
  </si>
  <si>
    <t>عامل تنظيف مسبوكات ثالث</t>
  </si>
  <si>
    <t>لحام كاوتشوك</t>
  </si>
  <si>
    <t>لحام كاوتشوك ممتاز اول</t>
  </si>
  <si>
    <t>لحام كاوتشوك ممتاز</t>
  </si>
  <si>
    <t>لحام كاوتشوك رئيسي</t>
  </si>
  <si>
    <t>لحام كاوتشوك اول</t>
  </si>
  <si>
    <t>لحام كاوتشوك ثان</t>
  </si>
  <si>
    <t>لحام كاوتشوك ثالث</t>
  </si>
  <si>
    <t>عامل رشمة ودهان</t>
  </si>
  <si>
    <t>عامل رشمه ودهان ممتاز اول</t>
  </si>
  <si>
    <t>عامل رشمه ودهان ممتاز</t>
  </si>
  <si>
    <t>عامل رشمه ودهان رئيسي</t>
  </si>
  <si>
    <t>عامل رشمه ودهان اول</t>
  </si>
  <si>
    <t>عامل رشمه ودهان ثان</t>
  </si>
  <si>
    <t>عامل رشمه ودهان ثالث</t>
  </si>
  <si>
    <t>فراز حبال</t>
  </si>
  <si>
    <t>خراز حبال ممتاز اول</t>
  </si>
  <si>
    <t>خراز حبال ممتاز</t>
  </si>
  <si>
    <t>خراز حبال رئيسي</t>
  </si>
  <si>
    <t>خراز حبال اول</t>
  </si>
  <si>
    <t>خراز حبال ثان</t>
  </si>
  <si>
    <t>خراز حبال ثالث</t>
  </si>
  <si>
    <t>وقاد مسبك</t>
  </si>
  <si>
    <t>وقاد مسبك ممتاز اول</t>
  </si>
  <si>
    <t>وقاد مسبك ممتاز</t>
  </si>
  <si>
    <t>وقاد مسبك رئيسي</t>
  </si>
  <si>
    <t>وقاد مسبك اول</t>
  </si>
  <si>
    <t>وقاد مسبك ثان</t>
  </si>
  <si>
    <t>وقاد مسبك ثالث</t>
  </si>
  <si>
    <t>وقاد قزان</t>
  </si>
  <si>
    <t>وقاد قزان ممتاز اول</t>
  </si>
  <si>
    <t>وقاد قزان ممتاز</t>
  </si>
  <si>
    <t>وقاد قزان رئيسي</t>
  </si>
  <si>
    <t>وقاد قزان اول</t>
  </si>
  <si>
    <t>وقاد قزان ثان</t>
  </si>
  <si>
    <t>وقاد قزان ثالث</t>
  </si>
  <si>
    <t>زيات</t>
  </si>
  <si>
    <t>زيات ممتاز اول</t>
  </si>
  <si>
    <t>زيات ممتاز</t>
  </si>
  <si>
    <t>زيات رئيسي</t>
  </si>
  <si>
    <t>زيات اول</t>
  </si>
  <si>
    <t>زيات ثان</t>
  </si>
  <si>
    <t>زيات ثالث</t>
  </si>
  <si>
    <t>عامل زجاج</t>
  </si>
  <si>
    <t>عامل زجاج ممتاز اول</t>
  </si>
  <si>
    <t>عامل زجاج ممتاز</t>
  </si>
  <si>
    <t>عامل زجاج رئيسي</t>
  </si>
  <si>
    <t>عامل زجاج اول</t>
  </si>
  <si>
    <t>عامل زجاج ثان</t>
  </si>
  <si>
    <t>عامل زجاج ثالث</t>
  </si>
  <si>
    <t>عامل تمريض</t>
  </si>
  <si>
    <t>عامل تمريض ممتاز اول</t>
  </si>
  <si>
    <t>عامل تمريض ممتاز</t>
  </si>
  <si>
    <t>عامل تمريض رئيسي</t>
  </si>
  <si>
    <t>عامل تمريض اول</t>
  </si>
  <si>
    <t>عامل تمريض ثان</t>
  </si>
  <si>
    <t>عامل تمريض ثالث</t>
  </si>
  <si>
    <t>عامل معمل</t>
  </si>
  <si>
    <t>عامل معمل ممتاز اول</t>
  </si>
  <si>
    <t>عامل معمل ممتاز</t>
  </si>
  <si>
    <t>عامل معمل رئيسي</t>
  </si>
  <si>
    <t>عامل معمل اول</t>
  </si>
  <si>
    <t>عامل معمل ثان</t>
  </si>
  <si>
    <t>عامل معمل ثالث</t>
  </si>
  <si>
    <t>مندوب إطفاء</t>
  </si>
  <si>
    <t>مندوب اطفاء ممتاز اول</t>
  </si>
  <si>
    <t>مندوب اطفاء ممتاز</t>
  </si>
  <si>
    <t>مندوب اطفاء رئيسي</t>
  </si>
  <si>
    <t>مندوب اطفاء اول</t>
  </si>
  <si>
    <t>مندوب اطفاء ثان</t>
  </si>
  <si>
    <t>مندوب اطفاء ثالث</t>
  </si>
  <si>
    <t>عامل مصعد</t>
  </si>
  <si>
    <t>عامل مصعد ممتاز اول</t>
  </si>
  <si>
    <t>عامل مصعد ممتاز</t>
  </si>
  <si>
    <t>عامل مصعد رئيسي</t>
  </si>
  <si>
    <t>عامل مصعد اول</t>
  </si>
  <si>
    <t>عامل مصعد ثان</t>
  </si>
  <si>
    <t>عامل مصعد ثالث</t>
  </si>
  <si>
    <t>عامل شبكات تليفونية</t>
  </si>
  <si>
    <t>عامل شبكات تيليفونية ممتاز اول</t>
  </si>
  <si>
    <t>عامل شبكات تيليفونية ممتاز</t>
  </si>
  <si>
    <t>عامل شبكات تيليفونية رئيسي</t>
  </si>
  <si>
    <t>عامل شبكات تليفونية اول</t>
  </si>
  <si>
    <t>عامل شبكات تليفونية ثان</t>
  </si>
  <si>
    <t>عامل شبكات تليفونية ثالث</t>
  </si>
  <si>
    <t>سفرجى</t>
  </si>
  <si>
    <t>سفرجي ممتاز اول</t>
  </si>
  <si>
    <t>سفرجي ممتاز</t>
  </si>
  <si>
    <t>سفرجي رئيسي</t>
  </si>
  <si>
    <t>سفرجي اول</t>
  </si>
  <si>
    <t>سفرجي ثان</t>
  </si>
  <si>
    <t>سفرجي ثالث</t>
  </si>
  <si>
    <t>طباخ</t>
  </si>
  <si>
    <t>طباخ ممتاز اول</t>
  </si>
  <si>
    <t>طباخ ممتاز</t>
  </si>
  <si>
    <t>طباخ رئيسي</t>
  </si>
  <si>
    <t>طباخ اول</t>
  </si>
  <si>
    <t>طباخ ثان</t>
  </si>
  <si>
    <t>طباخ ثالث</t>
  </si>
  <si>
    <t>جناينى</t>
  </si>
  <si>
    <t>جنايني ممتاز اول</t>
  </si>
  <si>
    <t>جنايني ممتاز</t>
  </si>
  <si>
    <t>جنايني رئيسي</t>
  </si>
  <si>
    <t>جنايني اول</t>
  </si>
  <si>
    <t>جنايني ثان</t>
  </si>
  <si>
    <t>جنايني ثالث</t>
  </si>
  <si>
    <t>قلفاط خشب</t>
  </si>
  <si>
    <t>قلفاط خشب ممتاز اول</t>
  </si>
  <si>
    <t>قلفاط خشب ممتاز</t>
  </si>
  <si>
    <t>قلفاط خشب رئيسي</t>
  </si>
  <si>
    <t>قلفاط خشب اول</t>
  </si>
  <si>
    <t>قلفاط خشب ثان</t>
  </si>
  <si>
    <t>قلفاط خشب ثالث</t>
  </si>
  <si>
    <t>سمكرى سيارات</t>
  </si>
  <si>
    <t>سمكري سيارات ممتاز اول</t>
  </si>
  <si>
    <t>سمكري سيارات ممتاز</t>
  </si>
  <si>
    <t>سمكري سيارات رئيسي</t>
  </si>
  <si>
    <t>سمكري سيارات اول</t>
  </si>
  <si>
    <t>سمكري سيارات ثان</t>
  </si>
  <si>
    <t>سمكري سيارات ثالث</t>
  </si>
  <si>
    <t>كهربائى توصيلات</t>
  </si>
  <si>
    <t>كهربائي توصيلات ممتاز أول</t>
  </si>
  <si>
    <t>كهربائي توصيلات ممتاز</t>
  </si>
  <si>
    <t>كهربائي توصيلات رئيسي</t>
  </si>
  <si>
    <t>كهربائي توصيلات اول</t>
  </si>
  <si>
    <t>كهربائي توصيلات ثان</t>
  </si>
  <si>
    <t>كهربائي توصيلات ثالث</t>
  </si>
  <si>
    <t>كهربائى بطاريات</t>
  </si>
  <si>
    <t>كهربائي بطاريات ممتاز أول</t>
  </si>
  <si>
    <t>كهربائي بطاريات ممتاز</t>
  </si>
  <si>
    <t>كهربائي بطاريات رئيسي</t>
  </si>
  <si>
    <t>كهربائي بطاريات اول</t>
  </si>
  <si>
    <t>كهربائي بطاريات ثان</t>
  </si>
  <si>
    <t>كهربائي بطاريات ثالث</t>
  </si>
  <si>
    <t>كهربائى طلاء معادن</t>
  </si>
  <si>
    <t>كهربائي طلاء معادن ممتاز أول</t>
  </si>
  <si>
    <t>كهربائي طلاء معادن ممتاز</t>
  </si>
  <si>
    <t>كهرباء طلاء معادن رئيسي</t>
  </si>
  <si>
    <t>كهربائي طلاء معادن أول</t>
  </si>
  <si>
    <t>كهربائي طلاء معادن ثان</t>
  </si>
  <si>
    <t>كهربائي طلاء معادن ثالث</t>
  </si>
  <si>
    <t>عامل مخزن</t>
  </si>
  <si>
    <t>عامل مخزن ممتاز اول</t>
  </si>
  <si>
    <t>عامل مخزن ممتاز</t>
  </si>
  <si>
    <t>عامل مخزن رئيسي</t>
  </si>
  <si>
    <t>عامل مخزن اول</t>
  </si>
  <si>
    <t>عامل مخزن ثان</t>
  </si>
  <si>
    <t>عامل مخزن ثالث</t>
  </si>
  <si>
    <t>عامل بياضات</t>
  </si>
  <si>
    <t>عامل بياضات ممتاز اول</t>
  </si>
  <si>
    <t>عامل بياضات ممتاز</t>
  </si>
  <si>
    <t>عامل بياضات رئيسي</t>
  </si>
  <si>
    <t>عامل بياضات اول</t>
  </si>
  <si>
    <t>عامل بياضات ثان</t>
  </si>
  <si>
    <t>عامل بياضات ثالث</t>
  </si>
  <si>
    <t>عامل تثقيبات للتربة</t>
  </si>
  <si>
    <t>عامل تثقيبات تربة ممتاز أول</t>
  </si>
  <si>
    <t>عامل تثقيبات تربة ممتاز</t>
  </si>
  <si>
    <t>عامل تثقيبات تربة رئيسي</t>
  </si>
  <si>
    <t>عامل تثقيبات تربة اول</t>
  </si>
  <si>
    <t>عامل تثقيبات تربة ثان</t>
  </si>
  <si>
    <t>عامل تثقيبات تربة ثالث</t>
  </si>
  <si>
    <t>وناش علوى</t>
  </si>
  <si>
    <t>وناش علوي ممتاز أول</t>
  </si>
  <si>
    <t>وناش علوي ممتاز</t>
  </si>
  <si>
    <t>وناش علوي رئيسي</t>
  </si>
  <si>
    <t>وناش علوي اول</t>
  </si>
  <si>
    <t>وناش علوي ثان</t>
  </si>
  <si>
    <t>وناش علوي ثالث</t>
  </si>
  <si>
    <t>عامل تشكيل لدائن مقواه</t>
  </si>
  <si>
    <t>عامل تشكيل لدائن مقواه ممتاز اول</t>
  </si>
  <si>
    <t>عامل تشكيل لدائن مقواه ممتاز</t>
  </si>
  <si>
    <t>عامل تشكيل لدائن مقواه رئيسي</t>
  </si>
  <si>
    <t>عامل تشكيل لدائن مقواه اول</t>
  </si>
  <si>
    <t>عامل تشكيل لدائن مقواه ثان</t>
  </si>
  <si>
    <t>عامل تشكيل لدائن مقواه ثالث</t>
  </si>
  <si>
    <t>اخصائى خدمات مساعده</t>
  </si>
  <si>
    <t>مندوب امن</t>
  </si>
  <si>
    <t>رئيس مندوبين امن ممتاز</t>
  </si>
  <si>
    <t>رئيس مندوبين امن رئيسي</t>
  </si>
  <si>
    <t>رئيس مندوبين أمن أول</t>
  </si>
  <si>
    <t>رئيس مندوبين أمن</t>
  </si>
  <si>
    <t>مندوب أمن أول</t>
  </si>
  <si>
    <t>العاشرة</t>
  </si>
  <si>
    <t>مندوب أمن</t>
  </si>
  <si>
    <t>ساعى</t>
  </si>
  <si>
    <t>رئيس سعاة ممتاز</t>
  </si>
  <si>
    <t>رئيس سعاة رئيسي</t>
  </si>
  <si>
    <t>رئيس سعاه أول</t>
  </si>
  <si>
    <t>رئيس سعاه</t>
  </si>
  <si>
    <t>ساعي اول</t>
  </si>
  <si>
    <t>ساعي</t>
  </si>
  <si>
    <t>عامل خدمات</t>
  </si>
  <si>
    <t>رئيس عمال خدمات ممتاز</t>
  </si>
  <si>
    <t>رئيس عمال خدمات رئيسي</t>
  </si>
  <si>
    <t>رئيس عمال خدمات اول</t>
  </si>
  <si>
    <t>رئيس عمال خدمات</t>
  </si>
  <si>
    <t>عامل خدمات اول</t>
  </si>
  <si>
    <t>اخصائى نظم معلومات</t>
  </si>
  <si>
    <t>أخصائى بحوث إدارية وقانونية</t>
  </si>
  <si>
    <t>أخصائى صحافة وإعلام</t>
  </si>
  <si>
    <t>ضابط فنى بحرى</t>
  </si>
  <si>
    <t>كبيرضباط فنيين بحريين</t>
  </si>
  <si>
    <t>ضابط فنى بحرى ممتاز</t>
  </si>
  <si>
    <t>ضابط فنى بحرى اول</t>
  </si>
  <si>
    <t>ضابط فنى بحرى ثان</t>
  </si>
  <si>
    <t>ضابط فنى بحرى مبتدىء</t>
  </si>
  <si>
    <t>صيدلي اكلينيكي</t>
  </si>
  <si>
    <t>أخصائى سلامه وصحه مهنيه</t>
  </si>
  <si>
    <t>مسعف</t>
  </si>
  <si>
    <t>مشرف أول مسعفين</t>
  </si>
  <si>
    <t>مشرف مسعفين</t>
  </si>
  <si>
    <t>مسعف ممتاز أول</t>
  </si>
  <si>
    <t>مسعف ممتاز</t>
  </si>
  <si>
    <t>مسعف رئيسي</t>
  </si>
  <si>
    <t>مسعف أول</t>
  </si>
  <si>
    <t>وناش</t>
  </si>
  <si>
    <t>مشرف اول اوناش</t>
  </si>
  <si>
    <t>مشرف اوناش</t>
  </si>
  <si>
    <t>وناش ممتاز اول</t>
  </si>
  <si>
    <t>وناش ممتاز</t>
  </si>
  <si>
    <t>وناش رئيسي</t>
  </si>
  <si>
    <t>وناش اول</t>
  </si>
  <si>
    <t>فنى نجارة</t>
  </si>
  <si>
    <t>فنى نجارة ممتاز اول</t>
  </si>
  <si>
    <t>فنى نجارة ممتاز</t>
  </si>
  <si>
    <t>فنى نجارة رئيسي</t>
  </si>
  <si>
    <t>فنى نجارة اول</t>
  </si>
  <si>
    <t>عقد شامل</t>
  </si>
  <si>
    <t>الصيادلة</t>
  </si>
  <si>
    <t>الاطباء</t>
  </si>
  <si>
    <t>مجموعة الخدمات المسـاعدة</t>
  </si>
  <si>
    <t>المحاسبون</t>
  </si>
  <si>
    <t>الاخصائيون</t>
  </si>
  <si>
    <t>المهندسون</t>
  </si>
  <si>
    <t>الفنيون</t>
  </si>
  <si>
    <t>الكتابيون</t>
  </si>
  <si>
    <t>الحرفيون</t>
  </si>
  <si>
    <t>خدمات معاونة</t>
  </si>
  <si>
    <t>خدمات مكتبية</t>
  </si>
  <si>
    <t>البحرية</t>
  </si>
  <si>
    <t>اخصائى تحاليل معملية وحقلية</t>
  </si>
  <si>
    <t>كبير اخصائيين تحاليل معملية وحقلية ممتاز</t>
  </si>
  <si>
    <t>كبير اخصائيين تحاليل معملية وحقلية أول</t>
  </si>
  <si>
    <t>كبير اخصائيين تحاليل معملية وحقلية</t>
  </si>
  <si>
    <t>مساعد كبير اخصائيين تحاليل معملية وحقلية</t>
  </si>
  <si>
    <t>أخصائى تحاليل معملية وحقلية ممتاز</t>
  </si>
  <si>
    <t>أخصائى تحاليل معملية وحقلية رئيسى</t>
  </si>
  <si>
    <t>أخصائى تحاليل معملية وحقلية أول</t>
  </si>
  <si>
    <t>أخصائى تحاليل معملية وحقلية</t>
  </si>
  <si>
    <t>فنى كهربائى ممتاز اول</t>
  </si>
  <si>
    <t>فنى كهربائى ممتاز</t>
  </si>
  <si>
    <t>فنى كهربائى رئيسي</t>
  </si>
  <si>
    <t>فنى كهربائى اول</t>
  </si>
  <si>
    <t>مشرف كهرباء</t>
  </si>
  <si>
    <t>مشرف اول كهرباء</t>
  </si>
  <si>
    <t>فنى كهربائى</t>
  </si>
  <si>
    <t>فنى ميكانيكي</t>
  </si>
  <si>
    <t xml:space="preserve">فنى كهربائى </t>
  </si>
  <si>
    <t>فنى ميكانيكي ممتاز اول</t>
  </si>
  <si>
    <t>فنى ميكانيكي ممتاز</t>
  </si>
  <si>
    <t>فنى ميكانيكي رئيسي</t>
  </si>
  <si>
    <t>فنى ميكانيكي اول</t>
  </si>
  <si>
    <t>فنى لحام</t>
  </si>
  <si>
    <t>فنى لحام ممتاز اول</t>
  </si>
  <si>
    <t>فنى لحام ممتاز</t>
  </si>
  <si>
    <t>فنى لحام رئيسي</t>
  </si>
  <si>
    <t>فنى لحام اول</t>
  </si>
  <si>
    <t>مشرف لحام</t>
  </si>
  <si>
    <t>مشرف اول لحام</t>
  </si>
  <si>
    <t>فنى تشغيل معادن</t>
  </si>
  <si>
    <t>فنى تشغيل معادن ممتاز اول</t>
  </si>
  <si>
    <t>فنى تشغيل معادن ممتاز</t>
  </si>
  <si>
    <t>فنى تشغيل معادن رئيسي</t>
  </si>
  <si>
    <t>فنى تشغيل معادن اول</t>
  </si>
  <si>
    <t xml:space="preserve">فنى تشغيل معادن </t>
  </si>
  <si>
    <t>مشرف تشغيل معادن</t>
  </si>
  <si>
    <t>مشرف اول تشغيل معادن</t>
  </si>
  <si>
    <t>تاريخ التثبيت</t>
  </si>
  <si>
    <t>الرقم التأميني</t>
  </si>
  <si>
    <t>الرقم القومي</t>
  </si>
  <si>
    <t>محل الإقامة</t>
  </si>
  <si>
    <t>العنوان</t>
  </si>
  <si>
    <t>English Name</t>
  </si>
  <si>
    <t>الرقم السابق</t>
  </si>
  <si>
    <t>الفئة المالية</t>
  </si>
  <si>
    <t>سنة المؤهل</t>
  </si>
  <si>
    <t>270 مساكن الهيئة ش الجيش بورفؤاد-بورسعيد</t>
  </si>
  <si>
    <t>MANSOUR SAAD ALI HBALAH</t>
  </si>
  <si>
    <t>فى الخدمة</t>
  </si>
  <si>
    <t>محمد احمد حسن المكباتى</t>
  </si>
  <si>
    <t>بورسعيد - مساكن بنك الاسكان عماره 43/29</t>
  </si>
  <si>
    <t>MOHAMED AHMED HASSAN ALMKBATY</t>
  </si>
  <si>
    <t>بورفؤاد مساكن الهيئه عماره 233/12</t>
  </si>
  <si>
    <t>Mohamed El-Sayed Ibrahim</t>
  </si>
  <si>
    <t>احمد عوض محمد اسماعيل الصعيدى</t>
  </si>
  <si>
    <t>بورسعيد - مساكن الحريه 107/4</t>
  </si>
  <si>
    <t>Ahmed Awad Mohamed Ismail El-Seaady</t>
  </si>
  <si>
    <t>بورفؤاد - مساكن الهيئه 308/54</t>
  </si>
  <si>
    <t>Mohamed Samy El-Sayed Mahmoud</t>
  </si>
  <si>
    <t>Waheed Ibrahim Kamel El-Sayed</t>
  </si>
  <si>
    <t>ابراج الفردوس ش 704</t>
  </si>
  <si>
    <t>LINDA NAGY REFAAT ZAKY</t>
  </si>
  <si>
    <t>مساكن الهيئه رقم 254/7</t>
  </si>
  <si>
    <t>REHAM AHMED ABD EL-MONAIM DEGHIADY</t>
  </si>
  <si>
    <t>مساكن الهيئه ببورسعيد فيلا رقم 1/151</t>
  </si>
  <si>
    <t>HODA ABD EL-SALAM ALI KHOZAM</t>
  </si>
  <si>
    <t>بورفؤاد ابراج محمد على ع 11 شقة 22</t>
  </si>
  <si>
    <t>INGY HASSAN MOHAMED BADR</t>
  </si>
  <si>
    <t>مسكن اداري 148/1 ببورفؤاد</t>
  </si>
  <si>
    <t>DENA MOHAMED MOUSAAD MOUSAAD</t>
  </si>
  <si>
    <t>تعاونيات الزهور عمارات الحيزة عمارة طارق بن زياد مخا 1</t>
  </si>
  <si>
    <t>NOHA ZAKARYA ABBAS</t>
  </si>
  <si>
    <t>15 شارع المشرق وسعد زغلول بورسعيد</t>
  </si>
  <si>
    <t>DINA ZAKARYA HASSAN</t>
  </si>
  <si>
    <t>سلوى محمد ابو الخير الصادق رضوان</t>
  </si>
  <si>
    <t>عمارة 267 شارع عرفات الدور الثانى شقة 7 هيئة قناة السويس</t>
  </si>
  <si>
    <t>Salwa Mohamed Abo El-kheir El-sadek</t>
  </si>
  <si>
    <t>بورسعيد حى شرق ارض الجولف ع 27 برج ميدو الدور الخامس</t>
  </si>
  <si>
    <t>Shaimaa El-Sayed Mohammed Mohammed</t>
  </si>
  <si>
    <t>البحيرة</t>
  </si>
  <si>
    <t>234/1 بورفؤاد</t>
  </si>
  <si>
    <t>Doaa Ramadan Badawy Badawy</t>
  </si>
  <si>
    <t>بورسعيد بورفؤاد 43 ابراج محمد على</t>
  </si>
  <si>
    <t>Shaimaa Mohammed Yousef Hassan</t>
  </si>
  <si>
    <t>walaa Mohammed Ahmed Mustafa Shalaby</t>
  </si>
  <si>
    <t>شيماء نصر عبد السلام محمد الاصيل</t>
  </si>
  <si>
    <t>بورسعيد بورفؤاد مدخل أ مساكن العاملين بالجوازات</t>
  </si>
  <si>
    <t>SHAIMAA NSR ABD  EL-SALAM MOHAMED</t>
  </si>
  <si>
    <t>بورسعيد بورفؤاد ميدان اسواق حمام شارع الجيش برج لامار كلاس</t>
  </si>
  <si>
    <t>RAGHDA NABEEL SADIQ  EL-SAYED</t>
  </si>
  <si>
    <t>DENA  EL-SAEED IBRAHIM MOWAFY</t>
  </si>
  <si>
    <t>RANYA  EL-SAYED MOSTAFA</t>
  </si>
  <si>
    <t>حى الشرق 4 شارع ممفيس والفرات برج سنية الدور الثانى</t>
  </si>
  <si>
    <t>sara ahmed mahmoud aldweny</t>
  </si>
  <si>
    <t>19 شارع الجيش برج بورفؤاد اسواق الحمام بورسعيد</t>
  </si>
  <si>
    <t>aya gamal elsaid abo elkher</t>
  </si>
  <si>
    <t>مساكن الشحن والتفريغ ع مكة ش 8 بورفؤاد</t>
  </si>
  <si>
    <t>doaa onsy awis mohamed</t>
  </si>
  <si>
    <t>4 مساكن اشتون الجميل بورفؤاد بورسعيد</t>
  </si>
  <si>
    <t>krestien bahig shawky</t>
  </si>
  <si>
    <t>الدقهلية</t>
  </si>
  <si>
    <t>شارع البحر منية سمنود اجا الدقهلية</t>
  </si>
  <si>
    <t>hanaa abdl elazizi abl elaziz</t>
  </si>
  <si>
    <t>بورفؤاد شارع الجمهورية برج ال نعيم بورسعيد</t>
  </si>
  <si>
    <t>dina reda rashad alsangaby</t>
  </si>
  <si>
    <t>41 السلام الجديد شارع 4 الضواحى بورسعيد</t>
  </si>
  <si>
    <t>nagwa ali hasan abo zeed</t>
  </si>
  <si>
    <t>عمارة الوفاء الدور الثالث شقة 19</t>
  </si>
  <si>
    <t>ASHRAF ANWAR KHALIL EISA</t>
  </si>
  <si>
    <t>بورفؤاد مسكن الهيئة 234/9</t>
  </si>
  <si>
    <t>KHALIFA ABD EL-MONAIM KHALIFA IBRAHIM</t>
  </si>
  <si>
    <t>ايهاب دسوقى مصطفى حسان الخولى</t>
  </si>
  <si>
    <t>مسكن الهيئة رقم 273/7 - بورفؤاد - بورسعيد</t>
  </si>
  <si>
    <t>EHAB DESOKY MUSTAFA  HASSAN EL-KHOLY</t>
  </si>
  <si>
    <t>ش الجمهوريه برج الشروق</t>
  </si>
  <si>
    <t>HATEM HASSAN MOHAMED</t>
  </si>
  <si>
    <t>HASSAN HASSAN HAMED</t>
  </si>
  <si>
    <t>5 مدخل ج حي مبارك</t>
  </si>
  <si>
    <t>HASSAN EL-SAYED MOHAMED</t>
  </si>
  <si>
    <t>4 ابراج النور الضواحى بورسعيد</t>
  </si>
  <si>
    <t>AMR IBRAHIM ABULFARH</t>
  </si>
  <si>
    <t>بورسعيد بنك الاسكان ع 63 شقة 19</t>
  </si>
  <si>
    <t>Mohamed Abdel-Aziz khalifa Abbady</t>
  </si>
  <si>
    <t>216-2 بورفؤاد</t>
  </si>
  <si>
    <t>YASER ABDULLAH MOHAMED EL-SAYED</t>
  </si>
  <si>
    <t>فيلا 185/2 بورفؤاد</t>
  </si>
  <si>
    <t>MOHAMED EL-SAYED MOHAMED ALESHMAWY</t>
  </si>
  <si>
    <t>بورسعيد/ بورفؤاد مساكن الحزب ع 7 شارع 19 امام الجامعة</t>
  </si>
  <si>
    <t>maykil Ataiya gerges</t>
  </si>
  <si>
    <t>الدقهلية / المنصورة /شارع الماشية السفلية برج النجوم اعلى مترو الدور الثالث</t>
  </si>
  <si>
    <t>Sheref Mohsen Helmy</t>
  </si>
  <si>
    <t>عمر عبد الحليم عبد العاطى عبد الكريم</t>
  </si>
  <si>
    <t>القاهرة</t>
  </si>
  <si>
    <t>407/4 سكن اداري بالاسماعيلية</t>
  </si>
  <si>
    <t>Omer Abd El-Haleem Abd El-Aaty</t>
  </si>
  <si>
    <t>احمد عبد الحكيم ابو المعاطى منصور</t>
  </si>
  <si>
    <t>مسكن رقم 236/1 بورفؤاد</t>
  </si>
  <si>
    <t>Ahmed Abd elhakeem Aboumaaty Mansor</t>
  </si>
  <si>
    <t>51-117 ش الشهيد احمد حسن</t>
  </si>
  <si>
    <t>Moataz Mohammed Shaheen Abd El-Aal</t>
  </si>
  <si>
    <t>الإسكندرية</t>
  </si>
  <si>
    <t>YASER ABO BAKR MOHAMED FOUAD</t>
  </si>
  <si>
    <t>محمد جمال احمد فؤاد ابراهيم الجزار</t>
  </si>
  <si>
    <t>217/1 ببورفؤاد</t>
  </si>
  <si>
    <t>Mohammed Gamal Ahmed Fouad Ibrahim</t>
  </si>
  <si>
    <t>بورسعيد الزهور ال5000 وحدة عمارة 65 شقة 19</t>
  </si>
  <si>
    <t>AHMED MOHAMED NAGEEB ALI HASSAN</t>
  </si>
  <si>
    <t>بورسعيد / بورفؤاد مساكن ابو بكر ع 2 شقة 35</t>
  </si>
  <si>
    <t>Sheref Ibrahim Abd El-Aaty Mohammed</t>
  </si>
  <si>
    <t>AHMED SHAABAN IBRAHIM MOHAMED</t>
  </si>
  <si>
    <t>MAHMOUD MAHMOUD MOHAMED MAHMOUD</t>
  </si>
  <si>
    <t>شارع برج اليسر شقه 11</t>
  </si>
  <si>
    <t>SHERIF AHMED MAHMOUD ALI</t>
  </si>
  <si>
    <t>بورسعيد بورفؤاد ش 9 رئيسى عمارة الطب البيطرى مدخل أ شقة 9</t>
  </si>
  <si>
    <t>AHMED MOHAMED HELMY YOUSAF METWALLY</t>
  </si>
  <si>
    <t>مساكن معاشات الهيئة شارع الجمهورية بجوار مسجد الخلفاء الراشدين</t>
  </si>
  <si>
    <t>MICHEAL NABEEL  WARED YOUSAF</t>
  </si>
  <si>
    <t>MOHAMED MAHMOUD MAHMOUD</t>
  </si>
  <si>
    <t>بورسعيد / بورفؤاد/ عمارات السكة الحديد مدخل ب الدور الرابع</t>
  </si>
  <si>
    <t>RAMY  RAOUL GAD ALLAH AWAD MOUSA</t>
  </si>
  <si>
    <t>213 مساكن هيئه قناه السويس بورفؤاد</t>
  </si>
  <si>
    <t>MOATAZ MAGDY MOHAMED  REZK</t>
  </si>
  <si>
    <t>كريم محمد محمد  حامد عيسي</t>
  </si>
  <si>
    <t>kareem mohamed mohamed</t>
  </si>
  <si>
    <t>1/179 فيلا الهيئه امام البنك الاهلي</t>
  </si>
  <si>
    <t>omar mohamedabd elwahab</t>
  </si>
  <si>
    <t>مساكن الحزب عمارة 15 شقة 5</t>
  </si>
  <si>
    <t>ahmed mohamed mosaad abdo elsesy</t>
  </si>
  <si>
    <t>13 ميدان المنشية الشرق بورسعيد</t>
  </si>
  <si>
    <t>ahmed taha ahmed abd elkrem</t>
  </si>
  <si>
    <t>مساكن حى العرب المشروع الثانى مدخل ب شقة 30</t>
  </si>
  <si>
    <t>mohamed helmy elsaid mahmoud</t>
  </si>
  <si>
    <t>27منطقة عمر بن الخطاب المنخفض الزهور بورسعيد</t>
  </si>
  <si>
    <t>mohamed emad alsayed</t>
  </si>
  <si>
    <t>22ع ابو حذيفة النعمان الزهور بورسعيد</t>
  </si>
  <si>
    <t>ahmed fakry fathy abd alafar</t>
  </si>
  <si>
    <t>أ مساكن الجمارك بورفؤاد</t>
  </si>
  <si>
    <t>mohamed foad alaeed alsayed</t>
  </si>
  <si>
    <t>19 شارع الجيش برج بورفؤاد الدور الرابع شقة 6</t>
  </si>
  <si>
    <t>mohamed gamal abdel azim</t>
  </si>
  <si>
    <t>شاطىء الامل برج الحمد المناخ بورسعيد\</t>
  </si>
  <si>
    <t>mohamed essam mosaad</t>
  </si>
  <si>
    <t>شارع الوكيل قسم الشرق</t>
  </si>
  <si>
    <t>mostafa mahmoud mostafa</t>
  </si>
  <si>
    <t>الشرقية</t>
  </si>
  <si>
    <t>ahmed mohamed mohamed kamal</t>
  </si>
  <si>
    <t>محمود عبد الحكيم فرغلى محمد الاسيوطى</t>
  </si>
  <si>
    <t>شارع مدرسة السلام القديمة ابوحماد الشرقية</t>
  </si>
  <si>
    <t>mahmoud abdl alhakim fargaly</t>
  </si>
  <si>
    <t>بورفؤاد بورسعيد مساكن الحزب الوطنى شارع الحسن بن الهيثم ع 16 شارع 401</t>
  </si>
  <si>
    <t>mohamed ibrahim mostafa</t>
  </si>
  <si>
    <t>12مساكن ابو بكر مدخل ج بورفؤاد بورسعيد</t>
  </si>
  <si>
    <t>mohamed yousry Ibrahim</t>
  </si>
  <si>
    <t>بورسعيد بورفؤاد شارع الجمهورية برج آل نعيم</t>
  </si>
  <si>
    <t>Mohamed yehia mohamed</t>
  </si>
  <si>
    <t>38 مساكن المحافظة مشروع الجيزيرة بورفؤاد بورسعيد</t>
  </si>
  <si>
    <t>mohamed mohamed el-said fatet</t>
  </si>
  <si>
    <t>267 شارع عرفات المحفوظ شرق بورسعيد</t>
  </si>
  <si>
    <t>mohamed mokhtar awaden mokhtar</t>
  </si>
  <si>
    <t>ميت بدر خميس مركز المنصورة الدقهلية</t>
  </si>
  <si>
    <t>ahmed abd-elfatah mohamed</t>
  </si>
  <si>
    <t>بورسعيد التعاونيات ع العبور م الشقة 6</t>
  </si>
  <si>
    <t>mohamed samir mohamed sla</t>
  </si>
  <si>
    <t>قشلاق السواحل برج الحمد شارع المناخ بورسعيد</t>
  </si>
  <si>
    <t>mahmoud ahmed saad khalil</t>
  </si>
  <si>
    <t>16 ش عبد القادر الجيلانى اول المنتزة</t>
  </si>
  <si>
    <t>omr khaled mohamed elsaeid</t>
  </si>
  <si>
    <t>ش الجمهوريه و 23 يوليو برج الغفران</t>
  </si>
  <si>
    <t>AHMED YEHIA MOHAMMED ZAKARIA</t>
  </si>
  <si>
    <t>محمد السيد محمود أبو الفتوح مصطفى</t>
  </si>
  <si>
    <t>270-3 مساكن الهيئة بورفؤاد</t>
  </si>
  <si>
    <t>mohamed elsaid mahmoud abo elfotoh</t>
  </si>
  <si>
    <t>مساكن الهيئه - ع 287/12 - بورفؤاد</t>
  </si>
  <si>
    <t>ARAFA MOHAMED EL-SAYED ISSA</t>
  </si>
  <si>
    <t>بورسعيد ش 99 ابو الحسن مساكن الهيئة ع 338 ش 9</t>
  </si>
  <si>
    <t>HASSAN IBRAHIM EL-DESOUKY ABDO</t>
  </si>
  <si>
    <t>بورسعيد ش نهضة مصر برج المودة د</t>
  </si>
  <si>
    <t>HANY MAHMOUD MOHAMED GAD</t>
  </si>
  <si>
    <t>بورسعيد ش اورجينا والبازار برج ستايل</t>
  </si>
  <si>
    <t>HAMED HASSAN HAMED</t>
  </si>
  <si>
    <t>بورسعيد العرب مساكن الهيئة ع 338 ش 33</t>
  </si>
  <si>
    <t>ASHRAF MOHAMED MOHAMED MASHALY</t>
  </si>
  <si>
    <t>EL-SAYED EL-SAYEDALHAG MOHAMED ALARIAN</t>
  </si>
  <si>
    <t>بورسعيد مساكن الهيئة ع 339 ش 4</t>
  </si>
  <si>
    <t>MOHAMED HENAIDAK MOHAMED IBRAHIM</t>
  </si>
  <si>
    <t>MOHAMED ALI EL-SHORBAGY</t>
  </si>
  <si>
    <t>ايمان ابوالمعاطى محمد الجباسى</t>
  </si>
  <si>
    <t>59</t>
  </si>
  <si>
    <t>EMAN ABULMAATY MOHAMED</t>
  </si>
  <si>
    <t>بورسعيد - ش احمد ماهر / فيلا 222/4</t>
  </si>
  <si>
    <t>TAGREED BADAWY ALI HASSAN</t>
  </si>
  <si>
    <t>SHEREEF MOHAMED MOHAMED EL-SHEREEF</t>
  </si>
  <si>
    <t>عمارات اشتون الجميل / رقم 21 ش 204/ بورفؤاد</t>
  </si>
  <si>
    <t>NASRA YAHYA MOHAMED EL-SHEREEF</t>
  </si>
  <si>
    <t>سماح محمد البدوى عبدالمقصود الدهشان</t>
  </si>
  <si>
    <t>بورسعيد - 30مينا وصلاح سالم</t>
  </si>
  <si>
    <t>SAMAH MOHAMED EL-BADAWY ABD EL-MAKSOUD</t>
  </si>
  <si>
    <t>مساكن الهيئه - ش احمد ماهر والشرق /ع 329/6</t>
  </si>
  <si>
    <t>SUZAN  EL-SAYED MOHAMED</t>
  </si>
  <si>
    <t>بورفؤاد مساكن الهيئة ع 320 ش 7</t>
  </si>
  <si>
    <t>ABD EL-SAYED  GINDY ISKANDAR</t>
  </si>
  <si>
    <t>بورسعيد مساكن الهيئة ع 339 ش 24</t>
  </si>
  <si>
    <t>EL-SAYED ABDO HUSSAIN MOHAMED</t>
  </si>
  <si>
    <t>ALAA SALIM MOHAMED MAHMOUD</t>
  </si>
  <si>
    <t>4 ش اسوان - مساكن العاملين /6/الدور الثالث ارض العرب</t>
  </si>
  <si>
    <t>GAMAL YOSRY MAHMOUD HASSAN ALDALY</t>
  </si>
  <si>
    <t>94 م/الصفا والمروة حى الزهور بورسعيد</t>
  </si>
  <si>
    <t>TARIK SALEH MAHMOUD</t>
  </si>
  <si>
    <t>مساكن الهيه 239 بورفواد</t>
  </si>
  <si>
    <t>HESHAM  SHEHATA ABD EL-ATIF</t>
  </si>
  <si>
    <t>مساكن الهيئة ع 318  / 25</t>
  </si>
  <si>
    <t>OSAMA HASSAN RAGAB ABDO</t>
  </si>
  <si>
    <t>مساكن الهيئه - ع 327/10 بورسعيد</t>
  </si>
  <si>
    <t>MAMDOUH ABD EL-SALAM IBRAHIM</t>
  </si>
  <si>
    <t>بورفؤاد - مساكن الهيئة  288/7</t>
  </si>
  <si>
    <t>AHMED MOHAMED AHMED  ABOWARDA</t>
  </si>
  <si>
    <t>بورفؤاد مساكن شباب اكتوبر ع/الفيروز</t>
  </si>
  <si>
    <t>MOHAMED EL-SAEED MOHAMED IBRAHIM</t>
  </si>
  <si>
    <t>بورفؤاد ع/225/1 بورسعيد</t>
  </si>
  <si>
    <t>MOHAMED RAFAT MOHAMED EL-HUSSINY</t>
  </si>
  <si>
    <t>SABRY ASHOUR ALI SOBH</t>
  </si>
  <si>
    <t>بورسعيد مساكن الهيئة ع 326 ش 7</t>
  </si>
  <si>
    <t>ADEL MOHAMED OMAR MOHAMED</t>
  </si>
  <si>
    <t>بورسعيد الزهور عمر بن عبد العزيز ع 11</t>
  </si>
  <si>
    <t>ASHRAF MAHMOUD FEKRY FARAG ALSHAFEY</t>
  </si>
  <si>
    <t>بورفؤاد م/ابو بكرع- 14 مدخل أ /25 بورسعيد</t>
  </si>
  <si>
    <t>TARIK MOHAMED MOHAMED AHMED ZAITOON</t>
  </si>
  <si>
    <t>بورسعيد الضواحي مساكن الاسراء ع 1 ش 1</t>
  </si>
  <si>
    <t>WAEL MAMDOUH MOHAMED ALATTAR</t>
  </si>
  <si>
    <t>399 دمنهور والانصارى بورسعيد</t>
  </si>
  <si>
    <t>EL-SAYED AHMED MOHAMED SAEED</t>
  </si>
  <si>
    <t>م/الهيئة ع/317/35 بورسعيد</t>
  </si>
  <si>
    <t>ABULYAZEED MAHMOUD MOHAMED EL-ASHRY</t>
  </si>
  <si>
    <t>م/الهيئة ع/227/12 بورسعيد</t>
  </si>
  <si>
    <t>WALEED EL-SAYED EL-ARABY AHMED</t>
  </si>
  <si>
    <t>بورسعيد مساكن الهيئة ع 339 ش 48</t>
  </si>
  <si>
    <t>ASHRAF HAMDY ALDAWODY ALSHABOURY</t>
  </si>
  <si>
    <t>4 مساكن معاشات الهيئة المشتل بورسعيد / بورفؤاد</t>
  </si>
  <si>
    <t>MOHAMED SAYED MOHAMED ATYA</t>
  </si>
  <si>
    <t>37 شارع كسرى ومظلوم المناخ</t>
  </si>
  <si>
    <t>ASHRAF AHMED MOHAMED ABOSAER</t>
  </si>
  <si>
    <t>44ش احمد ماهر وعزمى -- ملك بكير ش 13</t>
  </si>
  <si>
    <t>SHEREEF MAHMOUD MOHAMED NUMAN</t>
  </si>
  <si>
    <t>بورسعيد ش-الجبرتى وفلسطين ع4/1</t>
  </si>
  <si>
    <t>MOHAMED FAWZY HASSANAIN ABO OOF</t>
  </si>
  <si>
    <t>231/9 م / الهيته بورفواد</t>
  </si>
  <si>
    <t>MOSAD AHMED MORSY ARNOUS</t>
  </si>
  <si>
    <t>بورفؤاد  مساكن الهية ع 290 ش 18 ارض المشتل</t>
  </si>
  <si>
    <t>AYMN MAHMOUD MOHAMED ALI ISSA</t>
  </si>
  <si>
    <t>بورفؤاد 2 مساكن موظفي الحكومة ش 10</t>
  </si>
  <si>
    <t>AMR MOHAMED ABD EL-HADY MORSHED</t>
  </si>
  <si>
    <t>302/32 مساكن الهيئة بورفؤاد بورسعيد</t>
  </si>
  <si>
    <t>MOHAMED MOHAMED ALI ALFAR</t>
  </si>
  <si>
    <t>339/6 مساكن الهيئة بورسعيد</t>
  </si>
  <si>
    <t>SAMEER MOHAMED MOHAMED AHMED</t>
  </si>
  <si>
    <t>ع 226/7 م/الهيئة بورسعيد</t>
  </si>
  <si>
    <t>EL-TABEY FAROUK RAGAB IBRAHIM</t>
  </si>
  <si>
    <t>مساكن العبور ع/30/18 بورسعيد</t>
  </si>
  <si>
    <t>EL-SAYED MUKHTAR EL-SAYED ABD EL-AAL</t>
  </si>
  <si>
    <t>مساكن الهيئة 239 ش الجمهورية - بورفؤاد</t>
  </si>
  <si>
    <t>ASHRAF RAGAB ABD EL-WAHAB</t>
  </si>
  <si>
    <t>بورسعيد مساكن الرسوة ع 325 ش 20</t>
  </si>
  <si>
    <t>IBRAHIM ABO ZAID YOUNIS ABO ZAID</t>
  </si>
  <si>
    <t>بورسعيد - أبراج الخلييج الدور الاول شقه 7 شارع الجمهوريه وحافظ ابراهيم</t>
  </si>
  <si>
    <t>RABAH MOHAMED SHABAN EL-TABEY</t>
  </si>
  <si>
    <t>8 ش عثمان بن عفان منشيه البكرى المحله</t>
  </si>
  <si>
    <t>MAHER MANSOUR TADROS MANSOUR</t>
  </si>
  <si>
    <t>بورفؤاد مساكن الهيئة 307 /6</t>
  </si>
  <si>
    <t>MOHAMED OSMAN AWAD OSMAN MOUSA</t>
  </si>
  <si>
    <t>ش طولون/99 مساكن المتروبيتش فردوس بورسعيد</t>
  </si>
  <si>
    <t>AHMED MOHAMED ABDO MOHAMED BIKIR</t>
  </si>
  <si>
    <t>بورفؤاد ش 3 رئيسى /33 بورسعيد</t>
  </si>
  <si>
    <t>ZAINAB MITWALLY MOSAD ABO ZAID</t>
  </si>
  <si>
    <t>ش النهضة وسيزواستريس ملك عبد الفتاح بورسعيد</t>
  </si>
  <si>
    <t>AYDA EL-SAYED BADRY ABD EL-RAHMAN</t>
  </si>
  <si>
    <t>288 ارض المشتل م الهيته بورفواد</t>
  </si>
  <si>
    <t>FATMA AHMED  ALSHERBENY ALSIAD</t>
  </si>
  <si>
    <t>22 مساكن بنك الاسكان الضواحى</t>
  </si>
  <si>
    <t>HAIAM EL-SAYED ALSADAT</t>
  </si>
  <si>
    <t>مساكن الوفاء الضواحى ع 115/3 بورسعيد</t>
  </si>
  <si>
    <t>MONA  GHAREEB HAMED IBRAHIM</t>
  </si>
  <si>
    <t>م الهيئة ع 294/34 بورسعيد</t>
  </si>
  <si>
    <t>SOAAD RAGAB DARWESH AMMARY</t>
  </si>
  <si>
    <t>م اليهئة ع 227/12 بورسعيد</t>
  </si>
  <si>
    <t>GHADA AWAD EL-SAYED SABH</t>
  </si>
  <si>
    <t>بنك الاسكان ع 55/16 بورسعيد</t>
  </si>
  <si>
    <t>NOHA MUSTAFA MUSTAFA ALHARONY</t>
  </si>
  <si>
    <t>م الهيئة ع 257/34 بورسعيد</t>
  </si>
  <si>
    <t>AZA ABDO MOHAMED AWAD</t>
  </si>
  <si>
    <t>ع 29 مساكن المروة الزهور بورسعيد</t>
  </si>
  <si>
    <t>SAHAR IBRAHIM ALI EL-SHEREEF</t>
  </si>
  <si>
    <t>ع 73 /21 بورفؤاد الحزب الوطنى بورسعيد</t>
  </si>
  <si>
    <t>NEVEEN MOHAMED AHMED</t>
  </si>
  <si>
    <t>19 م الجوهرة الزهور /301 بورسعيد</t>
  </si>
  <si>
    <t>MOHAMED HAMDY ABDO EL-SAYED  HAGGAG</t>
  </si>
  <si>
    <t>بورسعيد الزهور ش عمربن الخطاب ع72/21</t>
  </si>
  <si>
    <t>RANIA MOHAMED AL-AGAMY HASSAN</t>
  </si>
  <si>
    <t>م الهيئة ع 337/12 بورسعيد</t>
  </si>
  <si>
    <t>FATHYA MOHAMED MOHAMED EL-GHANDOR</t>
  </si>
  <si>
    <t>م الحزب الوطنى ارض الملاحة ع 108/4 بورفؤاد بورسعيد</t>
  </si>
  <si>
    <t>NASHWA MOHAMED MOHAMED HUSSAIN</t>
  </si>
  <si>
    <t>م الحزب الوطنى ارض الملاحة ع 4/6 بورفؤاد بورسعيد</t>
  </si>
  <si>
    <t>DALIA EL-SAYED MOHAMED OSMAN</t>
  </si>
  <si>
    <t>العاشر من رمضان ع 12/17 يورسعيد</t>
  </si>
  <si>
    <t>FATMA ABDULLAH HODA AHMED</t>
  </si>
  <si>
    <t>بورسعيد مساكن الهيئة عمارة 338/28</t>
  </si>
  <si>
    <t>FATMA IBRAHIM AHMED KHALIL  ALMAGHREBI</t>
  </si>
  <si>
    <t>الصفا ع 95/13 بورسعيد</t>
  </si>
  <si>
    <t>AMAL IBRAHIM RAMADAN ABOGOMAA</t>
  </si>
  <si>
    <t>مسامن الهيئة ع 283/12 بوفؤاد</t>
  </si>
  <si>
    <t>SALWA MOHAMED ABD EL-RAHEEM MOHAMED</t>
  </si>
  <si>
    <t>م الهيئة ع 784/28 بورسعيد</t>
  </si>
  <si>
    <t>MOHAMED AHMED ABD EL-SALAM MOHAMED</t>
  </si>
  <si>
    <t>بورفؤاد - مساكن الهيئة 320 / 29</t>
  </si>
  <si>
    <t>MUSTAFA MOHAMED HELMY</t>
  </si>
  <si>
    <t>بورفؤاد -مساكن الهيئة 253 / 14</t>
  </si>
  <si>
    <t>MAHMOUD ATA ISMAIL MOHAMED</t>
  </si>
  <si>
    <t>بورسعيد الزهور عمر بن الخطاب ع 90 ش 11</t>
  </si>
  <si>
    <t>WALEED SABER AABDEN</t>
  </si>
  <si>
    <t>ع 6 مساكن موظفي الحكومه بورفؤاد</t>
  </si>
  <si>
    <t>ISLAM NAGY RASHAD ABDO</t>
  </si>
  <si>
    <t>بورفؤاد - مساكن الهيئة عمارة رقم 280 / 17</t>
  </si>
  <si>
    <t>MOHAMED IBRAHIM MOHAMED TAHA</t>
  </si>
  <si>
    <t>بورفؤاد مساكن الهيئة ع 281 ش 7</t>
  </si>
  <si>
    <t>MOHAMED MAGDY MOHAMED MOHAMED</t>
  </si>
  <si>
    <t>بورفؤاد-شارع الجمهوريه رقم 35 ابراج الروضه ش 103</t>
  </si>
  <si>
    <t>AHMED ATEF AHMED SOBHY</t>
  </si>
  <si>
    <t>مساكن الاسكان والتعمير بورفواد</t>
  </si>
  <si>
    <t>AWATEF MOHAMED EL-SAYED EL-SAYED</t>
  </si>
  <si>
    <t>م الهيئة ع 299/3 بورفؤاد بورسعيد</t>
  </si>
  <si>
    <t>HANAN HOSNY EL-SAYED AHMED</t>
  </si>
  <si>
    <t>340 مساكن الهيته ش متروفيش العرب</t>
  </si>
  <si>
    <t>HEBA MOHAMED AHMED MAHMOUD</t>
  </si>
  <si>
    <t>بورسعيد ارض العزب مساكن الهيئة ع 1 ش 11</t>
  </si>
  <si>
    <t>EL-SAYED SOLIMAN FARAG ALMORSY</t>
  </si>
  <si>
    <t>بورسعيد الزهور عمر بن الخطاب ع 1 ش 9</t>
  </si>
  <si>
    <t>EL-SAYED HASSAN HAMED FIALA</t>
  </si>
  <si>
    <t>بورسعيد ابراج النور برج الصفوة 1 أ الدور 11 ش 2</t>
  </si>
  <si>
    <t>MOHAMED SALAH AHMED SALIM</t>
  </si>
  <si>
    <t>بورسعيد الزهور عمر بن الخطاب ع 24 ش 16</t>
  </si>
  <si>
    <t>ASHRAF MOHAMED EL-SAYED</t>
  </si>
  <si>
    <t>بورفؤاد الحزب الوطني ع 114 ش 504</t>
  </si>
  <si>
    <t>EL-SAYED MUKHTAR FAHEEM GAD</t>
  </si>
  <si>
    <t>بورسعيد ش  الجمهورية برج نورهان الدور الثاني ش 5</t>
  </si>
  <si>
    <t>MOHAMED HASSAN MOHAMED EL-SAYED</t>
  </si>
  <si>
    <t>بورسعيد الزهور عمر بن الخطاب منخفض التكاليف ع 20 ش 19</t>
  </si>
  <si>
    <t>SAMY SALEH MOHAMED SALEH</t>
  </si>
  <si>
    <t>IBRAHIM MOHAMED AHMED SEDDIK</t>
  </si>
  <si>
    <t>بورسعيد الضواحي 8 فاطمة الزهراء</t>
  </si>
  <si>
    <t>AHMED ISMAIL IBRAHIM HAMMAM</t>
  </si>
  <si>
    <t>29 المنطقة الثانية المناخ بورسعيد</t>
  </si>
  <si>
    <t>SAMY ALZANATY BEDAIR MUSTAFA</t>
  </si>
  <si>
    <t>بورسعيد حي مبارك ع 3 مدخل د ش 27</t>
  </si>
  <si>
    <t>HANY MOHAMED HAFEZ ABULSHEHOD</t>
  </si>
  <si>
    <t>بورسعيد الضواحي القابوطي بلوك 7</t>
  </si>
  <si>
    <t>EL-SAEED BADAWY TAWFEEK BADAWY</t>
  </si>
  <si>
    <t>بورسعيد مساكن السيدة زينب ع 3</t>
  </si>
  <si>
    <t>MUSTAFA HELMY AHMED MOHAMED</t>
  </si>
  <si>
    <t>بورسعيد مساكن الحرية ع 84 ش 1</t>
  </si>
  <si>
    <t>AHMED NABEEL MAHMOUD ABD EL-ATY</t>
  </si>
  <si>
    <t>محمد اسامة محمد عبد الواحد التوني</t>
  </si>
  <si>
    <t>1 مساكن ابو بكر بورفواد</t>
  </si>
  <si>
    <t>MOHAMED OSAMA MOHAMED ABD EL-WAHED</t>
  </si>
  <si>
    <t>بورفؤاد - مساكن الهيئة عمارة 305  / 7</t>
  </si>
  <si>
    <t>AHMED OSAMA YAHYA HASSANAIN ALHELWANY</t>
  </si>
  <si>
    <t>بورسعيد  ابراج خان الخليلي برج النرجس المناخ</t>
  </si>
  <si>
    <t>MOHAMED GAMAL MOHAMED</t>
  </si>
  <si>
    <t>بورسعيد مساكن الرحاب ع 51 ش 21</t>
  </si>
  <si>
    <t>EL-SAYED EL-SAYED METWALLY SALAMA</t>
  </si>
  <si>
    <t>بورسعيد الزهور علي بن ابي طالب ع 85</t>
  </si>
  <si>
    <t>IBRAHIM OSMAN ABOZAID</t>
  </si>
  <si>
    <t>بورسعيد 8 ش الجيش واحمد ماهر</t>
  </si>
  <si>
    <t>THARWAT SAMEER HANNA KHALIL</t>
  </si>
  <si>
    <t>بورسعيد الزهور عمر بن الخطاب ع 4</t>
  </si>
  <si>
    <t>AHMED LOTFY LOTFY AHMED</t>
  </si>
  <si>
    <t>بورسعيد القابوطي بلوك 6</t>
  </si>
  <si>
    <t>HOSAM WASFY MAHMOUD MOHAMED</t>
  </si>
  <si>
    <t>محمود محمد الصغير احمد</t>
  </si>
  <si>
    <t>بورسعيد / الزهور مساكن بلال بن رباح ع 55 شقة 7</t>
  </si>
  <si>
    <t>MAHMOUD MOHAMED ELSAGHEER AHMED</t>
  </si>
  <si>
    <t>بورسعيد الضواحي فاطمة الزهراء ع 8</t>
  </si>
  <si>
    <t>MOHAMED ELTABEY MAHMOUD MUSTAFA</t>
  </si>
  <si>
    <t>بورسعيد الزهور  مساكن المروة ع 96 ش 19</t>
  </si>
  <si>
    <t>KAREEM EL-DEEN HUSSAIN ALI ABD EL-MOATY</t>
  </si>
  <si>
    <t>بورسعيد مساكن الجزيرة ع 25 ش 11</t>
  </si>
  <si>
    <t>YEHYA SAYED SAYED MOHAMED OSMAN</t>
  </si>
  <si>
    <t>بورفؤاد مساكن العبور ع 2 ش 18</t>
  </si>
  <si>
    <t>HAITHAM SAMEER MOHAMED MOHAMED</t>
  </si>
  <si>
    <t>بورفؤاد 6 مساكن الامل ثان</t>
  </si>
  <si>
    <t>mohamd hsun ahmad</t>
  </si>
  <si>
    <t>بورسعيد مساكن الجزيرة ع 13 ش 14</t>
  </si>
  <si>
    <t>ahmad apd almnam rdwan</t>
  </si>
  <si>
    <t>بورسعيد مساكن الرحاب ع 49 ش 9</t>
  </si>
  <si>
    <t>mohamd apdh mohamd</t>
  </si>
  <si>
    <t>بورسعيد المنطقة الخامسة ع99 ش 5</t>
  </si>
  <si>
    <t>salyman hasn salyman</t>
  </si>
  <si>
    <t>بورسعيد حي الضواحي المنطقة الصناعية ع 4</t>
  </si>
  <si>
    <t>mohmad kadr alsyd</t>
  </si>
  <si>
    <t>بورسعيد ارض العزب ش 100 والمنيا</t>
  </si>
  <si>
    <t>hany rdi hprhym hasn</t>
  </si>
  <si>
    <t>بورسعيد السلام تمليك ع 103 ش 3</t>
  </si>
  <si>
    <t>ramay kalul grgs makar</t>
  </si>
  <si>
    <t>بورسعيد مساكن العبور ع 37 ش 18</t>
  </si>
  <si>
    <t>AHMAD MAHMOD APDALI</t>
  </si>
  <si>
    <t>بورسعيد الحرية الجديدة ع 127</t>
  </si>
  <si>
    <t>hassan abdelghany mohamed</t>
  </si>
  <si>
    <t>بورسعيد 25 شارع المنيا واحمد ماهر</t>
  </si>
  <si>
    <t>eyhap fouad mohamd</t>
  </si>
  <si>
    <t>بورسعيد حي الكويت ع 19 ش 4</t>
  </si>
  <si>
    <t>ahmad mohamd dyf</t>
  </si>
  <si>
    <t>بورفؤاد ع 45 شارع 25/10</t>
  </si>
  <si>
    <t>amad hlym samy</t>
  </si>
  <si>
    <t>بورسعيد مساكن الرحاب ع 48 ش 3</t>
  </si>
  <si>
    <t>ahmad hosny mohamd</t>
  </si>
  <si>
    <t>مصطفى جمال عبدالناصر مصطفى</t>
  </si>
  <si>
    <t>7 ش عزمي وسعد زغلول الشرق بورسعيد</t>
  </si>
  <si>
    <t>mostafa gamal</t>
  </si>
  <si>
    <t>الحزب الوطنى ع 37/12 - بورفؤاد</t>
  </si>
  <si>
    <t>Mavwa mohamed el-saued abo</t>
  </si>
  <si>
    <t>64 ش عبادى والمغازى مختار- بورسعيد</t>
  </si>
  <si>
    <t>Rawua karem atwan aly</t>
  </si>
  <si>
    <t>7 مدخل ج مساكن ابو بكر الصديق بورفواد</t>
  </si>
  <si>
    <t>Tarek mohasn abd elmanhm mansy</t>
  </si>
  <si>
    <t>بورسعيد مساكن بنك الاسكان ع 19</t>
  </si>
  <si>
    <t>ASLAM AHMED AHMED</t>
  </si>
  <si>
    <t>بورسعيد مساكن الحرية ع 17 ش 1</t>
  </si>
  <si>
    <t>ABD ALRAHMAN REDA HAMZA</t>
  </si>
  <si>
    <t>محمد جمال عبد الناصر بغدادى عبد العال</t>
  </si>
  <si>
    <t>77 مشروع ال120 وحده الجنوب بورسعيد</t>
  </si>
  <si>
    <t>Mohamed Gamal abd al-naser</t>
  </si>
  <si>
    <t>مساكن الصحه - عماره ا - مدخل ب - بورفؤاد</t>
  </si>
  <si>
    <t>Ahmed MAHMOD HASAN</t>
  </si>
  <si>
    <t>219 ال 5000 وحده - الزهور - بورسعيد</t>
  </si>
  <si>
    <t>AHMED ALY ALADEL MOHAMED</t>
  </si>
  <si>
    <t>شمال سيناء</t>
  </si>
  <si>
    <t>حى الدواغرة - بئر العبد  شمالسيناء</t>
  </si>
  <si>
    <t>Mohamed abd alla abd el-karem</t>
  </si>
  <si>
    <t>بورسعيد - حى السويس - شارع السواحل والدقهليه</t>
  </si>
  <si>
    <t>Ahmed hamedyt alsaued mohamed</t>
  </si>
  <si>
    <t>72 مساكن الحزب الوطنى بورفواد</t>
  </si>
  <si>
    <t>Ebrahem hasan swelam hasan</t>
  </si>
  <si>
    <t>الغربية</t>
  </si>
  <si>
    <t>سنباط - مركز زفتى  الغربيه</t>
  </si>
  <si>
    <t>Taher Nagah ebrahem mosaa</t>
  </si>
  <si>
    <t>84 السلام الجديد الضواحى</t>
  </si>
  <si>
    <t>Wafae Mohsen Mohamed elsayed</t>
  </si>
  <si>
    <t>رحاب ابو السعود راغب حجازى حموده</t>
  </si>
  <si>
    <t>48ش سعد زغلول - بورسعيد</t>
  </si>
  <si>
    <t>Rehab aboo el-sawd ragp</t>
  </si>
  <si>
    <t>مساكن الهيئة ببورفؤاد ع 226/10</t>
  </si>
  <si>
    <t>Walaa Ramdan Mosaad Hamam</t>
  </si>
  <si>
    <t>Maruam hamada ebrahem</t>
  </si>
  <si>
    <t>مساكن اللنش 3 - ب /المنخ - بورسعيد</t>
  </si>
  <si>
    <t>Euman Gamal Mohamed Ahmad</t>
  </si>
  <si>
    <t>الزهور ع 168 ش 15 عمر بن الخطاب /بورسعيد</t>
  </si>
  <si>
    <t>Safae samer ebrahem mohamed</t>
  </si>
  <si>
    <t>اميره عبد الرحمن مصطفى محمد مصطفى</t>
  </si>
  <si>
    <t>54 ال 120 عماره الجنوب</t>
  </si>
  <si>
    <t>Amera abd el-rhman mostafa</t>
  </si>
  <si>
    <t>257/9 بورفواد</t>
  </si>
  <si>
    <t>Elham mohamed haamde ahmad</t>
  </si>
  <si>
    <t>مساكن قبضايا ع 20ا/8 بورسعيد</t>
  </si>
  <si>
    <t>Nahla aly alsaued mohamed</t>
  </si>
  <si>
    <t>مساكن زمزم - ع 16 ش 24 - بورسعيد</t>
  </si>
  <si>
    <t>Dwae Aadel uehua ebrahem</t>
  </si>
  <si>
    <t>بورسعيد - ش السيد متولى العشرى - ع 364/3</t>
  </si>
  <si>
    <t>Heba Aadel ahmed halel</t>
  </si>
  <si>
    <t>حرافيين الزهور - ع1 مدخل ا ش3 - بورسعيد</t>
  </si>
  <si>
    <t>Alchumae magedy naser mohamed</t>
  </si>
  <si>
    <t>المنطقة الخامسه ع 14 ش 2 - صالح سليم</t>
  </si>
  <si>
    <t>Menh aala aly fahem elsaued</t>
  </si>
  <si>
    <t>الزهور عمر بن عبدالعزيز ع 51 ش 13 - بورسعيد</t>
  </si>
  <si>
    <t>Tagved naser mohamed mohamed</t>
  </si>
  <si>
    <t>احمد محمود على حسن</t>
  </si>
  <si>
    <t>بورسعيد الزهور علي بن ابي طالب ع 34</t>
  </si>
  <si>
    <t>ahmed mahmoud ali hassan</t>
  </si>
  <si>
    <t>خالد السعيد على حسن</t>
  </si>
  <si>
    <t>بورفؤاد مساكن 23 ديسمبر ع 3 ش 13</t>
  </si>
  <si>
    <t>khalid elsaeed ali hassn</t>
  </si>
  <si>
    <t>بورفؤاد 4 مجمع البنوك ش 324</t>
  </si>
  <si>
    <t>Ramrz Ramzi Rezk</t>
  </si>
  <si>
    <t>HOSAM  MAGDY MOHAMED</t>
  </si>
  <si>
    <t>بورسعيد  فاطمة الزهراء ع 30 ش 15</t>
  </si>
  <si>
    <t>AHMED  MOHAMED AHMED MOHAMED</t>
  </si>
  <si>
    <t>بورسعيد علي بن ابي طالب ع 24</t>
  </si>
  <si>
    <t>AHMED  SABER AHMED HEFNY</t>
  </si>
  <si>
    <t>بورسعيد  الزهور مساكن المروة ع 101 ش 8</t>
  </si>
  <si>
    <t>MOHAMED SALAH MAHMOUD</t>
  </si>
  <si>
    <t>ABDUH  AHMED ABDUH MAHMOUD</t>
  </si>
  <si>
    <t>بورفؤاد جمعية حي العرب مدخل ج ش 56</t>
  </si>
  <si>
    <t>HAMED  HASSAN  HASSAN IBRAHIM</t>
  </si>
  <si>
    <t>بورسعيد الزهور خالد بن الوليد ع 60 أ</t>
  </si>
  <si>
    <t>MOHAMED MOHAMED SAMER</t>
  </si>
  <si>
    <t>بورسعيد 70 شارع المنيا والبلدية</t>
  </si>
  <si>
    <t>HAITHM   MOHAMED AL MAGAWRY</t>
  </si>
  <si>
    <t>بورسعيد الزهور بلال بن رباح ع 46 أ ش 15</t>
  </si>
  <si>
    <t>MAHMOUD YOSRY ABDUH ALI</t>
  </si>
  <si>
    <t>بورسعيد مساكن الخدمات التعليمية ع التوحيد ش 15</t>
  </si>
  <si>
    <t>HUSSAIN  HAMEED MOHAMED</t>
  </si>
  <si>
    <t>اسلام عبد المنعم عبد الحكيم محمد منصور</t>
  </si>
  <si>
    <t>بورسعيد الزهور عمربن الخطاب ع 26 ش 21</t>
  </si>
  <si>
    <t>ISLAM  ABD EL MONEAM</t>
  </si>
  <si>
    <t>بورفؤاد مساكن ال ع 11 ش 5</t>
  </si>
  <si>
    <t>WALID  AHMED ALI ALI SAKKA</t>
  </si>
  <si>
    <t>بورسعيد الزهور علي بن ابي طالب ع 62 ش 17</t>
  </si>
  <si>
    <t>HASSAN  MAHMOUD MANSOR</t>
  </si>
  <si>
    <t>بورسعيد  مساكن الامين ع 20 ش 8</t>
  </si>
  <si>
    <t>AHMED RAMADAN TAHA AHMED</t>
  </si>
  <si>
    <t>خالد السعيد السعيد طه</t>
  </si>
  <si>
    <t>بورسعيد مساكن 6 اكتوبر ع 60 ش 15</t>
  </si>
  <si>
    <t>KHALID  EL SAEED EL SAEED TAH</t>
  </si>
  <si>
    <t>بورفؤاد مساكن الانشاءات البحرية ع الحسن مدخل أ</t>
  </si>
  <si>
    <t>MOHAMED  KAMAL KAMEL</t>
  </si>
  <si>
    <t>بورفؤاد مساكن ابي بكر الصديق ع 14</t>
  </si>
  <si>
    <t>AHMED  MOHAMED REFAAT MOHAMED</t>
  </si>
  <si>
    <t>بورسعيد الزهور عمربن العاص ع 24 ب</t>
  </si>
  <si>
    <t>AMRO  AHMED MOHAMED AHMED</t>
  </si>
  <si>
    <t>درويش مروان درويش سعيد درويش</t>
  </si>
  <si>
    <t>DARWISH MARWAN DARWISH</t>
  </si>
  <si>
    <t>بورسعيد الزهور علي بن ابي  طالب ع 26</t>
  </si>
  <si>
    <t>AHMED  FOUD ALI ABD ELGANY</t>
  </si>
  <si>
    <t>مدحت السيد محمد عبد اللطيف عبدالله</t>
  </si>
  <si>
    <t>بورسعيد  مساكن الاسراء ع 76 ش 24</t>
  </si>
  <si>
    <t>MEDHAT  EL SAYED MOHAMED</t>
  </si>
  <si>
    <t>7شارع 23 يوليو بورفواد بورسعيد</t>
  </si>
  <si>
    <t>EL SAYED EL SAYED MOHAMED ALI</t>
  </si>
  <si>
    <t>بورفؤاد مساكن الحزب الوطني ع 108 ش 401</t>
  </si>
  <si>
    <t>IBRAHIM EL METWLY IBRAHIM</t>
  </si>
  <si>
    <t>بورسعيد مساكن الحرية الجديدة ع 147</t>
  </si>
  <si>
    <t>MAHER  MUSTAFA IBRAHIM MOUSA</t>
  </si>
  <si>
    <t>بورسعيد الضواحي  مساكن الاسراء ع 113 ش 10</t>
  </si>
  <si>
    <t>MAHMOUD  NABEEL MOHAMED</t>
  </si>
  <si>
    <t>بورسعيد ش المنيا والمقدس</t>
  </si>
  <si>
    <t>AHMED MAHMOUD AHMED ALI</t>
  </si>
  <si>
    <t>بورسعيد الضواحي مساكن النصر ع 6</t>
  </si>
  <si>
    <t>AHMED  EL SAYED AL ARABY ALI</t>
  </si>
  <si>
    <t>عبده محمد صبرى محمد</t>
  </si>
  <si>
    <t>بورسعيد الزهور مساكن الجبل ع 13</t>
  </si>
  <si>
    <t>ABDUH MOHAMED SABRY MOHAMED</t>
  </si>
  <si>
    <t>مساكن معاشات هيئة ق/ س عمارة 323 الدور الارضى امام قسم ثان بورسعيد</t>
  </si>
  <si>
    <t>ABIR ALSAID ALI ABD ALGHAFAR</t>
  </si>
  <si>
    <t>دمياط</t>
  </si>
  <si>
    <t>كفر سعد قريه ام الرزق</t>
  </si>
  <si>
    <t>EL SAYED ABD ELAZEEZ MOHAMED</t>
  </si>
  <si>
    <t>339 مساكن الهيئة شارع دمنهور 99 العرب بورسعيد</t>
  </si>
  <si>
    <t>HANAN  ALI  ALI ELHAGIN</t>
  </si>
  <si>
    <t>بورسعيد شاطئ الامل برج الحمد ع 4 ش 4</t>
  </si>
  <si>
    <t>TAMER SAIED HAMED</t>
  </si>
  <si>
    <t>السيد جمال عبد الناصر علىحسن</t>
  </si>
  <si>
    <t>بورسعيد  الزهور عمربن عبد العزيز ع 27 ب ش 18</t>
  </si>
  <si>
    <t>ALSYD GHMAL ABD ALNASR</t>
  </si>
  <si>
    <t>بورسعيد الزهور بلال بن رباح ع 76 أ</t>
  </si>
  <si>
    <t>mohamd al sayd mohamd</t>
  </si>
  <si>
    <t>بورسعيد الزهور ال 5000 وحدة ع 167</t>
  </si>
  <si>
    <t>MOHAMD NABIL MOHAMED</t>
  </si>
  <si>
    <t>327عمارة الحبال بورفؤاد بورسعيد</t>
  </si>
  <si>
    <t>ABRAHIM AHMAD SHAIBAN HASAN</t>
  </si>
  <si>
    <t>8 ب معاشات بورفواد</t>
  </si>
  <si>
    <t>AHMAD ELSAID RAGAB AHMAD RAMADAN</t>
  </si>
  <si>
    <t>بورسعيد الزهور ال 500وحده ع 194 شقه 4</t>
  </si>
  <si>
    <t>AHMAD TALET AHMAD</t>
  </si>
  <si>
    <t>بورسعيد ش نبيه وسعد زغلول المناخ</t>
  </si>
  <si>
    <t>Adel rahed yosf</t>
  </si>
  <si>
    <t>ع 10 ش 7 السلام - التمليك - بورسعيد</t>
  </si>
  <si>
    <t>NOHA ELSAID ATTIA ABASS</t>
  </si>
  <si>
    <t>51 الحزب الوطنى - بورفؤاد - بورسعيد</t>
  </si>
  <si>
    <t>Ranya helal awad mesalam</t>
  </si>
  <si>
    <t>بورسعيد- حى الزهور خالد ابن الوليد ع/17 /9</t>
  </si>
  <si>
    <t>NOHA AL SAID ABD AAL MOHAMED</t>
  </si>
  <si>
    <t>سعد زغلول وصلاح سالم العرب</t>
  </si>
  <si>
    <t>GHADA AL SAID ISMAEL ABO TALEB</t>
  </si>
  <si>
    <t>مساكن امل الكويت -حى المناخ بورسعيد</t>
  </si>
  <si>
    <t>WALAA MOSTAFA MOHAMED ALI</t>
  </si>
  <si>
    <t>حى الزهور -عثمان بن عفان ع/8/18 بورسعيد</t>
  </si>
  <si>
    <t>TAGHRID SALAH MOHAMED SALIMAN</t>
  </si>
  <si>
    <t>ام الزين -الزقازيق- الشرقيه</t>
  </si>
  <si>
    <t>IBRAHIM  EZAT TOHAMY AZAB</t>
  </si>
  <si>
    <t>بورسعيد -الزهور مساكن المروة ع/33/16</t>
  </si>
  <si>
    <t>YASMEN MOHAMED GABER OMAR</t>
  </si>
  <si>
    <t>عمرو ابن العاص ع/35ب/5 الزهور بورسعيد</t>
  </si>
  <si>
    <t>SARAA AHMED SAABT MAATY</t>
  </si>
  <si>
    <t>249 شرق كليه التربيه اسكان اجتماعى بورفواد</t>
  </si>
  <si>
    <t>DOAA DAHEY AHMED TAMAM</t>
  </si>
  <si>
    <t>مساكن الحزب الوطنى ع/49/14 بورفؤاد بورسعيد</t>
  </si>
  <si>
    <t>FATMA ABO AL ATA HAMED ABDU</t>
  </si>
  <si>
    <t>56 -مساكن الاسراء الضواحى بورسعيد</t>
  </si>
  <si>
    <t>DOAA BESHIR MOHAMED HESSIN</t>
  </si>
  <si>
    <t>ش عمر بن عبد العزيز ع 68ش 4 - حى الزهور - بورسعيد</t>
  </si>
  <si>
    <t>Heba fahme mohamed ahmed</t>
  </si>
  <si>
    <t>شيرين الحنفى يوسف يوسف عبد الرحمن</t>
  </si>
  <si>
    <t>94 ش عمر بن الخطاب - الزهور بورسعيد</t>
  </si>
  <si>
    <t>CHeren EL-hanfe yosef yosef</t>
  </si>
  <si>
    <t>ع 37 ب ش 13 - شارع عمر عبد العزيز -  الزهور - برسعيد</t>
  </si>
  <si>
    <t>Norhan GMAL abd el-ftah mohamed</t>
  </si>
  <si>
    <t>ب مساكن النيل للنقل العام - الدور الاول - ش28 - بورفؤاد - بورسعيد</t>
  </si>
  <si>
    <t>Asmaae mohamed ebrahem mohamed</t>
  </si>
  <si>
    <t>.ع 5 منخفض التكاليف - بورفؤاد - بورسعيد</t>
  </si>
  <si>
    <t>Rach apo el-ftoh hamad</t>
  </si>
  <si>
    <t>43 م0ج مساكن الزلط - الزهور / بورسعيد</t>
  </si>
  <si>
    <t>Nwal Abd Elgafar Ebrahem Abdo</t>
  </si>
  <si>
    <t>الحزب الوطنى - ع 97 - ش 601 بورفؤاد - بورسعيد</t>
  </si>
  <si>
    <t>Hewauda mohamed mahmod  ahmed</t>
  </si>
  <si>
    <t>مساكن الهيئه ع 264 /19 - بورفؤاد  بورسعيد</t>
  </si>
  <si>
    <t>Enge mamdwh el-saued mohamed</t>
  </si>
  <si>
    <t>9 نساكن الهيه ال25 عماره العرب</t>
  </si>
  <si>
    <t>Mona ahmad amen abo el-maaty</t>
  </si>
  <si>
    <t>5 مساكن الامل - بورفؤاد - بورسعيد</t>
  </si>
  <si>
    <t>Amal fahme abd el-halem rmdaan</t>
  </si>
  <si>
    <t>مساكن العبور ع 28 - بورفؤاد - بورسعيد</t>
  </si>
  <si>
    <t>Azaa Mohamed Ahmed El-chpke</t>
  </si>
  <si>
    <t>حي الشرق- شارع أحمد ماهر وعزمي فيلا 257/2</t>
  </si>
  <si>
    <t>Fatma esmael abdo mohamedel-chhat</t>
  </si>
  <si>
    <t>الطاقه الشمسيه - على بن ابى طالب - ع 72 - ش2 - بورسعيد</t>
  </si>
  <si>
    <t>Hbaa rezk aly hseen</t>
  </si>
  <si>
    <t>ش خالد بن الواليد - ع 20 ا -ش 3 -  بورسعيد</t>
  </si>
  <si>
    <t>Reyham raeft fathe EL-kome</t>
  </si>
  <si>
    <t>ش عنتر والبنا العرب</t>
  </si>
  <si>
    <t>Laula Gamal Abd EL_rhman tamam</t>
  </si>
  <si>
    <t>13 ابراج شرق الحاسب الالى المناخ</t>
  </si>
  <si>
    <t>Heoauda Eeyd Fahme Mohamed</t>
  </si>
  <si>
    <t>الرحامنة فارسكور -دمياط</t>
  </si>
  <si>
    <t>MOHAMED HATEM NABIA SABER</t>
  </si>
  <si>
    <t>ش خالد بن الواليد - ع 7 ا -ش 20 - الزهور - بورسعيد</t>
  </si>
  <si>
    <t>Samah Ahmed Awed EL-chame</t>
  </si>
  <si>
    <t>16د 3 بلوك 16 - القابوطى الجديد - الضواحى -بورسعيد</t>
  </si>
  <si>
    <t>Sapren EL-mtwaly EL_saueed Mohamad</t>
  </si>
  <si>
    <t>بنك الاسكان -ع 82 -/14 - بورسعيد</t>
  </si>
  <si>
    <t>Maroaa Mohamed Ebrahem Ahmed</t>
  </si>
  <si>
    <t>ش عمر بن عبد العزيز - ع 38 ب - الزهور بورسعيد</t>
  </si>
  <si>
    <t>Doha mahmod mohamed orap</t>
  </si>
  <si>
    <t>ساره يوسف ابراهيم خليل ابو عميره</t>
  </si>
  <si>
    <t>21 مساكن ال120 الجنوب</t>
  </si>
  <si>
    <t>Sara Yosef Eprahem Haeel</t>
  </si>
  <si>
    <t>مساكن معاشات الهيئة ع-317/42 بورفؤاد بورسعيد</t>
  </si>
  <si>
    <t>MYADA MOHAMED ABD ALZIZ</t>
  </si>
  <si>
    <t>نورهان ايمن سعيد عبد العزيز عبد النبى</t>
  </si>
  <si>
    <t>134عمر بن الخطاب الدور الارضى شقة1</t>
  </si>
  <si>
    <t>Norhan Aumen SaaEd Abd el_azez</t>
  </si>
  <si>
    <t>فاطمه احمد عبد الحميد عبده رزق</t>
  </si>
  <si>
    <t>المنطقه الصناعيه - ع 3/بش5 - الضواحى بورسعيد</t>
  </si>
  <si>
    <t>Fatma Ahmed Abd el_hamed abdoh</t>
  </si>
  <si>
    <t>الرحامنة مركز فارسكور -دمياط</t>
  </si>
  <si>
    <t>MOHAMED GAMAL AWADIN ABO ALGOOD</t>
  </si>
  <si>
    <t>147 خالد بن الوليد الزهور</t>
  </si>
  <si>
    <t>Madeha Ahmed el-saued  Epraahem</t>
  </si>
  <si>
    <t>2 مساكن ابن خلدون بورفواد</t>
  </si>
  <si>
    <t>Amany Esmaeul Abd  Elftaah Aly</t>
  </si>
  <si>
    <t>ش عمر بن الخطاب ع 20 ش19 - الزهور - بورسعيد</t>
  </si>
  <si>
    <t>Fawzua Saleh Mohamed Wahpa</t>
  </si>
  <si>
    <t>24/ا مساكن الحرفيين - الزهور - بورسعيد</t>
  </si>
  <si>
    <t>Eptesam Mohamed EL-garep El-saeed</t>
  </si>
  <si>
    <t>مساكن عمر بن الخطاب -الزلط ع 54ا/ ش3 /الزهور - بورسعيد</t>
  </si>
  <si>
    <t>HANAN AHMED MOHAMED ABD ALSAMED</t>
  </si>
  <si>
    <t>81مساكن بنك الاسكان - الضواحى -بورسعيد</t>
  </si>
  <si>
    <t>Deuna Mohsen Kamel Ebrahem</t>
  </si>
  <si>
    <t>12 امل الجبل ش 13 - حى الزهور - بورسعيد</t>
  </si>
  <si>
    <t>Amel Abd EL-hamed Ahmed</t>
  </si>
  <si>
    <t>عزبة حسن اغا-الزقازيق الشرقيه</t>
  </si>
  <si>
    <t>AHMED SALEM AHMED ZAHRAN</t>
  </si>
  <si>
    <t>مساكن اللنش -ع 5 ب -بورسعيد</t>
  </si>
  <si>
    <t>Yasmeen Mamdoh Fahme Fared</t>
  </si>
  <si>
    <t>صابرين مصطفى محمود محمد السحراوى</t>
  </si>
  <si>
    <t>93 مساكن الصفا و المروه -ش7 - الزهور  بورسعيد</t>
  </si>
  <si>
    <t>Sapren Mstafa Mahmod Mohamed</t>
  </si>
  <si>
    <t>مساكن الاسراء - ع 60 ش 17 - بورسعيد</t>
  </si>
  <si>
    <t>Rach Ahmed Hasen Mohamed Eeud</t>
  </si>
  <si>
    <t>ديرب الخضر مركز بنى عبيد الدقهلية</t>
  </si>
  <si>
    <t>ALI MOHAMED AHMED MOHAMED</t>
  </si>
  <si>
    <t>ايمان مصطفى محمد مصطفى الغرباوى</t>
  </si>
  <si>
    <t>EMAN MOSTAFA MOHAMED MOASTAFA</t>
  </si>
  <si>
    <t>فاطمه الزهراء حسن محمد مصطفي البياع</t>
  </si>
  <si>
    <t>عمر ابن الخطاب منخفض التكاليف الزهور ع/6/17 بورسعيد</t>
  </si>
  <si>
    <t>FATMA  ALZHARA HASAN MOHAMED</t>
  </si>
  <si>
    <t>الزهور الطاقه الشمسيه ع/20/5 بورسعيد</t>
  </si>
  <si>
    <t>MONA MAHMOUD ALSAID MAHMOUD</t>
  </si>
  <si>
    <t>327 مساكن الفيروز الدور الأول شقة8</t>
  </si>
  <si>
    <t>MOHAMED ALI  ABD ALGHANY MASRA</t>
  </si>
  <si>
    <t>خالد ابن الوليد ع/57 ب /2 الزهور بورسعيد</t>
  </si>
  <si>
    <t>HADIR ATEF MAHMOUD MOHAMED</t>
  </si>
  <si>
    <t>منى زين العابدين محمد محمود عثمان</t>
  </si>
  <si>
    <t>الطاقه الشمسيه -عمر بن الخطاب ع/21/13 الزهور بورسعيد</t>
  </si>
  <si>
    <t>MONA ZAIN ALABEDIN MOHAMED MAHMOUD</t>
  </si>
  <si>
    <t>الزهور-بورسعيد 116 مساكن عمرو بن العزيز المميز</t>
  </si>
  <si>
    <t>EMAN MDHAT OSMAN AHMED</t>
  </si>
  <si>
    <t>44 مساكن العبور -بورفؤاد -بورسعيد</t>
  </si>
  <si>
    <t>ABDALA SALEH SABER MOHAMED</t>
  </si>
  <si>
    <t>27-ابراج الحاسب الالى المناخ بورسعيد ش23</t>
  </si>
  <si>
    <t>AMIRA ALSAID GHAREB MORAD</t>
  </si>
  <si>
    <t>سالى عثمان فتحى ابو الفتوح ابراهيم</t>
  </si>
  <si>
    <t>بورسعيد -الزهور -عمروبن العاص ع/53ب -ش4</t>
  </si>
  <si>
    <t>SALY OSMAN FATHY HBO ALFOTOH</t>
  </si>
  <si>
    <t>267-مساكن هيئة قناة السويس بورسعيد</t>
  </si>
  <si>
    <t>NAGAT AL SAID MOHAMED ABD-ALLA</t>
  </si>
  <si>
    <t>الزهور-على بن ابى طالب ع/87/21/بورسعيد</t>
  </si>
  <si>
    <t>REDA MOHAMED ABD ALNAAEM ZOKY</t>
  </si>
  <si>
    <t>الزهور - خالد بن الواليد - ع 257/ ش 3 بورسعيد</t>
  </si>
  <si>
    <t>Amal Mohamed Yosef AHMED</t>
  </si>
  <si>
    <t>امينه صلاح الدين مسعد محمد الكردى</t>
  </si>
  <si>
    <t>بورسعيد- الزهور ع/7/22 عثمان بن عفان</t>
  </si>
  <si>
    <t>AMINA SALAH ALDIN MOSAD MOHAMED</t>
  </si>
  <si>
    <t>على بن ابى طالب ع/39/5 بورسعيد</t>
  </si>
  <si>
    <t>MONA MOHAMED HASSN MOHAMED</t>
  </si>
  <si>
    <t>الرحاب -الضواحى ع/11/21 بورسعيد</t>
  </si>
  <si>
    <t>FATMA HASSN MOHAMED TAHER</t>
  </si>
  <si>
    <t>بورسعيد- بورفؤاد- مساكن ابن خلدون عمارة 2 شقة 13</t>
  </si>
  <si>
    <t>samah awed abd ella hasen hasn</t>
  </si>
  <si>
    <t>بورسعيد - الزهور - علي ابن طالب عمارة 12 شقة 22</t>
  </si>
  <si>
    <t>basma naser alsaud</t>
  </si>
  <si>
    <t>شريفة ابراهيم حامد محمود الدمياطي</t>
  </si>
  <si>
    <t>بورسعيد - الزهور - خالد ابن الوليد عمارة 67 شقة 4</t>
  </si>
  <si>
    <t>sharefa ebrahem hamed mahmoud</t>
  </si>
  <si>
    <t>بورسعيد -الزهور- 500وحدة عمارة 142 الدور الثاني شقة 5</t>
  </si>
  <si>
    <t>sara adel hassn mohmed</t>
  </si>
  <si>
    <t>بورسعيد - الزهور -46ج عمر بن الخطاب عمارات الزلط</t>
  </si>
  <si>
    <t>ehssan ebrahem ebrahem mohamed</t>
  </si>
  <si>
    <t>أسماء مصطفي محمد مصطفي الغرباوي</t>
  </si>
  <si>
    <t>بورسعيد - المناخ 178 شارع الحرية</t>
  </si>
  <si>
    <t>asmaa moustfa mohamed moustfa</t>
  </si>
  <si>
    <t>بورسعيد - الزهور - 34 علي ابن ابي طالب منخفض التكاليف</t>
  </si>
  <si>
    <t>badria naser saad mohamed</t>
  </si>
  <si>
    <t>بورسعيد - الزهور عمر بن عبد العزيز</t>
  </si>
  <si>
    <t>omnia taha alsaud ramdin</t>
  </si>
  <si>
    <t>بورسعيد - بورفؤاد ع الاسكان والتعمير الدور الثاني</t>
  </si>
  <si>
    <t>sarah reda mansor mostafa</t>
  </si>
  <si>
    <t>بورسعيد - الزهور عمارة 12 شقة 13</t>
  </si>
  <si>
    <t>naglaa abd elhamed ahmed mohamed</t>
  </si>
  <si>
    <t>بورسعيد - عمربن عبدالعزيز ع 9 ب شقة 13</t>
  </si>
  <si>
    <t>salwa wafek mohamed awd</t>
  </si>
  <si>
    <t>بورسعيد المنطقة الرابعة عمارة 50</t>
  </si>
  <si>
    <t>alshmia alsud mohamed mosaa</t>
  </si>
  <si>
    <t>بورسعيد - الزهور خالد بن الوليد 40 ب</t>
  </si>
  <si>
    <t>samah adel abd elsamid</t>
  </si>
  <si>
    <t>shimaa mohamed mohamed ebrahem</t>
  </si>
  <si>
    <t>ع 107 ش 11 -ش عمر بن عبد العزيز - بورسعيد</t>
  </si>
  <si>
    <t>Aua Ahmed Abdo EL-sherawe</t>
  </si>
  <si>
    <t>ع 18 امل الجبل -الزهور -بورسعيد</t>
  </si>
  <si>
    <t>Samer Saad Mahmod Saleh</t>
  </si>
  <si>
    <t>بورسعيد الزهور الصفوة ع/11</t>
  </si>
  <si>
    <t>AMEL ALI SHABAN MOHAMED HASSIN</t>
  </si>
  <si>
    <t>7-منخفض التكاليف بورسعيد بورفؤاد</t>
  </si>
  <si>
    <t>EMAN ISMAIL ABD AL FATAH ALI</t>
  </si>
  <si>
    <t>الديسه -مركز بنى عبيد الدقهليه</t>
  </si>
  <si>
    <t>SHREF KHEDR IBRAHIM MOHAMED</t>
  </si>
  <si>
    <t>جنوب سيناء</t>
  </si>
  <si>
    <t>كفر العزازى ابو حماد شرقية</t>
  </si>
  <si>
    <t>MOHAMED AHMED MOHAMED ISMAIL</t>
  </si>
  <si>
    <t>ابو الشقوق مركز كفر صقر -الشرقية</t>
  </si>
  <si>
    <t>MOHAMED SAMIR MAHMOUD ALI</t>
  </si>
  <si>
    <t>ق 317/68 حى3 -مجاوره 17 -دمياط الجديده</t>
  </si>
  <si>
    <t>AHMED MOHAMED IBRAHIM ZANATY</t>
  </si>
  <si>
    <t>استراحة العمل بالا سعاف -اول الغردقه -البحر الاحمر</t>
  </si>
  <si>
    <t>AHMED ABDALA SALEH ABDALA</t>
  </si>
  <si>
    <t>سكن ادارى مرفق الاسعاف -طور سيناء -جنوب سينا</t>
  </si>
  <si>
    <t>AHMED MOHAMED AHMED MOHAMED EID</t>
  </si>
  <si>
    <t>31 على بن ابى طالب -طاقه شمسيه-الزهور بورسعيد</t>
  </si>
  <si>
    <t>ALSAID ALI ABDEL GANY MASARA</t>
  </si>
  <si>
    <t>بورسعيد الزهور ع 9 ش 19 على بن ابى طالب</t>
  </si>
  <si>
    <t>mohamed ahamed moshtaf ahamed</t>
  </si>
  <si>
    <t>بورسعيد الزهور 69 عمر بن الخطاب</t>
  </si>
  <si>
    <t>AlMAN  AHAMED ALlEL SAEED</t>
  </si>
  <si>
    <t>احمد صابر عباس عبد القادر منصور</t>
  </si>
  <si>
    <t>بورسعيد 84 عمر بن الخطاب الزهور</t>
  </si>
  <si>
    <t>Ahamed saber abd el kader</t>
  </si>
  <si>
    <t>8 مساكن اشتوم الجميل ـ بورفؤاد ـ بورسعيد</t>
  </si>
  <si>
    <t>MOSTAFA ABD ALLA ISMAIL ABO ZAMLE</t>
  </si>
  <si>
    <t>بورسعيد ابراج الحاسب االى برج 7 ش 19</t>
  </si>
  <si>
    <t>aLI  MOHAMED AHAMED ABD EL HAMED</t>
  </si>
  <si>
    <t>33 شارع النصر وعباس العقاد العرب - بورسعيد</t>
  </si>
  <si>
    <t>MAHMOUD MOHAMED ABAAS AL SAID</t>
  </si>
  <si>
    <t>بورفؤاد مساكن الحزب الوطن ع 67</t>
  </si>
  <si>
    <t>AHAMED NAPIL SAAD MOHAMED</t>
  </si>
  <si>
    <t>بورسعيد مساكن بور تكس برج روفيدة 2</t>
  </si>
  <si>
    <t>MOHAMED EID TAWFIK MOSTAFA</t>
  </si>
  <si>
    <t>بورفؤاد مساكن الهيئة ع 319 ش 9</t>
  </si>
  <si>
    <t>husam eala hussain</t>
  </si>
  <si>
    <t>بورسعيد مساكن الهيئة  ع 257 ش 1</t>
  </si>
  <si>
    <t>mohamed elsayed kamel</t>
  </si>
  <si>
    <t>بورسعيد 3 ش 36/34 ملك السيد عاشور</t>
  </si>
  <si>
    <t>FAHMY WAHIED EZZAT</t>
  </si>
  <si>
    <t>بورسعيد الضواحي مساكن الاسراء ع 40</t>
  </si>
  <si>
    <t>mohamed alsyd mohamed</t>
  </si>
  <si>
    <t>اسلام السيد حسانين محمد</t>
  </si>
  <si>
    <t>بورفؤاد مساكن الحزب الوطني ع 1</t>
  </si>
  <si>
    <t>aslem alsyd hsenyn</t>
  </si>
  <si>
    <t>بورسعيد 38 مساكن الحرية القديمة</t>
  </si>
  <si>
    <t>keld mosed mahmod</t>
  </si>
  <si>
    <t>بورسعيد ش الشعراوي مساكن الهيئة ع 6 ش 4</t>
  </si>
  <si>
    <t>mahmod ahmad gonym</t>
  </si>
  <si>
    <t>بورسعيد علي بن ابي طالب ع 73</t>
  </si>
  <si>
    <t>MOAHAMED SHABAN MOAHAMED</t>
  </si>
  <si>
    <t>بورسعيد ال 5000 وحدة ع 171</t>
  </si>
  <si>
    <t>MAHMOUD AHMAED SALIH</t>
  </si>
  <si>
    <t>بورسعيد مساكن الاسراء ع 115 ش 20</t>
  </si>
  <si>
    <t>MOAHAMED LOTFE KAMEL</t>
  </si>
  <si>
    <t>بورسعيد ع 88 السلام الجديد الضواحي</t>
  </si>
  <si>
    <t>ESLAM SAEED MOAHAMED</t>
  </si>
  <si>
    <t>اسلام جلال محمد ابراهيم</t>
  </si>
  <si>
    <t>بورسعيد 13 ش الشهداء منزل رقم 12</t>
  </si>
  <si>
    <t>eslem galil mohamd</t>
  </si>
  <si>
    <t>محمد حامد محمد حسنين</t>
  </si>
  <si>
    <t>بورسعيد الزهور علي بن ابي طالب ع 18 ش 14</t>
  </si>
  <si>
    <t>MOAHAMED HAMED MOAHAMED</t>
  </si>
  <si>
    <t>بورسعيد مشروع النور 2 مد برج الياسمين</t>
  </si>
  <si>
    <t>ahmed abd alrhym mohmed</t>
  </si>
  <si>
    <t>بورسعيد 4 التصنيع الضواحي</t>
  </si>
  <si>
    <t>AHMED HOSNE MOAHAMED</t>
  </si>
  <si>
    <t>بورسعيد الزهور عمر بن الخطاب ع 155 ش 13</t>
  </si>
  <si>
    <t>AHMED MOAHMED AZEM</t>
  </si>
  <si>
    <t>بورسعيد مساكن 6 اكتوبر ع 76 ش 2</t>
  </si>
  <si>
    <t>AOSEMA MOHAMD HSENYN</t>
  </si>
  <si>
    <t>اسلام احمد حسين محمد</t>
  </si>
  <si>
    <t>بورسعيد مساكن زمزم الجديدة ع 121 ش 15</t>
  </si>
  <si>
    <t>ASLEM AHMED HESYN</t>
  </si>
  <si>
    <t>بورفؤاد 2 مساكن الاقتصادي</t>
  </si>
  <si>
    <t>MENA SAME FARED</t>
  </si>
  <si>
    <t>بورسعيد حي الضواحي 72 مساكن الصفا</t>
  </si>
  <si>
    <t>MOAHAMED SAED HASAN</t>
  </si>
  <si>
    <t>بورسعيد ش الازهر والبنا ملك الفار</t>
  </si>
  <si>
    <t>mohamd adel sad</t>
  </si>
  <si>
    <t>بورسعيد الزهور 41 أ مساكن عمر بن عبد العزيز</t>
  </si>
  <si>
    <t>GORG ADEL LABYB</t>
  </si>
  <si>
    <t>بورسعيد 5 مساكن العاشر من رمضان ع 5 ش1</t>
  </si>
  <si>
    <t>MOAHAMED ABD ELALIM FTOH</t>
  </si>
  <si>
    <t>محمد عيد عبد الغني محمد السلاموني</t>
  </si>
  <si>
    <t>بورسعيد مساكن الاسراء ع 14 ش1</t>
  </si>
  <si>
    <t>MOAHAMED AID ABD ELSANI</t>
  </si>
  <si>
    <t>بورسعيد 19 مساكن الصفوة ش 4 الزهور</t>
  </si>
  <si>
    <t>ayhap mohamd apd alrhdy</t>
  </si>
  <si>
    <t>بورسعيد الزهور علي بن ابي طالب ع 39 ش 21</t>
  </si>
  <si>
    <t>karym mohmad mohmad fathy</t>
  </si>
  <si>
    <t>محمد السيد العربى غريب عبدالرحمن</t>
  </si>
  <si>
    <t>بورسعيد الزهور امل الجبل ع 13</t>
  </si>
  <si>
    <t>mohmd alsyd alirpy griyp</t>
  </si>
  <si>
    <t>بورسعيد الزهور عمر بن الخطاب ع  51</t>
  </si>
  <si>
    <t>barakat saad barakat</t>
  </si>
  <si>
    <t>مساكن شباب المدينة - عمارة أسامة بن زيد - الدور الرابع - بورسعيد</t>
  </si>
  <si>
    <t>alaa mahmoud mohamed</t>
  </si>
  <si>
    <t>مساكن الهيئه ع 294/33 الدور الخامس</t>
  </si>
  <si>
    <t>Fatma abd all al-chrep</t>
  </si>
  <si>
    <t>الفرقة الأولى - الفئة الأولى</t>
  </si>
  <si>
    <t>مساكن شباب المدينه - عمارة خالد بن الوتيد / بورفؤاد</t>
  </si>
  <si>
    <t>Heba abdo el-dahde eprahem</t>
  </si>
  <si>
    <t>مساكن الهيئه - ع 269 / 4 - بورفؤاد - بورسعيد</t>
  </si>
  <si>
    <t>Rapap Hsan EL-saued Ebrahem</t>
  </si>
  <si>
    <t>فيلا1/226ش المغرب ورشيدء الهيئة الشرق /بورسعيد</t>
  </si>
  <si>
    <t>AHMED FARG ABD ELMANAIM</t>
  </si>
  <si>
    <t>بورفؤاد مساكن الاتصالات ع أ م 1</t>
  </si>
  <si>
    <t>KARiM HISHAM ELSAiD</t>
  </si>
  <si>
    <t>بورسعيد مساكن الامل ع 144 ش 8</t>
  </si>
  <si>
    <t>said tark mohamd</t>
  </si>
  <si>
    <t>ش صلاح سالم واحمد شوقى / 4ملك السعيدحسبه</t>
  </si>
  <si>
    <t>hala ahmed elsaid mostafa</t>
  </si>
  <si>
    <t>الفرقة الثانية - الفئة الثانية</t>
  </si>
  <si>
    <t>مساكن موظفى الحكومه ع 5 ا مدخل ا ش4</t>
  </si>
  <si>
    <t>haidy mohamed mobark saad</t>
  </si>
  <si>
    <t>بورسعيد - بورفؤاد - الصوامع م0ح0ق 20</t>
  </si>
  <si>
    <t>abeer helmy hessin hebishy</t>
  </si>
  <si>
    <t>91 مساكن الحزب الوطنى - بورفؤاد</t>
  </si>
  <si>
    <t>lmiaa elsaid mohamed</t>
  </si>
  <si>
    <t>مساكن الطاقه الشمسيه ع 4/17 بورفؤاد</t>
  </si>
  <si>
    <t>sameha hassan radwan</t>
  </si>
  <si>
    <t>مساكن الهيئه ع 289/17 بورفؤاد</t>
  </si>
  <si>
    <t>hanan mahmoud mohamed</t>
  </si>
  <si>
    <t>مساكن شباب اكتوبر -ع 1/9 - بورفؤاد</t>
  </si>
  <si>
    <t>sohair mahmoud mohamed</t>
  </si>
  <si>
    <t>مساكن المحافظه -مشروع ال11عماره -ع7/18 - بورفؤاد</t>
  </si>
  <si>
    <t>reham ali ahmed mohamed</t>
  </si>
  <si>
    <t>مساكن منخفض التكاليف /ش على بن ابى طالب -ع 43ا/1- بورسعيد</t>
  </si>
  <si>
    <t>zainb fathy mohamed</t>
  </si>
  <si>
    <t>مساكن الاسراء -ع 78/1 - بورسعيد</t>
  </si>
  <si>
    <t>elham rabiea hasan</t>
  </si>
  <si>
    <t>مساكن العبور - ع 11/18 - بورفؤاد</t>
  </si>
  <si>
    <t>asmaa kamel abdelslam</t>
  </si>
  <si>
    <t>عمر بن عبد العزيز ع 20 شقة 12 بورسعيد</t>
  </si>
  <si>
    <t>ashraf abrahim anis</t>
  </si>
  <si>
    <t>الفرقة الثالثة - الفئة الثالثة</t>
  </si>
  <si>
    <t>عماره 53 الدور الاول -ش 12- بورسعيد</t>
  </si>
  <si>
    <t>marwa mohamed adel</t>
  </si>
  <si>
    <t>10 مساكن الهيئة م / المشتل</t>
  </si>
  <si>
    <t>Naema fathi el mohamadi</t>
  </si>
  <si>
    <t>ahmad mostafi kalyl radwn</t>
  </si>
  <si>
    <t>ال 5000 عماره - 86/11 - بورسعيد</t>
  </si>
  <si>
    <t>aya magdy fawzy</t>
  </si>
  <si>
    <t>مساكن الحزب الوطنى - ع 204/15 الاسر الجديده - بورسعيد</t>
  </si>
  <si>
    <t>sheren mahmoud mohamed</t>
  </si>
  <si>
    <t>بسمه رمضان مصطفي رمضان مصطفي</t>
  </si>
  <si>
    <t>مساكن الهيئة شارع الجزار - بورفؤاد</t>
  </si>
  <si>
    <t>basmaa ramdan mostafa</t>
  </si>
  <si>
    <t>ابراج محمد على -عماره 11/29 بجوار مدرسة بورفؤاد الاعدادية</t>
  </si>
  <si>
    <t>dena ali ahmed</t>
  </si>
  <si>
    <t>15 ابراج محمدعلى بورفواد  بورسعيد</t>
  </si>
  <si>
    <t>hand mohamd tantiwy</t>
  </si>
  <si>
    <t>بورسعيد ش 17/9 ملك فاطمه - بورفؤاد</t>
  </si>
  <si>
    <t>fatma hassan mohamed</t>
  </si>
  <si>
    <t>هاله عثمان محمد محمد مسعد العزبي</t>
  </si>
  <si>
    <t>مساكن ابو بكر الصديق -ع الشئون الاجتماعيه - ش8 بورفؤاد</t>
  </si>
  <si>
    <t>hala osman mohamed</t>
  </si>
  <si>
    <t>نيرمين محمد مسعد محمد علي ابوزيد</t>
  </si>
  <si>
    <t>مساكن الخدمات التعليميه - عمارة الشرقيه قبلى - الدور الثانى ش21</t>
  </si>
  <si>
    <t>nermen mohamed mosad</t>
  </si>
  <si>
    <t>الزهراء خالد بن الوليد ع 62 ش 16</t>
  </si>
  <si>
    <t>mohamd mahmod faryg</t>
  </si>
  <si>
    <t>بورسعيد  الزهور علي بن ابي طالب الطاقة الشمسية ع 66 ش 16</t>
  </si>
  <si>
    <t>mahmod samyr  mohamd</t>
  </si>
  <si>
    <t>بورسعيد بورفواد جمعيه شباب المدينه</t>
  </si>
  <si>
    <t>mhmod hamd apdo</t>
  </si>
  <si>
    <t>بورسعيد شارع اسوان مساكن الاخلاص عماره 1 شقه 2</t>
  </si>
  <si>
    <t>amany hosny alsaid ahmed</t>
  </si>
  <si>
    <t>اميره السيد العربي محمد عبده عثمان</t>
  </si>
  <si>
    <t>بورسعيد فيلا الهيئه شارع احمد ماهر والمغرب 257/3</t>
  </si>
  <si>
    <t>amira alsaid alarby mohame</t>
  </si>
  <si>
    <t>ايمان الدسوقي محمد الدسوقي الشهاوي</t>
  </si>
  <si>
    <t>مساكن ق س عماره 6 ا شقه 23 بورسعيد</t>
  </si>
  <si>
    <t>eman eldsoey mohamed</t>
  </si>
  <si>
    <t>مساكن المعاشات ارض المشتل عماره 3 مدخل ب شقه 33 بورفؤاد</t>
  </si>
  <si>
    <t>donia mohamed mohamed</t>
  </si>
  <si>
    <t>114/1 فبلا بورفواد</t>
  </si>
  <si>
    <t>samah alsaid ismail</t>
  </si>
  <si>
    <t>بورسعيد حي الزهور عمر بن الخطاب عماره 15 أ شقه 10</t>
  </si>
  <si>
    <t>sohir kamel ahmed aboelnga</t>
  </si>
  <si>
    <t>13 مساكن الطاقه الشمسيه بورفواد</t>
  </si>
  <si>
    <t>shimaa mohamed nagib hasan</t>
  </si>
  <si>
    <t>فيلا 54 /4 شارع الجزائر بورفؤاد بورسعيد</t>
  </si>
  <si>
    <t>nashwa mohamed kamal</t>
  </si>
  <si>
    <t>4 غرب الجامعه منخفضه التكاليف بورفؤاد بورسعيد</t>
  </si>
  <si>
    <t>hala awad mohamed</t>
  </si>
  <si>
    <t>عماره 20 منخفض التكاليف بورفواد</t>
  </si>
  <si>
    <t>amal mohamed ghareb</t>
  </si>
  <si>
    <t>احمد عبداللطيف عبد العزيز عبداللطيف</t>
  </si>
  <si>
    <t>بورسعيد - مساكن الرحاب الجديده -ع 14/1 -</t>
  </si>
  <si>
    <t>ahmed abdelatef abdelaziz</t>
  </si>
  <si>
    <t>4ش الجيش من احمد سالم وبدران - 6 اكتوبر -بورفؤاد</t>
  </si>
  <si>
    <t>ahmed mohamed ahmed</t>
  </si>
  <si>
    <t>مساكن الطاقةالشمسية ع 85- بورفؤاد - بورسعيد</t>
  </si>
  <si>
    <t>aya mahmoud mohamed</t>
  </si>
  <si>
    <t>حي الزهور - علي بني ابي طالب ع 32 أ شقة22</t>
  </si>
  <si>
    <t>boshra mohamed mohamed</t>
  </si>
  <si>
    <t>مؤسسة تربية البنين ش مستشفي الصدر - المنصورة - الدقهلية</t>
  </si>
  <si>
    <t>tamer mohamed abdelhady</t>
  </si>
  <si>
    <t>عمارات منخفض التكاليف ع 4 شقة 17</t>
  </si>
  <si>
    <t>aida hassan radwan</t>
  </si>
  <si>
    <t>حي الزهور - عمربن الخطاب ع 47 مدخل أ</t>
  </si>
  <si>
    <t>lamia ahmed mohamed</t>
  </si>
  <si>
    <t>محمد محمد البدري طه محمود بدوي</t>
  </si>
  <si>
    <t>بورسعيد - حي الكويت ع 84 شقة 12</t>
  </si>
  <si>
    <t>mohamed mohamed albadry</t>
  </si>
  <si>
    <t>مينا البير فايز  فهيم</t>
  </si>
  <si>
    <t>7شارع سيزوستريس والنهضة - الشرق -بورسعيد</t>
  </si>
  <si>
    <t>mena albir fayz</t>
  </si>
  <si>
    <t>هبه ابراهيم السيد خليل</t>
  </si>
  <si>
    <t>بورسعيد ش عبادي وعطفة 17</t>
  </si>
  <si>
    <t>heba ebrahem elsaed</t>
  </si>
  <si>
    <t>بورفؤاد - ابراج محمد علي ع 21 شقة 34</t>
  </si>
  <si>
    <t>doaa abrahim alsaid</t>
  </si>
  <si>
    <t>الضواحي 18 مساكن السيدة نفيسة - بورسعيد</t>
  </si>
  <si>
    <t>islam twfek mohamed</t>
  </si>
  <si>
    <t>189 / 3 شارع الشهيد عاشور الموجي</t>
  </si>
  <si>
    <t>ahmedosama twfek</t>
  </si>
  <si>
    <t>بورسعيد - بورفؤاد فيلا 82/2 خلف المحكمة</t>
  </si>
  <si>
    <t>aml samy hassan</t>
  </si>
  <si>
    <t>مساكن التطبيقين بورفؤاد</t>
  </si>
  <si>
    <t>hossam el din saad</t>
  </si>
  <si>
    <t>54 مساكن الشباب الخرجين - الضواحي - بورسعيد</t>
  </si>
  <si>
    <t>dena mossad yaoot</t>
  </si>
  <si>
    <t>5 ابراج محمد علي - بورفؤاد - بورسعيد</t>
  </si>
  <si>
    <t>raghda adel mohamed</t>
  </si>
  <si>
    <t>3 مساكن  اسامة بن زيد - شباب المدينة - بورفؤاد</t>
  </si>
  <si>
    <t>sahar alsaid ibrahim</t>
  </si>
  <si>
    <t>28 شارع الحميدى وبنى سويف اوالمناخ</t>
  </si>
  <si>
    <t>moatz ibrahim slama</t>
  </si>
  <si>
    <t>47 عمرو بن الخطاب - الزهور - بورسعيد</t>
  </si>
  <si>
    <t>nahed ahmed mohamed</t>
  </si>
  <si>
    <t>9 مساكن الجزيزة - بورسعيد - بورفؤاد</t>
  </si>
  <si>
    <t>heba mohsen aid</t>
  </si>
  <si>
    <t>الشارع التجاري - العرب - بورسعيد</t>
  </si>
  <si>
    <t>wael alsaid mohamed</t>
  </si>
  <si>
    <t>12 شارع الجامعة مساكن الحزب - بورفؤاد - بورسعيد</t>
  </si>
  <si>
    <t>yasmin alsaid ibrahim</t>
  </si>
  <si>
    <t>144/2 فيلا هيئة قناة السويس  - بورفؤاد</t>
  </si>
  <si>
    <t>yasmin mohamed ali</t>
  </si>
  <si>
    <t>بورسعيد القابوطي ش الكبير بلوك 6</t>
  </si>
  <si>
    <t>abrahym abrahym hssn</t>
  </si>
  <si>
    <t>بورسعيد الزهور عمر بن عبد العزيز ع 67 أ ش 2</t>
  </si>
  <si>
    <t>ahmad mohamd mahmod</t>
  </si>
  <si>
    <t>45م الحزب الوطنى بورفواد بورسعيد</t>
  </si>
  <si>
    <t>alseyd ali ali hanhn</t>
  </si>
  <si>
    <t>343 شارع محمد علي واحمد ماهر - الهيئة الشرق</t>
  </si>
  <si>
    <t>Amany sad osman aly</t>
  </si>
  <si>
    <t>5ا مساكن معاشات الهية بورفواد بورسعيد</t>
  </si>
  <si>
    <t>samer abrahym atyi</t>
  </si>
  <si>
    <t>14 شارع الجيش بورفؤاد - بورسعيد</t>
  </si>
  <si>
    <t>Samer mohamed mokhtar</t>
  </si>
  <si>
    <t>بورفؤاد مساكن الجزيرة ع 5 ش 18</t>
  </si>
  <si>
    <t>sapr moahmad fiyz</t>
  </si>
  <si>
    <t>69 ش قنا منشيه الشهداء</t>
  </si>
  <si>
    <t>Abdo eisaa ahmed elsaid</t>
  </si>
  <si>
    <t>عطيه محمود عبد النبى الغزولى</t>
  </si>
  <si>
    <t>بورسعيد حي الكويت ع 64 مكرر ش 18</t>
  </si>
  <si>
    <t>atyai mahmod apd alnapy</t>
  </si>
  <si>
    <t>بورفؤاد 21/5 ملك حسن عمار</t>
  </si>
  <si>
    <t>fahmay al siud mohamd</t>
  </si>
  <si>
    <t>ج مساكن شباب المدينه بورفواد / بورسعيد</t>
  </si>
  <si>
    <t>mohamd al sayd alirpy</t>
  </si>
  <si>
    <t>محمد خليل الدمرداش المحمدى</t>
  </si>
  <si>
    <t>بورسعيد 16 ش محمد المهدي وابراهيم الشرق</t>
  </si>
  <si>
    <t>mohamd  khaleel aldmrdah</t>
  </si>
  <si>
    <t>بورفؤاد مساكن العبور ع 22 ش 6</t>
  </si>
  <si>
    <t>mohamd mahmoad salma</t>
  </si>
  <si>
    <t>م المعلمين ع توفيق الحكيم م أ ش 4 بورفؤاد - بورسعيد</t>
  </si>
  <si>
    <t>Marwa gaber mahmoud omar</t>
  </si>
  <si>
    <t>ملكة معوض محروس عجايبى معوض</t>
  </si>
  <si>
    <t>3 مساكن الطاقة السمسية بورفؤاد - بورسعيد</t>
  </si>
  <si>
    <t>Malka moawd mahrous</t>
  </si>
  <si>
    <t>8  مساكن البحيري بورفؤاد - بورسعيد</t>
  </si>
  <si>
    <t>Niven ahmed ahmed el hosseny</t>
  </si>
  <si>
    <t>رجب صالح رجب ابراهيم</t>
  </si>
  <si>
    <t>4 مساكن منخفض التكاليف بورفؤاد</t>
  </si>
  <si>
    <t>ragab saleh  ragab</t>
  </si>
  <si>
    <t>بورسعيد الزهور ارض الجبل ع 26 ش 5</t>
  </si>
  <si>
    <t>mohmad ahmad asmiyl</t>
  </si>
  <si>
    <t>بورفؤاد المساكن الاقتصادية ع 6</t>
  </si>
  <si>
    <t>Ramidn mahmod ali</t>
  </si>
  <si>
    <t>شارع احمد ماهر الشرق</t>
  </si>
  <si>
    <t>nada morsy hashem ismail</t>
  </si>
  <si>
    <t>19المنطقه الثامنه المناخ بورسعيد</t>
  </si>
  <si>
    <t>terk mhmod ahmad</t>
  </si>
  <si>
    <t>فنى صيانة حاسب ونظم معلومات</t>
  </si>
  <si>
    <t>اكواد محافظات الميلاد هيئة</t>
  </si>
  <si>
    <t>المحافظة</t>
  </si>
  <si>
    <t>الكود</t>
  </si>
  <si>
    <t>الجيزة</t>
  </si>
  <si>
    <t>القليوبية</t>
  </si>
  <si>
    <t>الإسماعيلية</t>
  </si>
  <si>
    <t>السويس</t>
  </si>
  <si>
    <t>أسيوط</t>
  </si>
  <si>
    <t>كفر الشيخ</t>
  </si>
  <si>
    <t>قنا</t>
  </si>
  <si>
    <t>اليمن</t>
  </si>
  <si>
    <t>السعودية</t>
  </si>
  <si>
    <t>الكويت</t>
  </si>
  <si>
    <t>خارج ج.م.ع</t>
  </si>
  <si>
    <t>المنوفية</t>
  </si>
  <si>
    <t>المنيا</t>
  </si>
  <si>
    <t>بني سويف</t>
  </si>
  <si>
    <t>سوهاج</t>
  </si>
  <si>
    <t>مطروح</t>
  </si>
  <si>
    <t>الفيوم</t>
  </si>
  <si>
    <t>الأقصر</t>
  </si>
  <si>
    <t>أسوان</t>
  </si>
  <si>
    <t>البحر الأحمر</t>
  </si>
  <si>
    <t>رقم التليفون</t>
  </si>
  <si>
    <t>كود  مخاطر</t>
  </si>
  <si>
    <t>بدل المخاطر</t>
  </si>
  <si>
    <t>بدل مخاطر</t>
  </si>
  <si>
    <t>كود اجتماعى</t>
  </si>
  <si>
    <t>حالة اجتماعية</t>
  </si>
  <si>
    <t>علاوة اجتماعية</t>
  </si>
  <si>
    <t>الحي</t>
  </si>
  <si>
    <t>01205794547</t>
  </si>
  <si>
    <t>بدون حد أقصى</t>
  </si>
  <si>
    <t>متزوج</t>
  </si>
  <si>
    <t>حي بورفؤاد</t>
  </si>
  <si>
    <t>01099930611</t>
  </si>
  <si>
    <t>حي الشرق</t>
  </si>
  <si>
    <t>01228116535</t>
  </si>
  <si>
    <t>01223871062</t>
  </si>
  <si>
    <t>بحد أقصى ٢٠٠٠</t>
  </si>
  <si>
    <t>مطلق</t>
  </si>
  <si>
    <t>01224961090</t>
  </si>
  <si>
    <t>01063234142</t>
  </si>
  <si>
    <t>أعزب</t>
  </si>
  <si>
    <t>01200884144</t>
  </si>
  <si>
    <t>01113482450</t>
  </si>
  <si>
    <t>01223352651</t>
  </si>
  <si>
    <t>01003047004</t>
  </si>
  <si>
    <t>01062635374</t>
  </si>
  <si>
    <t>01279314839</t>
  </si>
  <si>
    <t xml:space="preserve">عمارة هيئة قناة السويس ٣٥٢ مدخل أ الدور  الخامس شقة ١٣ شارع محمد على واحمد ماهر حى الشرق بورسعيد  </t>
  </si>
  <si>
    <t>01228297139</t>
  </si>
  <si>
    <t>01000540360</t>
  </si>
  <si>
    <t>01207251045</t>
  </si>
  <si>
    <t>01271464115</t>
  </si>
  <si>
    <t>٧/٢١٤</t>
  </si>
  <si>
    <t>01271440661</t>
  </si>
  <si>
    <t>01206663529</t>
  </si>
  <si>
    <t>01012854280</t>
  </si>
  <si>
    <t>01225952301</t>
  </si>
  <si>
    <t>01099232070</t>
  </si>
  <si>
    <t>أجا</t>
  </si>
  <si>
    <t>01016414892</t>
  </si>
  <si>
    <t>01283218763</t>
  </si>
  <si>
    <t>حي الضواحي</t>
  </si>
  <si>
    <t>01225658353</t>
  </si>
  <si>
    <t>متزوج ويعول اكثر من ١</t>
  </si>
  <si>
    <t>01005017417</t>
  </si>
  <si>
    <t>01001983409</t>
  </si>
  <si>
    <t>01271407467</t>
  </si>
  <si>
    <t>01141294024</t>
  </si>
  <si>
    <t>01068805223</t>
  </si>
  <si>
    <t>٢٠٢٦-٣- ٦ بورفؤاد بتاريخ ٢ /٢١٣</t>
  </si>
  <si>
    <t>01000002254</t>
  </si>
  <si>
    <t>01288874629</t>
  </si>
  <si>
    <t>01222328565</t>
  </si>
  <si>
    <t>01272285536</t>
  </si>
  <si>
    <t>01003671789</t>
  </si>
  <si>
    <t>01224002334</t>
  </si>
  <si>
    <t>01010102920</t>
  </si>
  <si>
    <t>المنصورة</t>
  </si>
  <si>
    <t>01228729883</t>
  </si>
  <si>
    <t>01002539277</t>
  </si>
  <si>
    <t>01118086188</t>
  </si>
  <si>
    <t>01143617654</t>
  </si>
  <si>
    <t>01004606475</t>
  </si>
  <si>
    <t>01009280991</t>
  </si>
  <si>
    <t>حي الزهور</t>
  </si>
  <si>
    <t>01115429190</t>
  </si>
  <si>
    <t>01011148741</t>
  </si>
  <si>
    <t>٢٠٢٦/٧/ ٤)ببورفؤاد بتاريخ ٢٠ / رقم( ٢١٧</t>
  </si>
  <si>
    <t>01200067856</t>
  </si>
  <si>
    <t>٤ بورفؤاد / سكن اداري ٢١٦</t>
  </si>
  <si>
    <t>01006945745</t>
  </si>
  <si>
    <t>متزوج و يعول ١</t>
  </si>
  <si>
    <t>01222307959</t>
  </si>
  <si>
    <t>01118922311</t>
  </si>
  <si>
    <t>01111520386</t>
  </si>
  <si>
    <t>01223149552</t>
  </si>
  <si>
    <t>01229335847</t>
  </si>
  <si>
    <t>01277008473</t>
  </si>
  <si>
    <t>٢ بورفؤاد سكن اداري /٢١٧</t>
  </si>
  <si>
    <t>01061223227</t>
  </si>
  <si>
    <t>01146777756</t>
  </si>
  <si>
    <t>01020820899</t>
  </si>
  <si>
    <t>01099530814</t>
  </si>
  <si>
    <t>01005120127</t>
  </si>
  <si>
    <t>01220702024</t>
  </si>
  <si>
    <t>01227993154</t>
  </si>
  <si>
    <t>01200032927</t>
  </si>
  <si>
    <t>01068713920</t>
  </si>
  <si>
    <t>الزقازيق</t>
  </si>
  <si>
    <t>٢٤ بورفؤاد /٣٠٩</t>
  </si>
  <si>
    <t>01003166486</t>
  </si>
  <si>
    <t>أبوحماد</t>
  </si>
  <si>
    <t>01002678268</t>
  </si>
  <si>
    <t>01099550230</t>
  </si>
  <si>
    <t>01093207761</t>
  </si>
  <si>
    <t>01018575999</t>
  </si>
  <si>
    <t>01287076607</t>
  </si>
  <si>
    <t>01064779660</t>
  </si>
  <si>
    <t>01007380754</t>
  </si>
  <si>
    <t>01018693038</t>
  </si>
  <si>
    <t>01094480080</t>
  </si>
  <si>
    <t>01022671115</t>
  </si>
  <si>
    <t>01225737975</t>
  </si>
  <si>
    <t>01225869702</t>
  </si>
  <si>
    <t>01226785766</t>
  </si>
  <si>
    <t>حي العرب</t>
  </si>
  <si>
    <t>01223273323</t>
  </si>
  <si>
    <t>01204545601</t>
  </si>
  <si>
    <t>01064859696</t>
  </si>
  <si>
    <t>01226956566</t>
  </si>
  <si>
    <t>٣ بورسعيد / فيلا ٢٥٧</t>
  </si>
  <si>
    <t>01223833035</t>
  </si>
  <si>
    <t>01203904043</t>
  </si>
  <si>
    <t>٤ بورسعيد / فيللا ٢٦٣</t>
  </si>
  <si>
    <t>01225113809</t>
  </si>
  <si>
    <t>01002006008</t>
  </si>
  <si>
    <t>01142911919</t>
  </si>
  <si>
    <t>٣ ) ببورفؤاد بتاريخ / فيلا رقم ( ٦٣   28/04/2025</t>
  </si>
  <si>
    <t>01279750819</t>
  </si>
  <si>
    <t>01229252362</t>
  </si>
  <si>
    <t>01270099502</t>
  </si>
  <si>
    <t>01227106217</t>
  </si>
  <si>
    <t>01228483255</t>
  </si>
  <si>
    <t>01229506665</t>
  </si>
  <si>
    <t>٢ بورفواد / فيلا ٩٧</t>
  </si>
  <si>
    <t>01007812305</t>
  </si>
  <si>
    <t>01282470153</t>
  </si>
  <si>
    <t>01222406106</t>
  </si>
  <si>
    <t>01222938107</t>
  </si>
  <si>
    <t>01222628167</t>
  </si>
  <si>
    <t>01225000966</t>
  </si>
  <si>
    <t>01229191510</t>
  </si>
  <si>
    <t>01271666206</t>
  </si>
  <si>
    <t>01220344098</t>
  </si>
  <si>
    <t>١١ بتاريخ / م / الهيئة ع / ٢٨٣  10/09/2025</t>
  </si>
  <si>
    <t>01220377067</t>
  </si>
  <si>
    <t>01228844751</t>
  </si>
  <si>
    <t>01287105622</t>
  </si>
  <si>
    <t>01229843531</t>
  </si>
  <si>
    <t>01027387414</t>
  </si>
  <si>
    <t>01229039681</t>
  </si>
  <si>
    <t>01281997607</t>
  </si>
  <si>
    <t>01227542468</t>
  </si>
  <si>
    <t>01020244220</t>
  </si>
  <si>
    <t>01225759046</t>
  </si>
  <si>
    <t>حي المناخ</t>
  </si>
  <si>
    <t>01272265541</t>
  </si>
  <si>
    <t>01223284569</t>
  </si>
  <si>
    <t>01278800687</t>
  </si>
  <si>
    <t>0127584555</t>
  </si>
  <si>
    <t>01224076547</t>
  </si>
  <si>
    <t>01225738073</t>
  </si>
  <si>
    <t>01281610839</t>
  </si>
  <si>
    <t>01226578594</t>
  </si>
  <si>
    <t>01288366010</t>
  </si>
  <si>
    <t>01276957033</t>
  </si>
  <si>
    <t>مطلق + ٢</t>
  </si>
  <si>
    <t>01222842970</t>
  </si>
  <si>
    <t>01116497921</t>
  </si>
  <si>
    <t>00</t>
  </si>
  <si>
    <t>01271887337</t>
  </si>
  <si>
    <t>01224506115</t>
  </si>
  <si>
    <t>01228384414</t>
  </si>
  <si>
    <t>01229150855</t>
  </si>
  <si>
    <t>01283975670</t>
  </si>
  <si>
    <t>01223631528</t>
  </si>
  <si>
    <t>01228070274</t>
  </si>
  <si>
    <t>0120325887</t>
  </si>
  <si>
    <t>01278849553</t>
  </si>
  <si>
    <t>01228239395</t>
  </si>
  <si>
    <t>01224755546</t>
  </si>
  <si>
    <t>01200309931</t>
  </si>
  <si>
    <t>01286573914</t>
  </si>
  <si>
    <t>01283490519</t>
  </si>
  <si>
    <t>01010678020</t>
  </si>
  <si>
    <t>01224768707</t>
  </si>
  <si>
    <t>01201102201</t>
  </si>
  <si>
    <t>01021771825</t>
  </si>
  <si>
    <t>01282473307</t>
  </si>
  <si>
    <t>01206090016</t>
  </si>
  <si>
    <t>01211899802</t>
  </si>
  <si>
    <t>01277065490</t>
  </si>
  <si>
    <t>01284503034</t>
  </si>
  <si>
    <t>01222934564</t>
  </si>
  <si>
    <t>01001765742</t>
  </si>
  <si>
    <t>01288338784</t>
  </si>
  <si>
    <t>حي الجنوب</t>
  </si>
  <si>
    <t>01282227197</t>
  </si>
  <si>
    <t>01288865994</t>
  </si>
  <si>
    <t>مساكن هيئة قناة السويس ع ٣٣٨ ش ٥٣</t>
  </si>
  <si>
    <t>01224259327</t>
  </si>
  <si>
    <t>01282483089</t>
  </si>
  <si>
    <t>01203141433</t>
  </si>
  <si>
    <t>01100334670</t>
  </si>
  <si>
    <t>01026789262</t>
  </si>
  <si>
    <t>01004701187</t>
  </si>
  <si>
    <t>01003910393</t>
  </si>
  <si>
    <t>01276439437</t>
  </si>
  <si>
    <t>01270848834</t>
  </si>
  <si>
    <t>01224282698</t>
  </si>
  <si>
    <t>01221784545</t>
  </si>
  <si>
    <t>0116161455</t>
  </si>
  <si>
    <t>01200988810</t>
  </si>
  <si>
    <t>01224949982</t>
  </si>
  <si>
    <t>01227131233</t>
  </si>
  <si>
    <t>01221538694</t>
  </si>
  <si>
    <t>01008297841</t>
  </si>
  <si>
    <t>٢/ مساكن الهيئه عماره ٣٠٨</t>
  </si>
  <si>
    <t>01150605650</t>
  </si>
  <si>
    <t>01003583694</t>
  </si>
  <si>
    <t>01200027737</t>
  </si>
  <si>
    <t>01009506191</t>
  </si>
  <si>
    <t>01119557947</t>
  </si>
  <si>
    <t>01274888982</t>
  </si>
  <si>
    <t>01289234551</t>
  </si>
  <si>
    <t>01229231625</t>
  </si>
  <si>
    <t>01221247471</t>
  </si>
  <si>
    <t>01150045656</t>
  </si>
  <si>
    <t>01205001341</t>
  </si>
  <si>
    <t>01111639991</t>
  </si>
  <si>
    <t>01211043543</t>
  </si>
  <si>
    <t>01227913501</t>
  </si>
  <si>
    <t>01278340607</t>
  </si>
  <si>
    <t>01010441816</t>
  </si>
  <si>
    <t>01000770063</t>
  </si>
  <si>
    <t>01114032895</t>
  </si>
  <si>
    <t>مطلق + ١</t>
  </si>
  <si>
    <t>01000044637</t>
  </si>
  <si>
    <t>01011839555</t>
  </si>
  <si>
    <t>01118452443</t>
  </si>
  <si>
    <t>01224041145</t>
  </si>
  <si>
    <t>01200234790</t>
  </si>
  <si>
    <t>01001469736</t>
  </si>
  <si>
    <t>01225783734</t>
  </si>
  <si>
    <t>01277411547</t>
  </si>
  <si>
    <t>01229336228</t>
  </si>
  <si>
    <t>01224004599</t>
  </si>
  <si>
    <t>01011724777</t>
  </si>
  <si>
    <t>01222272299</t>
  </si>
  <si>
    <t>01223283137</t>
  </si>
  <si>
    <t>01280600156</t>
  </si>
  <si>
    <t>01222449764</t>
  </si>
  <si>
    <t>011280943654</t>
  </si>
  <si>
    <t>01279083574</t>
  </si>
  <si>
    <t>0112272217</t>
  </si>
  <si>
    <t>01270763043</t>
  </si>
  <si>
    <t>01276901502</t>
  </si>
  <si>
    <t>01208423330</t>
  </si>
  <si>
    <t>0109527936</t>
  </si>
  <si>
    <t>01207281943</t>
  </si>
  <si>
    <t>01026913061</t>
  </si>
  <si>
    <t>بئر العبد</t>
  </si>
  <si>
    <t>01282398451</t>
  </si>
  <si>
    <t>01001242389</t>
  </si>
  <si>
    <t>01278551443</t>
  </si>
  <si>
    <t>زفتى</t>
  </si>
  <si>
    <t>01276100607</t>
  </si>
  <si>
    <t>01202569846</t>
  </si>
  <si>
    <t>01286907789</t>
  </si>
  <si>
    <t>01201329073</t>
  </si>
  <si>
    <t>٤/ مساكن هيئة قناة السويس شقة ٢٨٤ ٢٠٢٥/٦/ ببورفؤاد بتاريخ ٣٠</t>
  </si>
  <si>
    <t>01210356114</t>
  </si>
  <si>
    <t>01205372601</t>
  </si>
  <si>
    <t>01210354868</t>
  </si>
  <si>
    <t>01289970062</t>
  </si>
  <si>
    <t>01281705740</t>
  </si>
  <si>
    <t>01210912751</t>
  </si>
  <si>
    <t>01228853391</t>
  </si>
  <si>
    <t>01211990346</t>
  </si>
  <si>
    <t>01221857714</t>
  </si>
  <si>
    <t>01272768416</t>
  </si>
  <si>
    <t>01222898189</t>
  </si>
  <si>
    <t>01224504099</t>
  </si>
  <si>
    <t>01228573668</t>
  </si>
  <si>
    <t>01271301348</t>
  </si>
  <si>
    <t>٧ ب مساكن ابوبكر الصديق ببورفؤاد -  بورسعيد</t>
  </si>
  <si>
    <t>01225585656</t>
  </si>
  <si>
    <t>01270796353</t>
  </si>
  <si>
    <t>01226372093</t>
  </si>
  <si>
    <t>01003478585</t>
  </si>
  <si>
    <t>١٠٦ حى الكويت العرب -بورسعيد</t>
  </si>
  <si>
    <t>01222623411</t>
  </si>
  <si>
    <t>01063591788</t>
  </si>
  <si>
    <t>01227700861</t>
  </si>
  <si>
    <t>01277758752</t>
  </si>
  <si>
    <t>01221319621</t>
  </si>
  <si>
    <t>01282037340</t>
  </si>
  <si>
    <t>01223191095</t>
  </si>
  <si>
    <t>01224422437</t>
  </si>
  <si>
    <t>01226208012</t>
  </si>
  <si>
    <t>01229804714</t>
  </si>
  <si>
    <t>01208170942</t>
  </si>
  <si>
    <t>01275636236</t>
  </si>
  <si>
    <t>01203879692</t>
  </si>
  <si>
    <t>شارع ابراج محمد على ببورفؤاد ع رقم ٣١  الدور السادس ش رقم ٢١ - بورسعيد</t>
  </si>
  <si>
    <t>01203908081</t>
  </si>
  <si>
    <t>01228927979</t>
  </si>
  <si>
    <t>01228748648</t>
  </si>
  <si>
    <t>01220778036</t>
  </si>
  <si>
    <t>01224436372</t>
  </si>
  <si>
    <t>01220333670</t>
  </si>
  <si>
    <t>01273703363</t>
  </si>
  <si>
    <t>01203265329</t>
  </si>
  <si>
    <t>01225941417</t>
  </si>
  <si>
    <t>01004991933</t>
  </si>
  <si>
    <t>أرمل</t>
  </si>
  <si>
    <t>01221909097</t>
  </si>
  <si>
    <t>كفر سعد</t>
  </si>
  <si>
    <t>01284750849</t>
  </si>
  <si>
    <t>01222699707</t>
  </si>
  <si>
    <t>01210790404</t>
  </si>
  <si>
    <t>01276684428</t>
  </si>
  <si>
    <t>01207062845</t>
  </si>
  <si>
    <t>01021816663</t>
  </si>
  <si>
    <t>01212341103</t>
  </si>
  <si>
    <t>01003163116</t>
  </si>
  <si>
    <t>01281807124</t>
  </si>
  <si>
    <t>01285358518</t>
  </si>
  <si>
    <t>01283900676</t>
  </si>
  <si>
    <t>01271306017</t>
  </si>
  <si>
    <t>01286286548</t>
  </si>
  <si>
    <t>01280167070</t>
  </si>
  <si>
    <t>01226214696</t>
  </si>
  <si>
    <t>01220792819</t>
  </si>
  <si>
    <t>01226066073</t>
  </si>
  <si>
    <t>01221584652</t>
  </si>
  <si>
    <t>01278823283</t>
  </si>
  <si>
    <t>01223868546</t>
  </si>
  <si>
    <t>01207004998</t>
  </si>
  <si>
    <t>01202549541</t>
  </si>
  <si>
    <t>01229647795</t>
  </si>
  <si>
    <t>01206086007</t>
  </si>
  <si>
    <t>01270887820</t>
  </si>
  <si>
    <t>01285409046</t>
  </si>
  <si>
    <t>01060641072</t>
  </si>
  <si>
    <t>01283362090</t>
  </si>
  <si>
    <t>01285252881</t>
  </si>
  <si>
    <t>01201684445</t>
  </si>
  <si>
    <t>01275418164</t>
  </si>
  <si>
    <t>01279444087</t>
  </si>
  <si>
    <t>01203243983</t>
  </si>
  <si>
    <t>01067221484</t>
  </si>
  <si>
    <t>01276163452</t>
  </si>
  <si>
    <t>01210164957</t>
  </si>
  <si>
    <t>01203002567</t>
  </si>
  <si>
    <t>01008808193</t>
  </si>
  <si>
    <t>01205554090</t>
  </si>
  <si>
    <t>01203999280</t>
  </si>
  <si>
    <t>01203255056</t>
  </si>
  <si>
    <t>01274876694</t>
  </si>
  <si>
    <t>01203244015</t>
  </si>
  <si>
    <t>01000326364</t>
  </si>
  <si>
    <t>01277667417</t>
  </si>
  <si>
    <t>01282769654</t>
  </si>
  <si>
    <t>01116223608</t>
  </si>
  <si>
    <t>01277166731</t>
  </si>
  <si>
    <t>01225503212</t>
  </si>
  <si>
    <t>01277388242</t>
  </si>
  <si>
    <t>01278737523</t>
  </si>
  <si>
    <t>01211785227</t>
  </si>
  <si>
    <t>01207776565</t>
  </si>
  <si>
    <t>01200079810</t>
  </si>
  <si>
    <t>01092035188</t>
  </si>
  <si>
    <t>01225335517</t>
  </si>
  <si>
    <t>01212339739</t>
  </si>
  <si>
    <t>01282006134</t>
  </si>
  <si>
    <t>01000616439</t>
  </si>
  <si>
    <t>01204172364</t>
  </si>
  <si>
    <t>مساكن الاسراء ع ٦١ ش ١٦</t>
  </si>
  <si>
    <t>01228962895</t>
  </si>
  <si>
    <t>01275560843</t>
  </si>
  <si>
    <t>01033030073</t>
  </si>
  <si>
    <t>01226741866</t>
  </si>
  <si>
    <t>01289667279</t>
  </si>
  <si>
    <t>01278640100</t>
  </si>
  <si>
    <t>01281826259</t>
  </si>
  <si>
    <t>01270746667</t>
  </si>
  <si>
    <t>01227421821</t>
  </si>
  <si>
    <t>01224949445</t>
  </si>
  <si>
    <t>01211962100</t>
  </si>
  <si>
    <t>01221434367</t>
  </si>
  <si>
    <t>01207941490</t>
  </si>
  <si>
    <t>01279776064</t>
  </si>
  <si>
    <t>01270698258</t>
  </si>
  <si>
    <t>01202176624</t>
  </si>
  <si>
    <t>01208309776</t>
  </si>
  <si>
    <t>01287639522</t>
  </si>
  <si>
    <t>01222570057</t>
  </si>
  <si>
    <t>01273111881</t>
  </si>
  <si>
    <t>01276653391</t>
  </si>
  <si>
    <t>01273118865</t>
  </si>
  <si>
    <t>01211706908</t>
  </si>
  <si>
    <t>01273518870</t>
  </si>
  <si>
    <t>01207413114</t>
  </si>
  <si>
    <t>01270391179</t>
  </si>
  <si>
    <t>01205364551</t>
  </si>
  <si>
    <t>01220048580</t>
  </si>
  <si>
    <t>01282696276</t>
  </si>
  <si>
    <t>الحي الاماراتي مساكن محمد مهران  ع ٤١ ش ١٤</t>
  </si>
  <si>
    <t>01272819808</t>
  </si>
  <si>
    <t>01210842306</t>
  </si>
  <si>
    <t>01274226067</t>
  </si>
  <si>
    <t>01210240037</t>
  </si>
  <si>
    <t>01068743017</t>
  </si>
  <si>
    <t>01023028348</t>
  </si>
  <si>
    <t>01015756446</t>
  </si>
  <si>
    <t>01062474496</t>
  </si>
  <si>
    <t>01091200650</t>
  </si>
  <si>
    <t>01012400441</t>
  </si>
  <si>
    <t>01061225991</t>
  </si>
  <si>
    <t>01285618210</t>
  </si>
  <si>
    <t>01284483441</t>
  </si>
  <si>
    <t>01204901531</t>
  </si>
  <si>
    <t>01201218159</t>
  </si>
  <si>
    <t>01285289405</t>
  </si>
  <si>
    <t>01222964770</t>
  </si>
  <si>
    <t>01222509959</t>
  </si>
  <si>
    <t>01228136104</t>
  </si>
  <si>
    <t>01222108416</t>
  </si>
  <si>
    <t>01220581815</t>
  </si>
  <si>
    <t>01282036809</t>
  </si>
  <si>
    <t>01225742911</t>
  </si>
  <si>
    <t>01277270359</t>
  </si>
  <si>
    <t>01062377249</t>
  </si>
  <si>
    <t>01273110669</t>
  </si>
  <si>
    <t>01200139530</t>
  </si>
  <si>
    <t>01228215955</t>
  </si>
  <si>
    <t>0120788992</t>
  </si>
  <si>
    <t>01228441646</t>
  </si>
  <si>
    <t>01226164484</t>
  </si>
  <si>
    <t>01289881208</t>
  </si>
  <si>
    <t>01227713963</t>
  </si>
  <si>
    <t>01224360284</t>
  </si>
  <si>
    <t>01283813753</t>
  </si>
  <si>
    <t>01271474725</t>
  </si>
  <si>
    <t>01210511422</t>
  </si>
  <si>
    <t>01223010056</t>
  </si>
  <si>
    <t>01272843550</t>
  </si>
  <si>
    <t>01285635612</t>
  </si>
  <si>
    <t>01285658007</t>
  </si>
  <si>
    <t>01204585133</t>
  </si>
  <si>
    <t>01288020509</t>
  </si>
  <si>
    <t>01220282724</t>
  </si>
  <si>
    <t>01285152279</t>
  </si>
  <si>
    <t>01271840211</t>
  </si>
  <si>
    <t>01288147282</t>
  </si>
  <si>
    <t>01062042336</t>
  </si>
  <si>
    <t>01033681229</t>
  </si>
  <si>
    <t xml:space="preserve"> ١٤ش  سعد زغلول ودمنهور العرب -     بورسعيد  </t>
  </si>
  <si>
    <t>01289585351</t>
  </si>
  <si>
    <t>مساكن الهيئة عمارة ٢٥ بورفؤاد بورسعيد</t>
  </si>
  <si>
    <t>01063691306</t>
  </si>
  <si>
    <t>٢٢ معاشات الهيئة - بورفؤاد - بورسعيد</t>
  </si>
  <si>
    <t>01555348896</t>
  </si>
  <si>
    <t>١ ش محمد علي - بورفؤاد - بورسعيد</t>
  </si>
  <si>
    <t>01273477661</t>
  </si>
  <si>
    <t>١٣ برج محمد علي بورفؤاد - بورسعيد</t>
  </si>
  <si>
    <t>01008210020</t>
  </si>
  <si>
    <t>بورسعيد - بورفؤاد - مجمع التجاريين (أ)</t>
  </si>
  <si>
    <t>01011099250</t>
  </si>
  <si>
    <t>٢١٦ مساكن الهيئة بورفؤاد - بورسعيد</t>
  </si>
  <si>
    <t>01148622989</t>
  </si>
  <si>
    <t>٢١ أ أرض قبضايا - حي الزهور- بورسعيد</t>
  </si>
  <si>
    <t>01281611310</t>
  </si>
  <si>
    <t>01019564739</t>
  </si>
  <si>
    <t>01210852216</t>
  </si>
  <si>
    <t>01283162654</t>
  </si>
  <si>
    <t>01229971373</t>
  </si>
  <si>
    <t>01276406815</t>
  </si>
  <si>
    <t>01227973842</t>
  </si>
  <si>
    <t>01288127060</t>
  </si>
  <si>
    <t>01277599044</t>
  </si>
  <si>
    <t>01221934951</t>
  </si>
  <si>
    <t>01282585215</t>
  </si>
  <si>
    <t>أرمل + ٢</t>
  </si>
  <si>
    <t>01061912228</t>
  </si>
  <si>
    <t>01061652747</t>
  </si>
  <si>
    <t>01279793811</t>
  </si>
  <si>
    <t>01202259784</t>
  </si>
  <si>
    <t>01275625066</t>
  </si>
  <si>
    <t>01095125504</t>
  </si>
  <si>
    <t>01207065209</t>
  </si>
  <si>
    <t>01091134900</t>
  </si>
  <si>
    <t>01028900914</t>
  </si>
  <si>
    <t>01281037578</t>
  </si>
  <si>
    <t xml:space="preserve"> ع رقم ١٦١ الدور الثالث ش رقم ١٢ الضواحى - بورسعيد</t>
  </si>
  <si>
    <t>01205402155</t>
  </si>
  <si>
    <t>01278589652</t>
  </si>
  <si>
    <t>01206711948</t>
  </si>
  <si>
    <t>01229339261</t>
  </si>
  <si>
    <t>01288081788</t>
  </si>
  <si>
    <t>01280347235</t>
  </si>
  <si>
    <t>01276719533</t>
  </si>
  <si>
    <t>01278589290</t>
  </si>
  <si>
    <t>01204692316</t>
  </si>
  <si>
    <t>01207054322</t>
  </si>
  <si>
    <t>01275400828</t>
  </si>
  <si>
    <t>01280065789</t>
  </si>
  <si>
    <t>01221832993</t>
  </si>
  <si>
    <t>01006420186</t>
  </si>
  <si>
    <t>01275980851</t>
  </si>
  <si>
    <t>01278587594</t>
  </si>
  <si>
    <t>01273929208</t>
  </si>
  <si>
    <t>01280664018</t>
  </si>
  <si>
    <t>01281514426</t>
  </si>
  <si>
    <t>01208994409</t>
  </si>
  <si>
    <t>01286345119</t>
  </si>
  <si>
    <t>01201524127</t>
  </si>
  <si>
    <t>01224575380</t>
  </si>
  <si>
    <t>01278589692</t>
  </si>
  <si>
    <t>01273222195</t>
  </si>
  <si>
    <t>01025685256</t>
  </si>
  <si>
    <t>01271628801</t>
  </si>
  <si>
    <t>01289291243</t>
  </si>
  <si>
    <t>01226706632</t>
  </si>
  <si>
    <t>01281253091</t>
  </si>
  <si>
    <t>01279038484</t>
  </si>
  <si>
    <t>01092316440</t>
  </si>
  <si>
    <t>01279636209</t>
  </si>
  <si>
    <t>01008558119</t>
  </si>
  <si>
    <t>01225293696</t>
  </si>
  <si>
    <t>01095485254</t>
  </si>
  <si>
    <t>01200056447</t>
  </si>
  <si>
    <t>01226177535</t>
  </si>
  <si>
    <t>01156965592</t>
  </si>
  <si>
    <t>01272333213</t>
  </si>
  <si>
    <t>01281377484</t>
  </si>
  <si>
    <t>01212666939</t>
  </si>
  <si>
    <t>01277914306</t>
  </si>
  <si>
    <t>01200506473</t>
  </si>
  <si>
    <t>01280772254</t>
  </si>
  <si>
    <t>01227079602</t>
  </si>
  <si>
    <t>01004430347</t>
  </si>
  <si>
    <t>01225130131</t>
  </si>
  <si>
    <t>حي بورفؤا</t>
  </si>
  <si>
    <t>01555585100</t>
  </si>
  <si>
    <t>01226573780</t>
  </si>
  <si>
    <t>01200660277</t>
  </si>
  <si>
    <t>01009538191</t>
  </si>
  <si>
    <t>0115257171</t>
  </si>
  <si>
    <t>01203762299</t>
  </si>
  <si>
    <t>01227381876</t>
  </si>
  <si>
    <t>01225876804</t>
  </si>
  <si>
    <t>01225497650</t>
  </si>
  <si>
    <t>01201407746</t>
  </si>
  <si>
    <t>01226665365</t>
  </si>
  <si>
    <t>01222972354</t>
  </si>
  <si>
    <t>01276164189</t>
  </si>
  <si>
    <t>0122454403</t>
  </si>
  <si>
    <t>01205062323</t>
  </si>
  <si>
    <t>01225745400</t>
  </si>
  <si>
    <t>01007079597</t>
  </si>
  <si>
    <t>01222328317</t>
  </si>
  <si>
    <t>01284016185</t>
  </si>
  <si>
    <t xml:space="preserve">٢٩١ مساكن الهيئة  ارض المشتل بورفؤاد  بورسعيد </t>
  </si>
  <si>
    <t>٥٣ مساكن بنك الأسكان الضواحى بورسعيد</t>
  </si>
  <si>
    <t>فيلا ٢٣٧ مساكن الهيئة الشرق  بورسعيد</t>
  </si>
  <si>
    <t>01273838078</t>
  </si>
  <si>
    <t>٣٢ ب عمر بن عبد العزيز مدخل ب الزهور بورسعيد</t>
  </si>
  <si>
    <t>01288033531</t>
  </si>
  <si>
    <t>١٥ أ مساكن ابو بكر الصديق بورفؤاد  بورسعيد</t>
  </si>
  <si>
    <t>01228414489</t>
  </si>
  <si>
    <t>٤ أمساكن ٢٣ ديسمبر الزهور  بورسعيد</t>
  </si>
  <si>
    <t>01285990182</t>
  </si>
  <si>
    <t>٧ مساكن الحزب الوطنى بورفؤاد  بورسعيد</t>
  </si>
  <si>
    <t>01282980295</t>
  </si>
  <si>
    <t>١٣ منطقة ال ٥٠٠ وحدة الزهور  بورسعيد</t>
  </si>
  <si>
    <t>01273070781</t>
  </si>
  <si>
    <t>٣١٦ م شرق كلية التربية الرياضية بورفؤاد  بورسعيد</t>
  </si>
  <si>
    <t>01221235822</t>
  </si>
  <si>
    <t>١٤٣ م الأسكان الأجتماعى بورفؤاد  بورسعي</t>
  </si>
  <si>
    <t>01221397800</t>
  </si>
  <si>
    <t>أ مساكن اعمال النقل بورفؤاد  بورسعيد</t>
  </si>
  <si>
    <t>برج ٢١ ابراج الحاسب الألى المناخ  بورسعيد</t>
  </si>
  <si>
    <t>01228335995</t>
  </si>
  <si>
    <t>١٩ أ عمر بن عبد العزيز الزهور  بورسعيد</t>
  </si>
  <si>
    <t>نسبة بدل المخاطر %</t>
  </si>
  <si>
    <t>الدرجة2</t>
  </si>
  <si>
    <t>شقة رقم   217 / 4  ببورفؤاد بتاريخ  20/07/2026</t>
  </si>
  <si>
    <t xml:space="preserve"> بورفؤاد  مسكن اداري   216 /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</si>
</sst>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-* #,##0.00\ &quot;ج.م.‏&quot;_-;\-* #,##0.00\ &quot;ج.م.‏&quot;_-;_-* &quot;-&quot;??\ &quot;ج.م.‏&quot;_-;_-@_-"/>
    <numFmt numFmtId="164" formatCode="[$-2010000]yyyy/mm/dd;@"/>
    <numFmt numFmtId="165" formatCode="[$-2000401]0.##"/>
    <numFmt numFmtId="166" formatCode="#,##0.00\ &quot;ج.م.‏&quot;"/>
    <numFmt numFmtId="167" formatCode="yyyy"/>
    <numFmt numFmtId="168" formatCode="\ yyyy"/>
    <numFmt numFmtId="169" formatCode="[$-2000000]0"/>
    <numFmt numFmtId="170" formatCode="_-* #,##0\ &quot;ج.م.‏&quot;_-;\-* #,##0\ &quot;ج.م.‏&quot;_-;_-* &quot;-&quot;??\ &quot;ج.م.‏&quot;_-;_-@_-"/>
  </numFmts>
  <fonts count="1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name val="Arial"/>
      <family val="2"/>
      <charset val="178"/>
      <scheme val="minor"/>
    </font>
    <font>
      <sz val="11"/>
      <color theme="1"/>
      <name val="خط سلطاني عريض"/>
    </font>
    <font>
      <b/>
      <sz val="22"/>
      <color theme="1"/>
      <name val="خط سلطاني عريض"/>
    </font>
    <font>
      <b/>
      <sz val="11"/>
      <color theme="1"/>
      <name val="Arial"/>
      <family val="2"/>
      <scheme val="minor"/>
    </font>
    <font>
      <b/>
      <sz val="18"/>
      <color rgb="FF000000"/>
      <name val="خط سلطاني عريض"/>
    </font>
    <font>
      <sz val="16"/>
      <color rgb="FF000000"/>
      <name val="خط سلطاني عريض"/>
    </font>
    <font>
      <sz val="8"/>
      <name val="Arial"/>
      <family val="2"/>
      <scheme val="minor"/>
    </font>
    <font>
      <b/>
      <sz val="11"/>
      <color rgb="FFFFFFFF"/>
      <name val="Arial"/>
      <family val="2"/>
      <scheme val="minor"/>
    </font>
    <font>
      <b/>
      <sz val="1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5B9BD5"/>
        <bgColor rgb="FF5B9BD5"/>
      </patternFill>
    </fill>
  </fills>
  <borders count="29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ck">
        <color indexed="64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thick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double">
        <color auto="1"/>
      </bottom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3">
    <xf numFmtId="0" fontId="0" fillId="0" borderId="0" xfId="0"/>
    <xf numFmtId="49" fontId="3" fillId="0" borderId="5" xfId="0" applyNumberFormat="1" applyFont="1" applyBorder="1" applyAlignment="1">
      <alignment horizontal="center" vertical="center" readingOrder="2"/>
    </xf>
    <xf numFmtId="1" fontId="0" fillId="0" borderId="0" xfId="0" applyNumberFormat="1" applyAlignment="1">
      <alignment horizontal="center" vertical="center" readingOrder="2"/>
    </xf>
    <xf numFmtId="1" fontId="0" fillId="0" borderId="5" xfId="0" applyNumberFormat="1" applyBorder="1" applyAlignment="1">
      <alignment horizontal="center" vertical="center" readingOrder="2"/>
    </xf>
    <xf numFmtId="0" fontId="0" fillId="0" borderId="0" xfId="0" applyAlignment="1">
      <alignment horizontal="center" vertical="center" readingOrder="2"/>
    </xf>
    <xf numFmtId="1" fontId="0" fillId="2" borderId="5" xfId="0" applyNumberFormat="1" applyFill="1" applyBorder="1" applyAlignment="1">
      <alignment horizontal="center" vertical="center" readingOrder="2"/>
    </xf>
    <xf numFmtId="0" fontId="4" fillId="0" borderId="2" xfId="0" applyFont="1" applyBorder="1" applyAlignment="1">
      <alignment horizontal="center" vertical="center" readingOrder="2"/>
    </xf>
    <xf numFmtId="0" fontId="0" fillId="0" borderId="5" xfId="0" applyBorder="1" applyAlignment="1">
      <alignment horizontal="center" vertical="center" readingOrder="2"/>
    </xf>
    <xf numFmtId="0" fontId="0" fillId="0" borderId="7" xfId="0" applyBorder="1" applyAlignment="1">
      <alignment horizontal="center" vertical="center" readingOrder="2"/>
    </xf>
    <xf numFmtId="164" fontId="4" fillId="0" borderId="2" xfId="0" applyNumberFormat="1" applyFont="1" applyBorder="1" applyAlignment="1">
      <alignment horizontal="center" vertical="center" readingOrder="2"/>
    </xf>
    <xf numFmtId="164" fontId="0" fillId="0" borderId="5" xfId="0" applyNumberFormat="1" applyBorder="1" applyAlignment="1">
      <alignment horizontal="center" vertical="center" readingOrder="2"/>
    </xf>
    <xf numFmtId="164" fontId="0" fillId="0" borderId="7" xfId="0" applyNumberFormat="1" applyBorder="1" applyAlignment="1">
      <alignment horizontal="center" vertical="center" readingOrder="2"/>
    </xf>
    <xf numFmtId="165" fontId="0" fillId="0" borderId="0" xfId="0" applyNumberFormat="1" applyAlignment="1">
      <alignment horizontal="center" vertical="center" readingOrder="2"/>
    </xf>
    <xf numFmtId="168" fontId="4" fillId="0" borderId="2" xfId="0" applyNumberFormat="1" applyFont="1" applyBorder="1" applyAlignment="1">
      <alignment horizontal="center" vertical="center" readingOrder="2"/>
    </xf>
    <xf numFmtId="168" fontId="0" fillId="0" borderId="5" xfId="0" applyNumberFormat="1" applyBorder="1" applyAlignment="1">
      <alignment horizontal="center" vertical="center" readingOrder="2"/>
    </xf>
    <xf numFmtId="168" fontId="0" fillId="0" borderId="7" xfId="0" applyNumberFormat="1" applyBorder="1" applyAlignment="1">
      <alignment horizontal="center" vertical="center" readingOrder="2"/>
    </xf>
    <xf numFmtId="168" fontId="0" fillId="0" borderId="0" xfId="0" applyNumberFormat="1" applyAlignment="1">
      <alignment horizontal="center" vertical="center" readingOrder="2"/>
    </xf>
    <xf numFmtId="167" fontId="4" fillId="0" borderId="2" xfId="0" applyNumberFormat="1" applyFont="1" applyBorder="1" applyAlignment="1">
      <alignment horizontal="center" vertical="center" readingOrder="2"/>
    </xf>
    <xf numFmtId="167" fontId="0" fillId="0" borderId="5" xfId="0" applyNumberFormat="1" applyBorder="1" applyAlignment="1">
      <alignment horizontal="center" vertical="center" readingOrder="2"/>
    </xf>
    <xf numFmtId="167" fontId="0" fillId="0" borderId="7" xfId="0" applyNumberFormat="1" applyBorder="1" applyAlignment="1">
      <alignment horizontal="center" vertical="center" readingOrder="2"/>
    </xf>
    <xf numFmtId="167" fontId="0" fillId="0" borderId="0" xfId="0" applyNumberFormat="1" applyAlignment="1">
      <alignment horizontal="center" vertical="center" readingOrder="2"/>
    </xf>
    <xf numFmtId="166" fontId="0" fillId="0" borderId="0" xfId="0" applyNumberFormat="1" applyAlignment="1">
      <alignment horizontal="center" vertical="center" readingOrder="2"/>
    </xf>
    <xf numFmtId="166" fontId="0" fillId="0" borderId="5" xfId="1" applyNumberFormat="1" applyFont="1" applyBorder="1" applyAlignment="1">
      <alignment horizontal="center" vertical="center" readingOrder="2"/>
    </xf>
    <xf numFmtId="166" fontId="0" fillId="0" borderId="5" xfId="0" applyNumberFormat="1" applyBorder="1" applyAlignment="1">
      <alignment horizontal="center" vertical="center" readingOrder="2"/>
    </xf>
    <xf numFmtId="0" fontId="6" fillId="0" borderId="3" xfId="0" applyFont="1" applyBorder="1" applyAlignment="1">
      <alignment horizontal="center" vertical="center" readingOrder="2"/>
    </xf>
    <xf numFmtId="0" fontId="6" fillId="3" borderId="12" xfId="0" applyFont="1" applyFill="1" applyBorder="1" applyAlignment="1">
      <alignment horizontal="right" vertical="center" readingOrder="2"/>
    </xf>
    <xf numFmtId="0" fontId="6" fillId="3" borderId="3" xfId="0" applyFont="1" applyFill="1" applyBorder="1" applyAlignment="1">
      <alignment horizontal="center" vertical="center" readingOrder="2"/>
    </xf>
    <xf numFmtId="0" fontId="6" fillId="3" borderId="3" xfId="0" applyFont="1" applyFill="1" applyBorder="1" applyAlignment="1">
      <alignment horizontal="right" vertical="center" readingOrder="2"/>
    </xf>
    <xf numFmtId="0" fontId="6" fillId="3" borderId="13" xfId="0" applyFont="1" applyFill="1" applyBorder="1" applyAlignment="1">
      <alignment horizontal="right" vertical="center" readingOrder="2"/>
    </xf>
    <xf numFmtId="0" fontId="6" fillId="3" borderId="14" xfId="0" applyFont="1" applyFill="1" applyBorder="1" applyAlignment="1">
      <alignment horizontal="right" vertical="center" readingOrder="2"/>
    </xf>
    <xf numFmtId="0" fontId="6" fillId="3" borderId="4" xfId="0" applyFont="1" applyFill="1" applyBorder="1" applyAlignment="1">
      <alignment horizontal="center" vertical="center" readingOrder="2"/>
    </xf>
    <xf numFmtId="0" fontId="6" fillId="3" borderId="4" xfId="0" applyFont="1" applyFill="1" applyBorder="1" applyAlignment="1">
      <alignment horizontal="right" vertical="center" readingOrder="2"/>
    </xf>
    <xf numFmtId="0" fontId="6" fillId="3" borderId="15" xfId="0" applyFont="1" applyFill="1" applyBorder="1" applyAlignment="1">
      <alignment horizontal="right" vertical="center" readingOrder="2"/>
    </xf>
    <xf numFmtId="0" fontId="6" fillId="0" borderId="16" xfId="0" applyFont="1" applyBorder="1" applyAlignment="1">
      <alignment horizontal="right" vertical="center" readingOrder="2"/>
    </xf>
    <xf numFmtId="0" fontId="6" fillId="0" borderId="3" xfId="0" applyFont="1" applyBorder="1" applyAlignment="1">
      <alignment horizontal="right" vertical="center" readingOrder="2"/>
    </xf>
    <xf numFmtId="0" fontId="6" fillId="0" borderId="17" xfId="0" applyFont="1" applyBorder="1" applyAlignment="1">
      <alignment horizontal="right" vertical="center" readingOrder="2"/>
    </xf>
    <xf numFmtId="0" fontId="6" fillId="0" borderId="18" xfId="0" applyFont="1" applyBorder="1" applyAlignment="1">
      <alignment horizontal="right" vertical="center" readingOrder="2"/>
    </xf>
    <xf numFmtId="0" fontId="6" fillId="0" borderId="19" xfId="0" applyFont="1" applyBorder="1" applyAlignment="1">
      <alignment horizontal="center" vertical="center" readingOrder="2"/>
    </xf>
    <xf numFmtId="0" fontId="6" fillId="0" borderId="19" xfId="0" applyFont="1" applyBorder="1" applyAlignment="1">
      <alignment horizontal="right" vertical="center" readingOrder="2"/>
    </xf>
    <xf numFmtId="0" fontId="6" fillId="3" borderId="17" xfId="0" applyFont="1" applyFill="1" applyBorder="1" applyAlignment="1">
      <alignment horizontal="center" vertical="center" readingOrder="2"/>
    </xf>
    <xf numFmtId="0" fontId="6" fillId="0" borderId="17" xfId="0" applyFont="1" applyBorder="1" applyAlignment="1">
      <alignment horizontal="center" vertical="center" readingOrder="2"/>
    </xf>
    <xf numFmtId="0" fontId="6" fillId="5" borderId="17" xfId="0" applyFont="1" applyFill="1" applyBorder="1" applyAlignment="1">
      <alignment horizontal="center" vertical="center" readingOrder="2"/>
    </xf>
    <xf numFmtId="0" fontId="6" fillId="3" borderId="16" xfId="0" applyFont="1" applyFill="1" applyBorder="1" applyAlignment="1">
      <alignment horizontal="center" vertical="center" readingOrder="2"/>
    </xf>
    <xf numFmtId="0" fontId="6" fillId="0" borderId="16" xfId="0" applyFont="1" applyBorder="1" applyAlignment="1">
      <alignment horizontal="center" vertical="center" readingOrder="2"/>
    </xf>
    <xf numFmtId="0" fontId="6" fillId="5" borderId="16" xfId="0" applyFont="1" applyFill="1" applyBorder="1" applyAlignment="1">
      <alignment horizontal="center" vertical="center" readingOrder="2"/>
    </xf>
    <xf numFmtId="1" fontId="3" fillId="0" borderId="8" xfId="0" applyNumberFormat="1" applyFont="1" applyBorder="1" applyAlignment="1">
      <alignment horizontal="center" vertical="center" readingOrder="2"/>
    </xf>
    <xf numFmtId="1" fontId="3" fillId="0" borderId="17" xfId="0" applyNumberFormat="1" applyFont="1" applyBorder="1" applyAlignment="1">
      <alignment horizontal="center" vertical="center" readingOrder="2"/>
    </xf>
    <xf numFmtId="0" fontId="0" fillId="0" borderId="5" xfId="1" applyNumberFormat="1" applyFont="1" applyBorder="1" applyAlignment="1">
      <alignment horizontal="center" vertical="center" readingOrder="2"/>
    </xf>
    <xf numFmtId="164" fontId="0" fillId="0" borderId="5" xfId="1" applyNumberFormat="1" applyFont="1" applyBorder="1" applyAlignment="1">
      <alignment horizontal="center" vertical="center" readingOrder="2"/>
    </xf>
    <xf numFmtId="168" fontId="0" fillId="0" borderId="5" xfId="1" applyNumberFormat="1" applyFont="1" applyBorder="1" applyAlignment="1">
      <alignment horizontal="center" vertical="center" readingOrder="2"/>
    </xf>
    <xf numFmtId="167" fontId="0" fillId="0" borderId="5" xfId="1" applyNumberFormat="1" applyFont="1" applyBorder="1" applyAlignment="1">
      <alignment horizontal="center" vertical="center" readingOrder="2"/>
    </xf>
    <xf numFmtId="1" fontId="3" fillId="0" borderId="16" xfId="0" applyNumberFormat="1" applyFont="1" applyBorder="1" applyAlignment="1">
      <alignment horizontal="center" vertical="center" readingOrder="2"/>
    </xf>
    <xf numFmtId="1" fontId="3" fillId="0" borderId="21" xfId="0" applyNumberFormat="1" applyFont="1" applyBorder="1" applyAlignment="1">
      <alignment horizontal="center" vertical="center" readingOrder="2"/>
    </xf>
    <xf numFmtId="1" fontId="3" fillId="0" borderId="18" xfId="0" applyNumberFormat="1" applyFont="1" applyBorder="1" applyAlignment="1">
      <alignment horizontal="center" vertical="center" readingOrder="2"/>
    </xf>
    <xf numFmtId="1" fontId="3" fillId="0" borderId="22" xfId="0" applyNumberFormat="1" applyFont="1" applyBorder="1" applyAlignment="1">
      <alignment horizontal="center" vertical="center" readingOrder="2"/>
    </xf>
    <xf numFmtId="0" fontId="6" fillId="0" borderId="20" xfId="0" applyFont="1" applyBorder="1" applyAlignment="1">
      <alignment horizontal="right" vertical="center" readingOrder="2"/>
    </xf>
    <xf numFmtId="1" fontId="0" fillId="6" borderId="5" xfId="0" applyNumberFormat="1" applyFill="1" applyBorder="1" applyAlignment="1">
      <alignment horizontal="center" vertical="center" readingOrder="2"/>
    </xf>
    <xf numFmtId="0" fontId="0" fillId="6" borderId="6" xfId="0" applyFill="1" applyBorder="1" applyAlignment="1">
      <alignment horizontal="center" vertical="center" readingOrder="2"/>
    </xf>
    <xf numFmtId="1" fontId="0" fillId="0" borderId="5" xfId="1" applyNumberFormat="1" applyFont="1" applyBorder="1" applyAlignment="1">
      <alignment horizontal="center" vertical="center" readingOrder="2"/>
    </xf>
    <xf numFmtId="1" fontId="0" fillId="0" borderId="7" xfId="0" applyNumberFormat="1" applyBorder="1" applyAlignment="1">
      <alignment horizontal="center" vertical="center" readingOrder="2"/>
    </xf>
    <xf numFmtId="169" fontId="8" fillId="0" borderId="27" xfId="0" applyNumberFormat="1" applyFont="1" applyBorder="1" applyAlignment="1">
      <alignment horizontal="center" vertical="center" readingOrder="2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center" vertical="center" readingOrder="2"/>
    </xf>
    <xf numFmtId="1" fontId="2" fillId="0" borderId="1" xfId="0" applyNumberFormat="1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 readingOrder="2"/>
    </xf>
    <xf numFmtId="1" fontId="4" fillId="0" borderId="2" xfId="0" applyNumberFormat="1" applyFont="1" applyBorder="1" applyAlignment="1">
      <alignment horizontal="center" vertical="center" readingOrder="2"/>
    </xf>
    <xf numFmtId="164" fontId="10" fillId="8" borderId="28" xfId="0" applyNumberFormat="1" applyFont="1" applyFill="1" applyBorder="1" applyAlignment="1">
      <alignment horizontal="center" vertical="center" readingOrder="2"/>
    </xf>
    <xf numFmtId="1" fontId="10" fillId="8" borderId="28" xfId="0" applyNumberFormat="1" applyFont="1" applyFill="1" applyBorder="1" applyAlignment="1">
      <alignment horizontal="center" vertical="center" readingOrder="2"/>
    </xf>
    <xf numFmtId="0" fontId="10" fillId="8" borderId="28" xfId="0" applyFont="1" applyFill="1" applyBorder="1" applyAlignment="1">
      <alignment horizontal="center" vertical="center" readingOrder="2"/>
    </xf>
    <xf numFmtId="170" fontId="10" fillId="8" borderId="28" xfId="1" applyNumberFormat="1" applyFont="1" applyFill="1" applyBorder="1" applyAlignment="1">
      <alignment horizontal="center" vertical="center" readingOrder="2"/>
    </xf>
    <xf numFmtId="0" fontId="0" fillId="0" borderId="6" xfId="0" applyBorder="1" applyAlignment="1">
      <alignment horizontal="center" vertical="center" readingOrder="2"/>
    </xf>
    <xf numFmtId="1" fontId="0" fillId="0" borderId="6" xfId="0" applyNumberFormat="1" applyBorder="1" applyAlignment="1">
      <alignment horizontal="center" vertical="center" readingOrder="2"/>
    </xf>
    <xf numFmtId="170" fontId="0" fillId="0" borderId="0" xfId="1" applyNumberFormat="1" applyFont="1" applyFill="1" applyAlignment="1">
      <alignment horizontal="center" vertical="center" readingOrder="2"/>
    </xf>
    <xf numFmtId="44" fontId="10" fillId="8" borderId="28" xfId="1" applyFont="1" applyFill="1" applyBorder="1" applyAlignment="1">
      <alignment horizontal="center" vertical="center" readingOrder="2"/>
    </xf>
    <xf numFmtId="44" fontId="0" fillId="0" borderId="0" xfId="1" applyFont="1" applyFill="1" applyAlignment="1">
      <alignment horizontal="center" vertical="center" readingOrder="2"/>
    </xf>
    <xf numFmtId="1" fontId="0" fillId="0" borderId="0" xfId="0" applyNumberFormat="1" applyAlignment="1">
      <alignment readingOrder="2"/>
    </xf>
    <xf numFmtId="0" fontId="0" fillId="6" borderId="0" xfId="0" applyFill="1" applyAlignment="1">
      <alignment horizontal="center" vertical="center" readingOrder="2"/>
    </xf>
    <xf numFmtId="164" fontId="0" fillId="6" borderId="0" xfId="0" applyNumberFormat="1" applyFill="1" applyAlignment="1">
      <alignment horizontal="center" vertical="center" readingOrder="2"/>
    </xf>
    <xf numFmtId="164" fontId="0" fillId="0" borderId="6" xfId="0" applyNumberFormat="1" applyBorder="1" applyAlignment="1">
      <alignment horizontal="center" vertical="center" readingOrder="2"/>
    </xf>
    <xf numFmtId="168" fontId="0" fillId="0" borderId="6" xfId="0" applyNumberFormat="1" applyBorder="1" applyAlignment="1">
      <alignment horizontal="center" vertical="center" readingOrder="2"/>
    </xf>
    <xf numFmtId="167" fontId="0" fillId="0" borderId="6" xfId="0" applyNumberFormat="1" applyBorder="1" applyAlignment="1">
      <alignment horizontal="center" vertical="center" readingOrder="2"/>
    </xf>
    <xf numFmtId="0" fontId="5" fillId="3" borderId="9" xfId="0" applyFont="1" applyFill="1" applyBorder="1" applyAlignment="1">
      <alignment horizontal="center" vertical="center" readingOrder="2"/>
    </xf>
    <xf numFmtId="0" fontId="5" fillId="3" borderId="10" xfId="0" applyFont="1" applyFill="1" applyBorder="1" applyAlignment="1">
      <alignment horizontal="center" vertical="center" readingOrder="2"/>
    </xf>
    <xf numFmtId="0" fontId="5" fillId="3" borderId="11" xfId="0" applyFont="1" applyFill="1" applyBorder="1" applyAlignment="1">
      <alignment horizontal="center" vertical="center" readingOrder="2"/>
    </xf>
    <xf numFmtId="0" fontId="7" fillId="7" borderId="23" xfId="0" applyFont="1" applyFill="1" applyBorder="1" applyAlignment="1">
      <alignment horizontal="center" vertical="center" readingOrder="2"/>
    </xf>
    <xf numFmtId="0" fontId="7" fillId="7" borderId="24" xfId="0" applyFont="1" applyFill="1" applyBorder="1" applyAlignment="1">
      <alignment horizontal="center" vertical="center" readingOrder="2"/>
    </xf>
    <xf numFmtId="0" fontId="7" fillId="7" borderId="25" xfId="0" applyFont="1" applyFill="1" applyBorder="1" applyAlignment="1">
      <alignment horizontal="center" vertical="center" readingOrder="2"/>
    </xf>
    <xf numFmtId="0" fontId="7" fillId="7" borderId="26" xfId="0" applyFont="1" applyFill="1" applyBorder="1" applyAlignment="1">
      <alignment horizontal="center" vertical="center" readingOrder="2"/>
    </xf>
    <xf numFmtId="0" fontId="11" fillId="0" borderId="12" xfId="0" applyFont="1" applyBorder="1" applyAlignment="1">
      <alignment horizontal="center" vertical="center" readingOrder="2"/>
    </xf>
    <xf numFmtId="0" fontId="11" fillId="0" borderId="3" xfId="0" applyFont="1" applyBorder="1" applyAlignment="1">
      <alignment horizontal="center" vertical="center" readingOrder="2"/>
    </xf>
    <xf numFmtId="0" fontId="11" fillId="0" borderId="13" xfId="0" applyFont="1" applyBorder="1" applyAlignment="1">
      <alignment horizontal="center" vertical="center" readingOrder="2"/>
    </xf>
    <xf numFmtId="0" fontId="11" fillId="4" borderId="8" xfId="0" applyFont="1" applyFill="1" applyBorder="1" applyAlignment="1">
      <alignment horizontal="center" vertical="center" readingOrder="2"/>
    </xf>
    <xf numFmtId="0" fontId="11" fillId="4" borderId="21" xfId="0" applyFont="1" applyFill="1" applyBorder="1" applyAlignment="1">
      <alignment horizontal="center" vertical="center" readingOrder="2"/>
    </xf>
  </cellXfs>
  <cellStyles count="2">
    <cellStyle name="Currency" xfId="1" builtinId="4"/>
    <cellStyle name="عادي" xfId="0" builtinId="0"/>
  </cellStyles>
  <dxfs count="8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2"/>
    </dxf>
    <dxf>
      <font>
        <b/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 outline="0">
        <left style="double">
          <color auto="1"/>
        </left>
        <right style="double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2"/>
      <border diagonalUp="0" diagonalDown="0" outline="0">
        <left style="double">
          <color auto="1"/>
        </left>
        <right/>
        <top style="double">
          <color auto="1"/>
        </top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2"/>
      <border diagonalUp="0" diagonalDown="0" outline="0">
        <left/>
        <right style="double">
          <color auto="1"/>
        </right>
        <top style="double">
          <color auto="1"/>
        </top>
        <bottom style="double">
          <color auto="1"/>
        </bottom>
      </border>
    </dxf>
    <dxf>
      <border>
        <top style="double">
          <color auto="1"/>
        </top>
      </border>
    </dxf>
    <dxf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 outline="0">
        <bottom style="double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خط سلطاني عريض"/>
        <scheme val="none"/>
      </font>
      <numFmt numFmtId="169" formatCode="[$-2000000]0"/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78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  <border diagonalUp="0" diagonalDown="0">
        <left style="double">
          <color auto="1"/>
        </left>
        <right/>
        <top style="double">
          <color auto="1"/>
        </top>
        <bottom style="double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78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  <border diagonalUp="0" diagonalDown="0">
        <left/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border outline="0">
        <top style="double">
          <color auto="1"/>
        </top>
      </border>
    </dxf>
    <dxf>
      <border outline="0">
        <left style="double">
          <color auto="1"/>
        </left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7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78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2"/>
      <border diagonalUp="0" diagonalDown="0">
        <left/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2"/>
      <border diagonalUp="0" diagonalDown="0">
        <left style="double">
          <color auto="1"/>
        </left>
        <right/>
        <top style="double">
          <color auto="1"/>
        </top>
        <bottom style="double">
          <color auto="1"/>
        </bottom>
        <vertical/>
        <horizontal/>
      </border>
    </dxf>
    <dxf>
      <border outline="0">
        <top style="double">
          <color auto="1"/>
        </top>
      </border>
    </dxf>
    <dxf>
      <border outline="0">
        <left style="double">
          <color auto="1"/>
        </left>
        <right style="double">
          <color auto="1"/>
        </right>
        <top style="double">
          <color auto="1"/>
        </top>
        <bottom style="thin">
          <color theme="9" tint="0.39997558519241921"/>
        </bottom>
      </border>
    </dxf>
    <dxf>
      <border outline="0">
        <bottom style="double">
          <color auto="1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2"/>
      <border diagonalUp="0" diagonalDown="0" outline="0">
        <left style="double">
          <color auto="1"/>
        </left>
        <right/>
        <top style="double">
          <color auto="1"/>
        </top>
        <bottom style="double">
          <color auto="1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2"/>
      <border diagonalUp="0" diagonalDown="0" outline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 outline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 outline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  <border diagonalUp="0" diagonalDown="0" outline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2"/>
      <border diagonalUp="0" diagonalDown="0" outline="0">
        <left/>
        <right style="double">
          <color auto="1"/>
        </right>
        <top style="double">
          <color auto="1"/>
        </top>
        <bottom style="double">
          <color auto="1"/>
        </bottom>
      </border>
    </dxf>
    <dxf>
      <fill>
        <patternFill patternType="solid">
          <fgColor rgb="FFFFFF00"/>
          <bgColor rgb="FF000000"/>
        </patternFill>
      </fill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numFmt numFmtId="1" formatCode="0"/>
      <alignment horizontal="center" vertical="center" textRotation="0" wrapText="0" indent="0" justifyLastLine="0" shrinkToFit="0" readingOrder="2"/>
    </dxf>
    <dxf>
      <numFmt numFmtId="170" formatCode="_-* #,##0\ &quot;ج.م.‏&quot;_-;\-* #,##0\ &quot;ج.م.‏&quot;_-;_-* &quot;-&quot;??\ &quot;ج.م.‏&quot;_-;_-@_-"/>
      <alignment horizontal="center" vertical="center" textRotation="0" wrapText="0" indent="0" justifyLastLine="0" shrinkToFit="0" readingOrder="2"/>
    </dxf>
    <dxf>
      <numFmt numFmtId="0" formatCode="General"/>
      <alignment horizontal="center" vertical="center" textRotation="0" wrapText="0" indent="0" justifyLastLine="0" shrinkToFit="0" readingOrder="2"/>
    </dxf>
    <dxf>
      <numFmt numFmtId="0" formatCode="General"/>
      <alignment horizontal="center" vertical="center" textRotation="0" wrapText="0" indent="0" justifyLastLine="0" shrinkToFit="0" readingOrder="2"/>
    </dxf>
    <dxf>
      <numFmt numFmtId="0" formatCode="General"/>
      <alignment horizontal="center" vertical="center" textRotation="0" wrapText="0" indent="0" justifyLastLine="0" shrinkToFit="0" readingOrder="2"/>
    </dxf>
    <dxf>
      <alignment horizontal="center" vertical="center" textRotation="0" wrapText="0" indent="0" justifyLastLine="0" shrinkToFit="0" readingOrder="2"/>
    </dxf>
    <dxf>
      <numFmt numFmtId="0" formatCode="General"/>
      <alignment horizontal="center" vertical="center" textRotation="0" wrapText="0" indent="0" justifyLastLine="0" shrinkToFit="0" readingOrder="2"/>
    </dxf>
    <dxf>
      <numFmt numFmtId="1" formatCode="0"/>
      <alignment horizontal="center" vertical="center" textRotation="0" wrapText="0" indent="0" justifyLastLine="0" shrinkToFit="0" readingOrder="2"/>
    </dxf>
    <dxf>
      <numFmt numFmtId="164" formatCode="[$-2010000]yyyy/mm/dd;@"/>
      <alignment horizontal="center" vertical="center" textRotation="0" wrapText="0" indent="0" justifyLastLine="0" shrinkToFit="0" readingOrder="2"/>
    </dxf>
    <dxf>
      <numFmt numFmtId="164" formatCode="[$-2010000]yyyy/mm/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2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</dxf>
    <dxf>
      <numFmt numFmtId="1" formatCode="0"/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2010000]yyyy/mm/dd;@"/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yyyy"/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\ yyyy"/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2010000]yyyy/mm/dd;@"/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2010000]yyyy/mm/dd;@"/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2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2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2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2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2"/>
    </dxf>
    <dxf>
      <numFmt numFmtId="1" formatCode="0"/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#,##0.00\ &quot;ج.م.‏&quot;"/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2010000]yyyy/mm/dd;@"/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2010000]yyyy/mm/dd;@"/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2010000]yyyy/mm/dd;@"/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2010000]yyyy/mm/dd;@"/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FFC000"/>
          <bgColor rgb="FF000000"/>
        </patternFill>
      </fill>
    </dxf>
    <dxf>
      <numFmt numFmtId="164" formatCode="[$-2010000]yyyy/mm/dd;@"/>
      <alignment horizontal="center" vertical="center" textRotation="0" wrapText="0" indent="0" justifyLastLine="0" shrinkToFit="0" readingOrder="2"/>
    </dxf>
    <dxf>
      <numFmt numFmtId="164" formatCode="[$-2010000]yyyy/mm/dd;@"/>
      <alignment horizontal="center" vertical="center" textRotation="0" wrapText="0" indent="0" justifyLastLine="0" shrinkToFit="0" readingOrder="2"/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E2EFDA"/>
          <bgColor rgb="FFE2EFDA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70AD47"/>
        </top>
      </border>
    </dxf>
    <dxf>
      <font>
        <b/>
        <color rgb="FFFFFFFF"/>
      </font>
      <fill>
        <patternFill patternType="solid">
          <fgColor rgb="FF70AD47"/>
          <bgColor rgb="FF70AD47"/>
        </patternFill>
      </fill>
    </dxf>
    <dxf>
      <font>
        <color rgb="FF000000"/>
      </font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</dxfs>
  <tableStyles count="1" defaultTableStyle="TableStyleMedium2" defaultPivotStyle="PivotStyleLight16">
    <tableStyle name="TableStyleMedium7 2" pivot="0" count="7" xr9:uid="{00000000-0012-0000-FFFF-FFFF1B000000}">
      <tableStyleElement type="wholeTable" dxfId="84"/>
      <tableStyleElement type="headerRow" dxfId="83"/>
      <tableStyleElement type="totalRow" dxfId="82"/>
      <tableStyleElement type="firstColumn" dxfId="81"/>
      <tableStyleElement type="lastColumn" dxfId="80"/>
      <tableStyleElement type="firstRowStripe" dxfId="79"/>
      <tableStyleElement type="firstColumnStripe" dxfId="7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CA1998-B0CF-4923-9493-E0218EC45C4A}" name="Table1" displayName="Table1" ref="A1:AU508" totalsRowShown="0" headerRowDxfId="77" dataDxfId="76">
  <autoFilter ref="A1:AU508" xr:uid="{3BD9E404-D4BD-4194-BED3-4C383840D020}"/>
  <sortState xmlns:xlrd2="http://schemas.microsoft.com/office/spreadsheetml/2017/richdata2" ref="A2:AU508">
    <sortCondition sortBy="cellColor" ref="A1:A508" dxfId="75"/>
  </sortState>
  <tableColumns count="47">
    <tableColumn id="3" xr3:uid="{AAEF2C85-2466-474D-8ADA-7944BE38C7EA}" name="الرقم" dataDxfId="74"/>
    <tableColumn id="17" xr3:uid="{FD7BA43F-208B-4A02-B11E-BE5296E4C780}" name="الفئة الوظيفية" dataDxfId="73"/>
    <tableColumn id="1" xr3:uid="{BBB4E750-F770-4332-8344-B7814C3661DC}" name="م. البلد" dataDxfId="72"/>
    <tableColumn id="16" xr3:uid="{EBB30C5C-E279-438B-B02F-8BE1B2B13A0B}" name="البلد" dataDxfId="71"/>
    <tableColumn id="2" xr3:uid="{18795627-BC87-4743-A6AB-379980FEF168}" name="القسم" dataDxfId="70"/>
    <tableColumn id="11" xr3:uid="{2FC5BA5F-8C4A-4A81-BB42-E441664878F9}" name="م. القسم" dataDxfId="69"/>
    <tableColumn id="4" xr3:uid="{0596D787-73BA-476A-B548-B9FED8600DEE}" name="الاسم" dataDxfId="68"/>
    <tableColumn id="5" xr3:uid="{4B4C26B2-74C1-4416-B3B0-A9283BA0EB58}" name="م. المهنة" dataDxfId="67"/>
    <tableColumn id="12" xr3:uid="{BBA4F1BD-39B9-46AF-98B8-2A9432D38C11}" name="المهنة" dataDxfId="66"/>
    <tableColumn id="6" xr3:uid="{D9FAF6D2-2C4B-44C6-8503-B4292D4F0121}" name="م. الوظيفة" dataDxfId="65"/>
    <tableColumn id="13" xr3:uid="{009B8572-326B-4DF1-8494-9A745A82130E}" name="الوظيفة" dataDxfId="64"/>
    <tableColumn id="7" xr3:uid="{9047DAD7-09BD-49C8-BAEF-365A3E193357}" name="م. الدرجة" dataDxfId="63"/>
    <tableColumn id="28" xr3:uid="{E488EE2D-3F7E-4078-B127-3E25747D4337}" name="الدرجة" dataDxfId="62"/>
    <tableColumn id="14" xr3:uid="{3CC3885C-ABD5-44F3-A1E4-0D88FBF2B67F}" name="مسمى الدرجة" dataDxfId="61"/>
    <tableColumn id="8" xr3:uid="{60C5098B-AE82-4668-86CE-CE04C975C7EE}" name="تاريخ الميلاد" dataDxfId="60"/>
    <tableColumn id="9" xr3:uid="{EFFA544D-8D31-434D-A98E-4CEC39B552F9}" name="تاريخ التعيين" dataDxfId="59"/>
    <tableColumn id="35" xr3:uid="{D3CDDC2B-518D-477C-937A-4E301C468BDE}" name="تاريخ التثبيت" dataDxfId="58"/>
    <tableColumn id="10" xr3:uid="{8EC47641-35A8-4A80-AEA4-972989996772}" name="تاريخ الدرجة" dataDxfId="57"/>
    <tableColumn id="15" xr3:uid="{CA605B9F-CDD8-4D67-B023-423615CE5C57}" name="الأساسي" dataDxfId="56"/>
    <tableColumn id="37" xr3:uid="{9C38CBF9-94B9-4B20-B7AA-9F3C4BE35000}" name="الرقم التأميني" dataDxfId="55"/>
    <tableColumn id="36" xr3:uid="{25892865-9741-4BB0-ADC5-CA82EC541964}" name="الرقم القومي" dataDxfId="54"/>
    <tableColumn id="38" xr3:uid="{1718F323-3110-4861-B5E5-A6E5FE00DE64}" name="English Name" dataDxfId="53"/>
    <tableColumn id="39" xr3:uid="{B0567CFA-8B54-4491-B1DF-942B0550A27B}" name="الرقم السابق" dataDxfId="52"/>
    <tableColumn id="40" xr3:uid="{7397E030-0521-4739-8CEC-E54547CE6DDA}" name="الفئة المالية" dataDxfId="51"/>
    <tableColumn id="41" xr3:uid="{D5E1FB48-8C4C-428E-A0B0-0748742CB6C7}" name="سنة المؤهل" dataDxfId="50"/>
    <tableColumn id="18" xr3:uid="{F348006E-282B-465E-8152-C818A3576E97}" name="العمر الحالي" dataDxfId="49">
      <calculatedColumnFormula>DATEDIF(Table1[[#This Row],[تاريخ الميلاد]],TODAY(),"y")</calculatedColumnFormula>
    </tableColumn>
    <tableColumn id="19" xr3:uid="{41413017-3C75-4F9D-ACA7-9B5D72CB9B78}" name="العمر اليوم" dataDxfId="48">
      <calculatedColumnFormula>DATEDIF(Table1[[#This Row],[تاريخ الميلاد]],TODAY(),"y")&amp;" عام "&amp;DATEDIF(Table1[[#This Row],[تاريخ الميلاد]],TODAY(),"ym")&amp;"  شهر  "&amp;DATEDIF(Table1[[#This Row],[تاريخ الميلاد]],TODAY(),"md")&amp;"  يوم "</calculatedColumnFormula>
    </tableColumn>
    <tableColumn id="20" xr3:uid="{F61502DE-526A-42A7-8A39-87D4E5703F78}" name="مدة الخدمة" dataDxfId="47">
      <calculatedColumnFormula>IFERROR(DATEDIF(Table1[[#This Row],[تاريخ التعيين]],TODAY(),"y")&amp;"عام"&amp;DATEDIF(Table1[[#This Row],[تاريخ التعيين]],TODAY(),"ym")&amp;"  شهر  "&amp;DATEDIF(Table1[[#This Row],[تاريخ التعيين]],TODAY(),"md")&amp;"  يوم ","")</calculatedColumnFormula>
    </tableColumn>
    <tableColumn id="21" xr3:uid="{2041DF2B-A5F8-4018-925C-1F744C512F5E}" name="تاريخ بلوغ 60 " dataDxfId="46">
      <calculatedColumnFormula>DATE(YEAR(Table1[[#This Row],[تاريخ الميلاد]])+60,MONTH(Table1[[#This Row],[تاريخ الميلاد]]),DAY(Table1[[#This Row],[تاريخ الميلاد]]))</calculatedColumnFormula>
    </tableColumn>
    <tableColumn id="22" xr3:uid="{0B0F97BB-8E28-4126-8FB0-8816E610B419}" name="معاش 12/31" dataDxfId="45">
      <calculatedColumnFormula>DATE(YEAR(Table1[[#This Row],[معاش 01/01]])-1,MONTH(Table1[[#This Row],[تاريخ بلوغ 60 ]]),DAY(Table1[[#This Row],[تاريخ بلوغ 60 ]]))</calculatedColumnFormula>
    </tableColumn>
    <tableColumn id="23" xr3:uid="{FEA9FD1C-E7E2-4FF0-B309-92704F7DB8F9}" name="معاش 01/01" dataDxfId="44">
      <calculatedColumnFormula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calculatedColumnFormula>
    </tableColumn>
    <tableColumn id="24" xr3:uid="{EFAD51DE-C00A-46C6-9608-8F7B6C3EDCE8}" name="الجنس" dataDxfId="43">
      <calculatedColumnFormula>IFERROR(IF(ISODD(MID(Table1[[#This Row],[الرقم القومي]],13,1)),"ذكر","انثي"),"")</calculatedColumnFormula>
    </tableColumn>
    <tableColumn id="30" xr3:uid="{D6376165-1D68-490C-9B7F-4BA53B25CB55}" name="مكان الميلاد" dataDxfId="42"/>
    <tableColumn id="26" xr3:uid="{555606E2-86E3-40F0-9160-CDE27FA29D76}" name="الشهر=1" dataDxfId="41">
      <calculatedColumnFormula>IF(MONTH(Table1[[#This Row],[تاريخ بلوغ 60 ]])&lt;&gt;1,1,0)</calculatedColumnFormula>
    </tableColumn>
    <tableColumn id="27" xr3:uid="{BE2D08F2-3375-45B4-A643-E68397920A9D}" name="اليوم=1" dataDxfId="40">
      <calculatedColumnFormula>IF(DAY(Table1[[#This Row],[تاريخ بلوغ 60 ]])&lt;&gt;1,1,0)</calculatedColumnFormula>
    </tableColumn>
    <tableColumn id="56" xr3:uid="{2C9D567B-CC44-4B3F-9EAD-B464086EEB64}" name="محل الإقامة" dataDxfId="39"/>
    <tableColumn id="57" xr3:uid="{582C835A-C05F-498D-B045-1C2D1C7BA553}" name="الحي" dataDxfId="38"/>
    <tableColumn id="47" xr3:uid="{ED329603-967A-4209-8122-6E698E556AC4}" name="العنوان" dataDxfId="37"/>
    <tableColumn id="43" xr3:uid="{F69C4883-9008-4BCB-AFF9-9643B07DD99E}" name="رقم التليفون" dataDxfId="36"/>
    <tableColumn id="44" xr3:uid="{04CDF7E4-978B-4512-A045-181EBD27E261}" name="كود  مخاطر" dataDxfId="35"/>
    <tableColumn id="45" xr3:uid="{DED24209-6E73-4137-A4BD-756B8F8EA871}" name="بدل المخاطر" dataDxfId="34"/>
    <tableColumn id="48" xr3:uid="{BE6B8E8D-23D9-4124-BE1E-2B30E5CF2B79}" name="بدل مخاطر" dataDxfId="33" dataCellStyle="Currency"/>
    <tableColumn id="49" xr3:uid="{3FFE9B5D-F353-4496-B57B-296920F89F5F}" name="نسبة بدل المخاطر %" dataDxfId="32"/>
    <tableColumn id="50" xr3:uid="{1EA08BC7-EDEE-4B48-AFDC-410C87AA9992}" name="كود اجتماعى" dataDxfId="31"/>
    <tableColumn id="51" xr3:uid="{FBBA6E07-2335-45B1-B969-173F671148EE}" name="حالة اجتماعية" dataDxfId="30"/>
    <tableColumn id="52" xr3:uid="{EC698A15-6B55-4153-812F-1E2D200A0C88}" name="علاوة اجتماعية" dataDxfId="29" dataCellStyle="Currency"/>
    <tableColumn id="54" xr3:uid="{60BC50B7-D940-4142-A27C-1C47CE9B3365}" name="الدرجة2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7C2E56-9210-4D79-A791-38B559E3775C}" name="مهن" displayName="مهن" ref="A2:F1147" totalsRowShown="0" headerRowDxfId="1" dataDxfId="27">
  <autoFilter ref="A2:F1147" xr:uid="{5B4B4822-76B9-48A2-BCBB-BF7D9AF60376}"/>
  <sortState xmlns:xlrd2="http://schemas.microsoft.com/office/spreadsheetml/2017/richdata2" ref="A3:F89">
    <sortCondition sortBy="cellColor" ref="D2:D89" dxfId="26"/>
  </sortState>
  <tableColumns count="6">
    <tableColumn id="1" xr3:uid="{D3C731F9-0DB5-42DE-B5F7-B51304900D98}" name="جمع" dataDxfId="25">
      <calculatedColumnFormula>مهن[[#This Row],[الدرجة]]&amp;مهن[[#This Row],[المهنة]]</calculatedColumnFormula>
    </tableColumn>
    <tableColumn id="2" xr3:uid="{A62BA409-F735-48D9-ABFA-8678DA0FD549}" name="الدرجة" dataDxfId="24"/>
    <tableColumn id="3" xr3:uid="{FE13A343-94B9-4903-B00B-05B1B5F194A6}" name="مسمي الدرجة" dataDxfId="23"/>
    <tableColumn id="4" xr3:uid="{19852807-C0BB-4A09-B39E-C7E210C1B264}" name="م -- المهنة" dataDxfId="22"/>
    <tableColumn id="5" xr3:uid="{7F27DFE3-F78C-4431-A18C-9191AE679659}" name="المهنة" dataDxfId="21"/>
    <tableColumn id="6" xr3:uid="{033F63BC-64F1-4BF6-87BA-C06A52D114F7}" name="مسمي المهنة حسب الدرجة" dataDxf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2A4254-9E1E-4D50-99AB-19C0F8BFAEE7}" name="Table5" displayName="Table5" ref="H1:I16" totalsRowShown="0" headerRowDxfId="0" headerRowBorderDxfId="19" tableBorderDxfId="18" totalsRowBorderDxfId="17">
  <autoFilter ref="H1:I16" xr:uid="{0CA9FE84-083F-4E65-A20B-D3DA4BF22CD2}"/>
  <sortState xmlns:xlrd2="http://schemas.microsoft.com/office/spreadsheetml/2017/richdata2" ref="H2:I16">
    <sortCondition ref="H1:H16"/>
  </sortState>
  <tableColumns count="2">
    <tableColumn id="1" xr3:uid="{FEFA1D6C-8494-4C12-9AA2-3F667ECE551A}" name="الدرجة" dataDxfId="16"/>
    <tableColumn id="2" xr3:uid="{66F902D5-D165-47C2-952D-8949A07DF34E}" name="مسمي الدرجة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F951E31-8E8C-4704-858D-C08AA0E5BDDF}" name="Table6" displayName="Table6" ref="K1:L17" totalsRowShown="0" headerRowDxfId="14" dataDxfId="12" headerRowBorderDxfId="13" tableBorderDxfId="11" totalsRowBorderDxfId="10">
  <autoFilter ref="K1:L17" xr:uid="{B97261EE-199D-4FBF-9F37-B95BEFD85D1F}"/>
  <tableColumns count="2">
    <tableColumn id="2" xr3:uid="{61F60A88-D36F-44D1-A938-25F0DB754F5C}" name="Column1" dataDxfId="9"/>
    <tableColumn id="1" xr3:uid="{D500E78C-5CBF-4E40-9210-18E6C62EEDB9}" name="الصيادلة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81EB036-02BA-41C1-9583-AC75B81D5961}" name="ميلاد" displayName="ميلاد" ref="K25:L56" totalsRowShown="0" headerRowDxfId="7" headerRowBorderDxfId="6" tableBorderDxfId="5" totalsRowBorderDxfId="4">
  <autoFilter ref="K25:L56" xr:uid="{E7245D8F-8B78-4875-8E46-1FE2F63E1A8E}"/>
  <tableColumns count="2">
    <tableColumn id="1" xr3:uid="{385B7F3C-02C6-4883-A5B0-9FF2C2BFE248}" name="المحافظة" dataDxfId="3"/>
    <tableColumn id="2" xr3:uid="{868A1DD5-7088-4085-A41E-77EB0ED8B317}" name="الكود" dataDxfId="2"/>
  </tableColumns>
  <tableStyleInfo name="TableStyleMedium7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ورقة1"/>
  <dimension ref="A1:AX508"/>
  <sheetViews>
    <sheetView rightToLeft="1" workbookViewId="0">
      <pane xSplit="7" ySplit="1" topLeftCell="AB2" activePane="bottomRight" state="frozen"/>
      <selection pane="topRight" activeCell="H1" sqref="H1"/>
      <selection pane="bottomLeft" activeCell="A2" sqref="A2"/>
      <selection pane="bottomRight" activeCell="B33" sqref="B33"/>
    </sheetView>
  </sheetViews>
  <sheetFormatPr defaultColWidth="9.125" defaultRowHeight="14.25" x14ac:dyDescent="0.2"/>
  <cols>
    <col min="1" max="1" width="9.25" style="4" bestFit="1" customWidth="1"/>
    <col min="2" max="2" width="16.25" style="4" bestFit="1" customWidth="1"/>
    <col min="3" max="3" width="11" style="4" bestFit="1" customWidth="1"/>
    <col min="4" max="4" width="9" style="4" customWidth="1"/>
    <col min="5" max="5" width="10.25" style="4" bestFit="1" customWidth="1"/>
    <col min="6" max="6" width="12.25" style="4" bestFit="1" customWidth="1"/>
    <col min="7" max="7" width="32" style="2" bestFit="1" customWidth="1"/>
    <col min="8" max="8" width="12.125" style="2" bestFit="1" customWidth="1"/>
    <col min="9" max="9" width="29.375" style="2" bestFit="1" customWidth="1"/>
    <col min="10" max="10" width="13.375" style="2" bestFit="1" customWidth="1"/>
    <col min="11" max="11" width="21.625" style="2" bestFit="1" customWidth="1"/>
    <col min="12" max="12" width="12.75" style="2" bestFit="1" customWidth="1"/>
    <col min="13" max="13" width="10.75" style="2" bestFit="1" customWidth="1"/>
    <col min="14" max="14" width="29.375" style="2" bestFit="1" customWidth="1"/>
    <col min="15" max="15" width="14.875" style="2" bestFit="1" customWidth="1"/>
    <col min="16" max="16" width="15.125" style="2" bestFit="1" customWidth="1"/>
    <col min="17" max="17" width="15.625" style="2" bestFit="1" customWidth="1"/>
    <col min="18" max="18" width="15.125" style="62" bestFit="1" customWidth="1"/>
    <col min="19" max="19" width="15.125" style="62" customWidth="1"/>
    <col min="20" max="20" width="15" style="4" bestFit="1" customWidth="1"/>
    <col min="21" max="21" width="19.75" style="62" customWidth="1"/>
    <col min="22" max="22" width="46" style="2" bestFit="1" customWidth="1"/>
    <col min="23" max="23" width="14.75" style="2" bestFit="1" customWidth="1"/>
    <col min="24" max="24" width="19.375" style="4" bestFit="1" customWidth="1"/>
    <col min="25" max="26" width="14.375" style="4" bestFit="1" customWidth="1"/>
    <col min="27" max="27" width="19.375" style="4" bestFit="1" customWidth="1"/>
    <col min="28" max="28" width="18.625" style="2" bestFit="1" customWidth="1"/>
    <col min="29" max="29" width="16.625" style="21" bestFit="1" customWidth="1"/>
    <col min="30" max="30" width="15.25" style="12" bestFit="1" customWidth="1"/>
    <col min="31" max="31" width="15.25" style="4" bestFit="1" customWidth="1"/>
    <col min="32" max="32" width="10.25" style="12" bestFit="1" customWidth="1"/>
    <col min="33" max="33" width="16.125" style="4" customWidth="1"/>
    <col min="34" max="34" width="12.25" style="16" hidden="1" customWidth="1"/>
    <col min="35" max="35" width="11.375" style="20" hidden="1" customWidth="1"/>
    <col min="36" max="36" width="12.75" style="75" customWidth="1"/>
    <col min="38" max="38" width="70.125" style="2" bestFit="1" customWidth="1"/>
    <col min="39" max="40" width="14.375" style="2" customWidth="1"/>
    <col min="41" max="41" width="14.375" style="4" customWidth="1"/>
    <col min="42" max="42" width="14.375" style="74" customWidth="1"/>
    <col min="43" max="43" width="18" style="4" bestFit="1" customWidth="1"/>
    <col min="44" max="44" width="14.375" style="4" customWidth="1"/>
    <col min="45" max="45" width="15.875" style="4" bestFit="1" customWidth="1"/>
    <col min="46" max="46" width="12.375" style="72" customWidth="1"/>
    <col min="51" max="16384" width="9.125" style="4"/>
  </cols>
  <sheetData>
    <row r="1" spans="1:50" ht="20.25" thickBot="1" x14ac:dyDescent="0.25">
      <c r="A1" s="2" t="s">
        <v>450</v>
      </c>
      <c r="B1" s="2" t="s">
        <v>466</v>
      </c>
      <c r="C1" s="2" t="s">
        <v>464</v>
      </c>
      <c r="D1" s="2" t="s">
        <v>448</v>
      </c>
      <c r="E1" s="2" t="s">
        <v>449</v>
      </c>
      <c r="F1" s="2" t="s">
        <v>458</v>
      </c>
      <c r="G1" s="2" t="s">
        <v>451</v>
      </c>
      <c r="H1" s="2" t="s">
        <v>455</v>
      </c>
      <c r="I1" s="2" t="s">
        <v>459</v>
      </c>
      <c r="J1" s="2" t="s">
        <v>456</v>
      </c>
      <c r="K1" s="2" t="s">
        <v>460</v>
      </c>
      <c r="L1" s="2" t="s">
        <v>485</v>
      </c>
      <c r="M1" s="2" t="s">
        <v>457</v>
      </c>
      <c r="N1" s="2" t="s">
        <v>461</v>
      </c>
      <c r="O1" s="62" t="s">
        <v>452</v>
      </c>
      <c r="P1" s="62" t="s">
        <v>453</v>
      </c>
      <c r="Q1" s="62" t="s">
        <v>1572</v>
      </c>
      <c r="R1" s="62" t="s">
        <v>454</v>
      </c>
      <c r="S1" s="21" t="s">
        <v>462</v>
      </c>
      <c r="T1" s="63" t="s">
        <v>1573</v>
      </c>
      <c r="U1" s="63" t="s">
        <v>1574</v>
      </c>
      <c r="V1" s="64" t="s">
        <v>1577</v>
      </c>
      <c r="W1" s="64" t="s">
        <v>1578</v>
      </c>
      <c r="X1" s="64" t="s">
        <v>1579</v>
      </c>
      <c r="Y1" s="64" t="s">
        <v>1580</v>
      </c>
      <c r="Z1" s="65" t="s">
        <v>475</v>
      </c>
      <c r="AA1" s="6" t="s">
        <v>476</v>
      </c>
      <c r="AB1" s="9" t="s">
        <v>477</v>
      </c>
      <c r="AC1" s="9" t="s">
        <v>478</v>
      </c>
      <c r="AD1" s="13" t="s">
        <v>479</v>
      </c>
      <c r="AE1" s="17" t="s">
        <v>480</v>
      </c>
      <c r="AF1" s="9" t="s">
        <v>481</v>
      </c>
      <c r="AG1" s="6" t="s">
        <v>482</v>
      </c>
      <c r="AH1" s="65" t="s">
        <v>483</v>
      </c>
      <c r="AI1" s="65" t="s">
        <v>484</v>
      </c>
      <c r="AJ1" s="4" t="s">
        <v>1575</v>
      </c>
      <c r="AK1" s="4" t="s">
        <v>2632</v>
      </c>
      <c r="AL1" s="62" t="s">
        <v>1576</v>
      </c>
      <c r="AM1" s="66" t="s">
        <v>2625</v>
      </c>
      <c r="AN1" s="67" t="s">
        <v>2626</v>
      </c>
      <c r="AO1" s="68" t="s">
        <v>2627</v>
      </c>
      <c r="AP1" s="73" t="s">
        <v>2628</v>
      </c>
      <c r="AQ1" s="68" t="s">
        <v>3201</v>
      </c>
      <c r="AR1" s="68" t="s">
        <v>2629</v>
      </c>
      <c r="AS1" s="68" t="s">
        <v>2630</v>
      </c>
      <c r="AT1" s="69" t="s">
        <v>2631</v>
      </c>
      <c r="AU1" s="2" t="s">
        <v>3202</v>
      </c>
      <c r="AV1" s="4"/>
      <c r="AW1" s="4"/>
      <c r="AX1" s="4"/>
    </row>
    <row r="2" spans="1:50" ht="15.75" thickTop="1" x14ac:dyDescent="0.2">
      <c r="A2" s="56">
        <v>10409</v>
      </c>
      <c r="B2" s="1" t="s">
        <v>467</v>
      </c>
      <c r="C2" s="3">
        <v>1</v>
      </c>
      <c r="D2" s="3" t="s">
        <v>465</v>
      </c>
      <c r="E2" s="3">
        <v>3</v>
      </c>
      <c r="F2" s="3" t="s">
        <v>472</v>
      </c>
      <c r="G2" s="7" t="s">
        <v>37</v>
      </c>
      <c r="H2" s="3">
        <v>2</v>
      </c>
      <c r="I2" s="3" t="s">
        <v>596</v>
      </c>
      <c r="J2" s="3">
        <v>4</v>
      </c>
      <c r="K2" s="3" t="s">
        <v>1524</v>
      </c>
      <c r="L2" s="3">
        <v>4</v>
      </c>
      <c r="M2" s="3" t="s">
        <v>498</v>
      </c>
      <c r="N2" s="3" t="s">
        <v>600</v>
      </c>
      <c r="O2" s="10">
        <v>31229</v>
      </c>
      <c r="P2" s="10">
        <v>42185</v>
      </c>
      <c r="Q2" s="10"/>
      <c r="R2" s="10">
        <v>45291</v>
      </c>
      <c r="S2" s="23">
        <v>5477.74</v>
      </c>
      <c r="T2" s="71">
        <v>64016209</v>
      </c>
      <c r="U2" s="71">
        <v>28507011318871</v>
      </c>
      <c r="V2" s="4" t="s">
        <v>1684</v>
      </c>
      <c r="W2" s="4"/>
      <c r="X2" s="4" t="s">
        <v>1583</v>
      </c>
      <c r="Y2" s="4">
        <v>2020</v>
      </c>
      <c r="Z2" s="71">
        <f ca="1">DATEDIF(Table1[[#This Row],[تاريخ الميلاد]],TODAY(),"y")</f>
        <v>41</v>
      </c>
      <c r="AA2" s="70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41 عام 1  شهر  19  يوم </v>
      </c>
      <c r="AB2" s="78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11عام1  شهر  21  يوم </v>
      </c>
      <c r="AC2" s="78">
        <f>DATE(YEAR(Table1[[#This Row],[تاريخ الميلاد]])+60,MONTH(Table1[[#This Row],[تاريخ الميلاد]]),DAY(Table1[[#This Row],[تاريخ الميلاد]]))</f>
        <v>53144</v>
      </c>
      <c r="AD2" s="79">
        <f>DATE(YEAR(Table1[[#This Row],[معاش 01/01]])-1,MONTH(Table1[[#This Row],[تاريخ بلوغ 60 ]]),DAY(Table1[[#This Row],[تاريخ بلوغ 60 ]]))</f>
        <v>53144</v>
      </c>
      <c r="AE2" s="80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53509</v>
      </c>
      <c r="AF2" s="78" t="str">
        <f>IFERROR(IF(ISODD(MID(Table1[[#This Row],[الرقم القومي]],13,1)),"ذكر","انثي"),"")</f>
        <v>ذكر</v>
      </c>
      <c r="AG2" s="70" t="s">
        <v>2610</v>
      </c>
      <c r="AH2" s="71">
        <f>IF(MONTH(Table1[[#This Row],[تاريخ بلوغ 60 ]])&lt;&gt;1,1,0)</f>
        <v>1</v>
      </c>
      <c r="AI2" s="71">
        <f>IF(DAY(Table1[[#This Row],[تاريخ بلوغ 60 ]])&lt;&gt;1,1,0)</f>
        <v>0</v>
      </c>
      <c r="AJ2" s="4" t="s">
        <v>465</v>
      </c>
      <c r="AK2" s="4" t="s">
        <v>2636</v>
      </c>
      <c r="AL2" s="77" t="s">
        <v>2692</v>
      </c>
      <c r="AM2" s="62" t="s">
        <v>2691</v>
      </c>
      <c r="AN2" s="2">
        <v>2</v>
      </c>
      <c r="AO2" s="4" t="s">
        <v>2641</v>
      </c>
      <c r="AP2" s="74">
        <v>974.36</v>
      </c>
      <c r="AQ2" s="4">
        <v>18.75</v>
      </c>
      <c r="AR2" s="4">
        <v>3</v>
      </c>
      <c r="AS2" s="4" t="s">
        <v>2668</v>
      </c>
      <c r="AT2" s="72">
        <v>6</v>
      </c>
      <c r="AU2" s="2">
        <v>4</v>
      </c>
      <c r="AV2" s="4"/>
      <c r="AW2" s="4"/>
      <c r="AX2" s="4"/>
    </row>
    <row r="3" spans="1:50" ht="15" x14ac:dyDescent="0.2">
      <c r="A3" s="56">
        <v>10417</v>
      </c>
      <c r="B3" s="1" t="s">
        <v>467</v>
      </c>
      <c r="C3" s="3">
        <v>1</v>
      </c>
      <c r="D3" s="3" t="s">
        <v>465</v>
      </c>
      <c r="E3" s="3">
        <v>3</v>
      </c>
      <c r="F3" s="3" t="s">
        <v>472</v>
      </c>
      <c r="G3" s="7" t="s">
        <v>38</v>
      </c>
      <c r="H3" s="3">
        <v>2</v>
      </c>
      <c r="I3" s="3" t="s">
        <v>596</v>
      </c>
      <c r="J3" s="3">
        <v>4</v>
      </c>
      <c r="K3" s="3" t="s">
        <v>1524</v>
      </c>
      <c r="L3" s="3">
        <v>4</v>
      </c>
      <c r="M3" s="3" t="s">
        <v>498</v>
      </c>
      <c r="N3" s="3" t="s">
        <v>600</v>
      </c>
      <c r="O3" s="10">
        <v>31076</v>
      </c>
      <c r="P3" s="10">
        <v>42199</v>
      </c>
      <c r="Q3" s="10"/>
      <c r="R3" s="10">
        <v>45291</v>
      </c>
      <c r="S3" s="23">
        <v>5065.6099999999997</v>
      </c>
      <c r="T3" s="3">
        <v>54453210</v>
      </c>
      <c r="U3" s="3">
        <v>28501290300031</v>
      </c>
      <c r="V3" s="4" t="s">
        <v>1685</v>
      </c>
      <c r="W3" s="4">
        <v>9362</v>
      </c>
      <c r="X3" s="4" t="s">
        <v>1583</v>
      </c>
      <c r="Y3" s="4">
        <v>2009</v>
      </c>
      <c r="Z3" s="3">
        <f ca="1">DATEDIF(Table1[[#This Row],[تاريخ الميلاد]],TODAY(),"y")</f>
        <v>41</v>
      </c>
      <c r="AA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41 عام 6  شهر  22  يوم </v>
      </c>
      <c r="AB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11عام1  شهر  6  يوم </v>
      </c>
      <c r="AC3" s="10">
        <f>DATE(YEAR(Table1[[#This Row],[تاريخ الميلاد]])+60,MONTH(Table1[[#This Row],[تاريخ الميلاد]]),DAY(Table1[[#This Row],[تاريخ الميلاد]]))</f>
        <v>52991</v>
      </c>
      <c r="AD3" s="14">
        <f>DATE(YEAR(Table1[[#This Row],[معاش 01/01]])-1,MONTH(Table1[[#This Row],[تاريخ بلوغ 60 ]]),DAY(Table1[[#This Row],[تاريخ بلوغ 60 ]]))</f>
        <v>52991</v>
      </c>
      <c r="AE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53356</v>
      </c>
      <c r="AF3" s="10" t="str">
        <f>IFERROR(IF(ISODD(MID(Table1[[#This Row],[الرقم القومي]],13,1)),"ذكر","انثي"),"")</f>
        <v>ذكر</v>
      </c>
      <c r="AG3" s="70" t="s">
        <v>2606</v>
      </c>
      <c r="AH3" s="3">
        <f>IF(MONTH(Table1[[#This Row],[تاريخ بلوغ 60 ]])&lt;&gt;1,1,0)</f>
        <v>0</v>
      </c>
      <c r="AI3" s="3">
        <f>IF(DAY(Table1[[#This Row],[تاريخ بلوغ 60 ]])&lt;&gt;1,1,0)</f>
        <v>1</v>
      </c>
      <c r="AJ3" s="4" t="s">
        <v>465</v>
      </c>
      <c r="AK3" s="4" t="s">
        <v>2638</v>
      </c>
      <c r="AL3" s="77" t="s">
        <v>2694</v>
      </c>
      <c r="AM3" s="62" t="s">
        <v>2693</v>
      </c>
      <c r="AN3" s="2">
        <v>2</v>
      </c>
      <c r="AO3" s="4" t="s">
        <v>2641</v>
      </c>
      <c r="AP3" s="74">
        <v>899.25</v>
      </c>
      <c r="AQ3" s="4">
        <v>18.75</v>
      </c>
      <c r="AR3" s="4">
        <v>3</v>
      </c>
      <c r="AS3" s="4" t="s">
        <v>2668</v>
      </c>
      <c r="AT3" s="72">
        <v>6</v>
      </c>
      <c r="AU3" s="2">
        <v>4</v>
      </c>
      <c r="AV3" s="4"/>
      <c r="AW3" s="4"/>
      <c r="AX3" s="4"/>
    </row>
    <row r="4" spans="1:50" ht="15" x14ac:dyDescent="0.2">
      <c r="A4" s="56">
        <v>10532</v>
      </c>
      <c r="B4" s="1" t="s">
        <v>467</v>
      </c>
      <c r="C4" s="3">
        <v>1</v>
      </c>
      <c r="D4" s="3" t="s">
        <v>465</v>
      </c>
      <c r="E4" s="3">
        <v>3</v>
      </c>
      <c r="F4" s="3" t="s">
        <v>472</v>
      </c>
      <c r="G4" s="7" t="s">
        <v>1697</v>
      </c>
      <c r="H4" s="3">
        <v>2</v>
      </c>
      <c r="I4" s="3" t="s">
        <v>596</v>
      </c>
      <c r="J4" s="3">
        <v>4</v>
      </c>
      <c r="K4" s="3" t="s">
        <v>1524</v>
      </c>
      <c r="L4" s="3">
        <v>4</v>
      </c>
      <c r="M4" s="3" t="s">
        <v>498</v>
      </c>
      <c r="N4" s="3" t="s">
        <v>600</v>
      </c>
      <c r="O4" s="10">
        <v>31982</v>
      </c>
      <c r="P4" s="10">
        <v>42420</v>
      </c>
      <c r="Q4" s="10"/>
      <c r="R4" s="10">
        <v>46022</v>
      </c>
      <c r="S4" s="23">
        <v>5183.03</v>
      </c>
      <c r="T4" s="3">
        <v>17250557</v>
      </c>
      <c r="U4" s="3">
        <v>28707240300135</v>
      </c>
      <c r="V4" s="4" t="s">
        <v>1698</v>
      </c>
      <c r="W4" s="4"/>
      <c r="X4" s="4" t="s">
        <v>1583</v>
      </c>
      <c r="Y4" s="4">
        <v>2021</v>
      </c>
      <c r="Z4" s="3">
        <f ca="1">DATEDIF(Table1[[#This Row],[تاريخ الميلاد]],TODAY(),"y")</f>
        <v>39</v>
      </c>
      <c r="AA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39 عام 0  شهر  27  يوم </v>
      </c>
      <c r="AB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10عام6  شهر  0  يوم </v>
      </c>
      <c r="AC4" s="10">
        <f>DATE(YEAR(Table1[[#This Row],[تاريخ الميلاد]])+60,MONTH(Table1[[#This Row],[تاريخ الميلاد]]),DAY(Table1[[#This Row],[تاريخ الميلاد]]))</f>
        <v>53897</v>
      </c>
      <c r="AD4" s="14">
        <f>DATE(YEAR(Table1[[#This Row],[معاش 01/01]])-1,MONTH(Table1[[#This Row],[تاريخ بلوغ 60 ]]),DAY(Table1[[#This Row],[تاريخ بلوغ 60 ]]))</f>
        <v>53897</v>
      </c>
      <c r="AE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54263</v>
      </c>
      <c r="AF4" s="10" t="str">
        <f>IFERROR(IF(ISODD(MID(Table1[[#This Row],[الرقم القومي]],13,1)),"ذكر","انثي"),"")</f>
        <v>ذكر</v>
      </c>
      <c r="AG4" s="70" t="s">
        <v>2606</v>
      </c>
      <c r="AH4" s="3">
        <f>IF(MONTH(Table1[[#This Row],[تاريخ بلوغ 60 ]])&lt;&gt;1,1,0)</f>
        <v>1</v>
      </c>
      <c r="AI4" s="3">
        <f>IF(DAY(Table1[[#This Row],[تاريخ بلوغ 60 ]])&lt;&gt;1,1,0)</f>
        <v>1</v>
      </c>
      <c r="AJ4" s="4" t="s">
        <v>465</v>
      </c>
      <c r="AK4" s="4">
        <v>0</v>
      </c>
      <c r="AL4" s="77" t="s">
        <v>2703</v>
      </c>
      <c r="AM4" s="62" t="s">
        <v>2702</v>
      </c>
      <c r="AN4" s="2">
        <v>2</v>
      </c>
      <c r="AO4" s="4" t="s">
        <v>2641</v>
      </c>
      <c r="AP4" s="74">
        <v>923.77</v>
      </c>
      <c r="AQ4" s="4">
        <v>18.75</v>
      </c>
      <c r="AR4" s="4">
        <v>2</v>
      </c>
      <c r="AS4" s="4" t="s">
        <v>2696</v>
      </c>
      <c r="AT4" s="72">
        <v>4</v>
      </c>
      <c r="AU4" s="2">
        <v>4</v>
      </c>
      <c r="AV4" s="4"/>
      <c r="AW4" s="4"/>
      <c r="AX4" s="4"/>
    </row>
    <row r="5" spans="1:50" ht="15" x14ac:dyDescent="0.2">
      <c r="A5" s="56">
        <v>10710</v>
      </c>
      <c r="B5" s="1" t="s">
        <v>467</v>
      </c>
      <c r="C5" s="3">
        <v>1</v>
      </c>
      <c r="D5" s="3" t="s">
        <v>465</v>
      </c>
      <c r="E5" s="3">
        <v>3</v>
      </c>
      <c r="F5" s="3" t="s">
        <v>472</v>
      </c>
      <c r="G5" s="7" t="s">
        <v>55</v>
      </c>
      <c r="H5" s="3">
        <v>5</v>
      </c>
      <c r="I5" s="3" t="s">
        <v>621</v>
      </c>
      <c r="J5" s="3">
        <v>6</v>
      </c>
      <c r="K5" s="3" t="s">
        <v>1525</v>
      </c>
      <c r="L5" s="3">
        <v>5</v>
      </c>
      <c r="M5" s="3" t="s">
        <v>500</v>
      </c>
      <c r="N5" s="3" t="s">
        <v>626</v>
      </c>
      <c r="O5" s="10">
        <v>33758</v>
      </c>
      <c r="P5" s="10">
        <v>43313</v>
      </c>
      <c r="Q5" s="10"/>
      <c r="R5" s="10">
        <v>44926</v>
      </c>
      <c r="S5" s="23">
        <v>3890.63</v>
      </c>
      <c r="T5" s="3">
        <v>71095541</v>
      </c>
      <c r="U5" s="3">
        <v>29206038800279</v>
      </c>
      <c r="V5" s="4" t="s">
        <v>1720</v>
      </c>
      <c r="W5" s="4"/>
      <c r="X5" s="4" t="s">
        <v>1583</v>
      </c>
      <c r="Y5" s="4">
        <v>2021</v>
      </c>
      <c r="Z5" s="3">
        <f ca="1">DATEDIF(Table1[[#This Row],[تاريخ الميلاد]],TODAY(),"y")</f>
        <v>34</v>
      </c>
      <c r="AA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34 عام 2  شهر  17  يوم </v>
      </c>
      <c r="AB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8عام0  شهر  19  يوم </v>
      </c>
      <c r="AC5" s="10">
        <f>DATE(YEAR(Table1[[#This Row],[تاريخ الميلاد]])+60,MONTH(Table1[[#This Row],[تاريخ الميلاد]]),DAY(Table1[[#This Row],[تاريخ الميلاد]]))</f>
        <v>55673</v>
      </c>
      <c r="AD5" s="14">
        <f>DATE(YEAR(Table1[[#This Row],[معاش 01/01]])-1,MONTH(Table1[[#This Row],[تاريخ بلوغ 60 ]]),DAY(Table1[[#This Row],[تاريخ بلوغ 60 ]]))</f>
        <v>55673</v>
      </c>
      <c r="AE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56038</v>
      </c>
      <c r="AF5" s="10" t="str">
        <f>IFERROR(IF(ISODD(MID(Table1[[#This Row],[الرقم القومي]],13,1)),"ذكر","انثي"),"")</f>
        <v>ذكر</v>
      </c>
      <c r="AG5" s="70"/>
      <c r="AH5" s="3">
        <f>IF(MONTH(Table1[[#This Row],[تاريخ بلوغ 60 ]])&lt;&gt;1,1,0)</f>
        <v>1</v>
      </c>
      <c r="AI5" s="3">
        <f>IF(DAY(Table1[[#This Row],[تاريخ بلوغ 60 ]])&lt;&gt;1,1,0)</f>
        <v>1</v>
      </c>
      <c r="AJ5" s="4" t="s">
        <v>1719</v>
      </c>
      <c r="AK5" s="4" t="s">
        <v>2713</v>
      </c>
      <c r="AL5" s="77" t="s">
        <v>2714</v>
      </c>
      <c r="AM5" s="62" t="s">
        <v>2712</v>
      </c>
      <c r="AN5" s="2">
        <v>2</v>
      </c>
      <c r="AO5" s="4" t="s">
        <v>2641</v>
      </c>
      <c r="AP5" s="74">
        <v>688.78</v>
      </c>
      <c r="AQ5" s="4">
        <v>18.75</v>
      </c>
      <c r="AR5" s="4">
        <v>3</v>
      </c>
      <c r="AS5" s="4" t="s">
        <v>2668</v>
      </c>
      <c r="AT5" s="72">
        <v>6</v>
      </c>
      <c r="AU5" s="2">
        <v>5</v>
      </c>
      <c r="AV5" s="4"/>
      <c r="AW5" s="4"/>
      <c r="AX5" s="4"/>
    </row>
    <row r="6" spans="1:50" ht="15" x14ac:dyDescent="0.2">
      <c r="A6" s="56">
        <v>23700</v>
      </c>
      <c r="B6" s="1" t="s">
        <v>468</v>
      </c>
      <c r="C6" s="3">
        <v>1</v>
      </c>
      <c r="D6" s="3" t="s">
        <v>465</v>
      </c>
      <c r="E6" s="3">
        <v>21</v>
      </c>
      <c r="F6" s="3" t="s">
        <v>474</v>
      </c>
      <c r="G6" s="7" t="s">
        <v>71</v>
      </c>
      <c r="H6" s="3">
        <v>225</v>
      </c>
      <c r="I6" s="3" t="s">
        <v>1551</v>
      </c>
      <c r="J6" s="3">
        <v>18</v>
      </c>
      <c r="K6" s="3" t="s">
        <v>1529</v>
      </c>
      <c r="L6" s="3">
        <v>2</v>
      </c>
      <c r="M6" s="3" t="s">
        <v>493</v>
      </c>
      <c r="N6" s="3" t="s">
        <v>776</v>
      </c>
      <c r="O6" s="10">
        <v>25948</v>
      </c>
      <c r="P6" s="10">
        <v>33147</v>
      </c>
      <c r="Q6" s="10"/>
      <c r="R6" s="10">
        <v>45291</v>
      </c>
      <c r="S6" s="23">
        <v>11722.93</v>
      </c>
      <c r="T6" s="3">
        <v>45587685</v>
      </c>
      <c r="U6" s="3">
        <v>27101150300056</v>
      </c>
      <c r="V6" s="4" t="s">
        <v>1757</v>
      </c>
      <c r="W6" s="4"/>
      <c r="X6" s="4" t="s">
        <v>1583</v>
      </c>
      <c r="Z6" s="3">
        <f ca="1">DATEDIF(Table1[[#This Row],[تاريخ الميلاد]],TODAY(),"y")</f>
        <v>55</v>
      </c>
      <c r="AA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55 عام 7  شهر  5  يوم </v>
      </c>
      <c r="AB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35عام10  شهر  19  يوم </v>
      </c>
      <c r="AC6" s="10">
        <f>DATE(YEAR(Table1[[#This Row],[تاريخ الميلاد]])+60,MONTH(Table1[[#This Row],[تاريخ الميلاد]]),DAY(Table1[[#This Row],[تاريخ الميلاد]]))</f>
        <v>47863</v>
      </c>
      <c r="AD6" s="14">
        <f>DATE(YEAR(Table1[[#This Row],[معاش 01/01]])-1,MONTH(Table1[[#This Row],[تاريخ بلوغ 60 ]]),DAY(Table1[[#This Row],[تاريخ بلوغ 60 ]]))</f>
        <v>47863</v>
      </c>
      <c r="AE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48228</v>
      </c>
      <c r="AF6" s="10" t="str">
        <f>IFERROR(IF(ISODD(MID(Table1[[#This Row],[الرقم القومي]],13,1)),"ذكر","انثي"),"")</f>
        <v>ذكر</v>
      </c>
      <c r="AG6" s="70" t="s">
        <v>2606</v>
      </c>
      <c r="AH6" s="3">
        <f>IF(MONTH(Table1[[#This Row],[تاريخ بلوغ 60 ]])&lt;&gt;1,1,0)</f>
        <v>0</v>
      </c>
      <c r="AI6" s="3">
        <f>IF(DAY(Table1[[#This Row],[تاريخ بلوغ 60 ]])&lt;&gt;1,1,0)</f>
        <v>1</v>
      </c>
      <c r="AJ6" s="4" t="s">
        <v>465</v>
      </c>
      <c r="AK6" s="4" t="s">
        <v>2730</v>
      </c>
      <c r="AL6" s="77" t="s">
        <v>2735</v>
      </c>
      <c r="AM6" s="62" t="s">
        <v>2734</v>
      </c>
      <c r="AN6" s="2">
        <v>4</v>
      </c>
      <c r="AO6" s="4" t="s">
        <v>2641</v>
      </c>
      <c r="AP6" s="74">
        <v>2000</v>
      </c>
      <c r="AQ6" s="4">
        <v>25</v>
      </c>
      <c r="AR6" s="4">
        <v>3</v>
      </c>
      <c r="AS6" s="4" t="s">
        <v>2668</v>
      </c>
      <c r="AT6" s="72">
        <v>6</v>
      </c>
      <c r="AU6" s="2">
        <v>2</v>
      </c>
      <c r="AV6" s="4"/>
      <c r="AW6" s="4"/>
      <c r="AX6" s="4"/>
    </row>
    <row r="7" spans="1:50" ht="15" x14ac:dyDescent="0.2">
      <c r="A7" s="56">
        <v>23733</v>
      </c>
      <c r="B7" s="1" t="s">
        <v>468</v>
      </c>
      <c r="C7" s="3">
        <v>1</v>
      </c>
      <c r="D7" s="3" t="s">
        <v>465</v>
      </c>
      <c r="E7" s="3">
        <v>21</v>
      </c>
      <c r="F7" s="3" t="s">
        <v>474</v>
      </c>
      <c r="G7" s="7" t="s">
        <v>73</v>
      </c>
      <c r="H7" s="3">
        <v>226</v>
      </c>
      <c r="I7" s="3" t="s">
        <v>1557</v>
      </c>
      <c r="J7" s="3">
        <v>18</v>
      </c>
      <c r="K7" s="3" t="s">
        <v>1529</v>
      </c>
      <c r="L7" s="3">
        <v>3</v>
      </c>
      <c r="M7" s="3" t="s">
        <v>496</v>
      </c>
      <c r="N7" s="3" t="s">
        <v>1562</v>
      </c>
      <c r="O7" s="10">
        <v>25979</v>
      </c>
      <c r="P7" s="10">
        <v>33147</v>
      </c>
      <c r="Q7" s="10"/>
      <c r="R7" s="10">
        <v>44196</v>
      </c>
      <c r="S7" s="23">
        <v>10606.59</v>
      </c>
      <c r="T7" s="3">
        <v>45587708</v>
      </c>
      <c r="U7" s="3">
        <v>27102151601072</v>
      </c>
      <c r="V7" s="4" t="s">
        <v>1760</v>
      </c>
      <c r="W7" s="4"/>
      <c r="X7" s="4" t="s">
        <v>1583</v>
      </c>
      <c r="Z7" s="3">
        <f ca="1">DATEDIF(Table1[[#This Row],[تاريخ الميلاد]],TODAY(),"y")</f>
        <v>55</v>
      </c>
      <c r="AA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55 عام 6  شهر  5  يوم </v>
      </c>
      <c r="AB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35عام10  شهر  19  يوم </v>
      </c>
      <c r="AC7" s="10">
        <f>DATE(YEAR(Table1[[#This Row],[تاريخ الميلاد]])+60,MONTH(Table1[[#This Row],[تاريخ الميلاد]]),DAY(Table1[[#This Row],[تاريخ الميلاد]]))</f>
        <v>47894</v>
      </c>
      <c r="AD7" s="14">
        <f>DATE(YEAR(Table1[[#This Row],[معاش 01/01]])-1,MONTH(Table1[[#This Row],[تاريخ بلوغ 60 ]]),DAY(Table1[[#This Row],[تاريخ بلوغ 60 ]]))</f>
        <v>47894</v>
      </c>
      <c r="AE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48259</v>
      </c>
      <c r="AF7" s="10" t="str">
        <f>IFERROR(IF(ISODD(MID(Table1[[#This Row],[الرقم القومي]],13,1)),"ذكر","انثي"),"")</f>
        <v>ذكر</v>
      </c>
      <c r="AG7" s="70" t="s">
        <v>2613</v>
      </c>
      <c r="AH7" s="3">
        <f>IF(MONTH(Table1[[#This Row],[تاريخ بلوغ 60 ]])&lt;&gt;1,1,0)</f>
        <v>1</v>
      </c>
      <c r="AI7" s="3">
        <f>IF(DAY(Table1[[#This Row],[تاريخ بلوغ 60 ]])&lt;&gt;1,1,0)</f>
        <v>1</v>
      </c>
      <c r="AJ7" s="4" t="s">
        <v>465</v>
      </c>
      <c r="AK7" s="4">
        <v>0</v>
      </c>
      <c r="AL7" s="77" t="s">
        <v>2738</v>
      </c>
      <c r="AM7" s="62" t="s">
        <v>2737</v>
      </c>
      <c r="AN7" s="2">
        <v>4</v>
      </c>
      <c r="AO7" s="4" t="s">
        <v>2641</v>
      </c>
      <c r="AP7" s="74">
        <v>2000</v>
      </c>
      <c r="AQ7" s="4">
        <v>25</v>
      </c>
      <c r="AR7" s="4">
        <v>3</v>
      </c>
      <c r="AS7" s="4" t="s">
        <v>2668</v>
      </c>
      <c r="AT7" s="72">
        <v>6</v>
      </c>
      <c r="AU7" s="2">
        <v>3</v>
      </c>
      <c r="AV7" s="4"/>
      <c r="AW7" s="4"/>
      <c r="AX7" s="4"/>
    </row>
    <row r="8" spans="1:50" ht="15" x14ac:dyDescent="0.2">
      <c r="A8" s="56">
        <v>23864</v>
      </c>
      <c r="B8" s="1" t="s">
        <v>468</v>
      </c>
      <c r="C8" s="3">
        <v>1</v>
      </c>
      <c r="D8" s="3" t="s">
        <v>465</v>
      </c>
      <c r="E8" s="3">
        <v>3</v>
      </c>
      <c r="F8" s="3" t="s">
        <v>472</v>
      </c>
      <c r="G8" s="7" t="s">
        <v>75</v>
      </c>
      <c r="H8" s="3">
        <v>105</v>
      </c>
      <c r="I8" s="3" t="s">
        <v>1091</v>
      </c>
      <c r="J8" s="3">
        <v>18</v>
      </c>
      <c r="K8" s="3" t="s">
        <v>1529</v>
      </c>
      <c r="L8" s="3">
        <v>2</v>
      </c>
      <c r="M8" s="3" t="s">
        <v>493</v>
      </c>
      <c r="N8" s="3" t="s">
        <v>1092</v>
      </c>
      <c r="O8" s="10">
        <v>25235</v>
      </c>
      <c r="P8" s="10">
        <v>33362</v>
      </c>
      <c r="Q8" s="10"/>
      <c r="R8" s="10">
        <v>45291</v>
      </c>
      <c r="S8" s="23">
        <v>12037.41</v>
      </c>
      <c r="T8" s="3">
        <v>44580996</v>
      </c>
      <c r="U8" s="3">
        <v>26902010300217</v>
      </c>
      <c r="V8" s="4" t="s">
        <v>1766</v>
      </c>
      <c r="W8" s="4"/>
      <c r="X8" s="4" t="s">
        <v>1583</v>
      </c>
      <c r="Y8" s="4">
        <v>1986</v>
      </c>
      <c r="Z8" s="3">
        <f ca="1">DATEDIF(Table1[[#This Row],[تاريخ الميلاد]],TODAY(),"y")</f>
        <v>57</v>
      </c>
      <c r="AA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57 عام 6  شهر  19  يوم </v>
      </c>
      <c r="AB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35عام3  شهر  16  يوم </v>
      </c>
      <c r="AC8" s="10">
        <f>DATE(YEAR(Table1[[#This Row],[تاريخ الميلاد]])+60,MONTH(Table1[[#This Row],[تاريخ الميلاد]]),DAY(Table1[[#This Row],[تاريخ الميلاد]]))</f>
        <v>47150</v>
      </c>
      <c r="AD8" s="14">
        <f>DATE(YEAR(Table1[[#This Row],[معاش 01/01]])-1,MONTH(Table1[[#This Row],[تاريخ بلوغ 60 ]]),DAY(Table1[[#This Row],[تاريخ بلوغ 60 ]]))</f>
        <v>47150</v>
      </c>
      <c r="AE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47515</v>
      </c>
      <c r="AF8" s="10" t="str">
        <f>IFERROR(IF(ISODD(MID(Table1[[#This Row],[الرقم القومي]],13,1)),"ذكر","انثي"),"")</f>
        <v>ذكر</v>
      </c>
      <c r="AG8" s="70" t="s">
        <v>2606</v>
      </c>
      <c r="AH8" s="3">
        <f>IF(MONTH(Table1[[#This Row],[تاريخ بلوغ 60 ]])&lt;&gt;1,1,0)</f>
        <v>1</v>
      </c>
      <c r="AI8" s="3">
        <f>IF(DAY(Table1[[#This Row],[تاريخ بلوغ 60 ]])&lt;&gt;1,1,0)</f>
        <v>0</v>
      </c>
      <c r="AJ8" s="4" t="s">
        <v>465</v>
      </c>
      <c r="AK8" s="4" t="s">
        <v>2689</v>
      </c>
      <c r="AL8" s="77" t="s">
        <v>2742</v>
      </c>
      <c r="AM8" s="62" t="s">
        <v>2741</v>
      </c>
      <c r="AN8" s="2">
        <v>2</v>
      </c>
      <c r="AO8" s="4" t="s">
        <v>2641</v>
      </c>
      <c r="AP8" s="74">
        <v>1714.97</v>
      </c>
      <c r="AQ8" s="4">
        <v>15</v>
      </c>
      <c r="AR8" s="4">
        <v>3</v>
      </c>
      <c r="AS8" s="4" t="s">
        <v>2668</v>
      </c>
      <c r="AT8" s="72">
        <v>6</v>
      </c>
      <c r="AU8" s="2">
        <v>2</v>
      </c>
      <c r="AV8" s="4"/>
      <c r="AW8" s="4"/>
      <c r="AX8" s="4"/>
    </row>
    <row r="9" spans="1:50" ht="15" x14ac:dyDescent="0.2">
      <c r="A9" s="56">
        <v>24273</v>
      </c>
      <c r="B9" s="1" t="s">
        <v>468</v>
      </c>
      <c r="C9" s="3">
        <v>1</v>
      </c>
      <c r="D9" s="3" t="s">
        <v>465</v>
      </c>
      <c r="E9" s="3">
        <v>21</v>
      </c>
      <c r="F9" s="3" t="s">
        <v>474</v>
      </c>
      <c r="G9" s="7" t="s">
        <v>80</v>
      </c>
      <c r="H9" s="3">
        <v>226</v>
      </c>
      <c r="I9" s="3" t="s">
        <v>1557</v>
      </c>
      <c r="J9" s="3">
        <v>18</v>
      </c>
      <c r="K9" s="3" t="s">
        <v>1529</v>
      </c>
      <c r="L9" s="3">
        <v>2</v>
      </c>
      <c r="M9" s="3" t="s">
        <v>493</v>
      </c>
      <c r="N9" s="3" t="s">
        <v>1563</v>
      </c>
      <c r="O9" s="10">
        <v>26680</v>
      </c>
      <c r="P9" s="10">
        <v>33512</v>
      </c>
      <c r="Q9" s="10"/>
      <c r="R9" s="10">
        <v>45657</v>
      </c>
      <c r="S9" s="23">
        <v>11686.17</v>
      </c>
      <c r="T9" s="3">
        <v>8955727</v>
      </c>
      <c r="U9" s="3">
        <v>27301160200911</v>
      </c>
      <c r="V9" s="4" t="s">
        <v>1778</v>
      </c>
      <c r="W9" s="4"/>
      <c r="X9" s="4" t="s">
        <v>1583</v>
      </c>
      <c r="Z9" s="3">
        <f ca="1">DATEDIF(Table1[[#This Row],[تاريخ الميلاد]],TODAY(),"y")</f>
        <v>53</v>
      </c>
      <c r="AA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53 عام 7  شهر  4  يوم </v>
      </c>
      <c r="AB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34عام10  شهر  19  يوم </v>
      </c>
      <c r="AC9" s="10">
        <f>DATE(YEAR(Table1[[#This Row],[تاريخ الميلاد]])+60,MONTH(Table1[[#This Row],[تاريخ الميلاد]]),DAY(Table1[[#This Row],[تاريخ الميلاد]]))</f>
        <v>48595</v>
      </c>
      <c r="AD9" s="14">
        <f>DATE(YEAR(Table1[[#This Row],[معاش 01/01]])-1,MONTH(Table1[[#This Row],[تاريخ بلوغ 60 ]]),DAY(Table1[[#This Row],[تاريخ بلوغ 60 ]]))</f>
        <v>48595</v>
      </c>
      <c r="AE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48960</v>
      </c>
      <c r="AF9" s="10" t="str">
        <f>IFERROR(IF(ISODD(MID(Table1[[#This Row],[الرقم القومي]],13,1)),"ذكر","انثي"),"")</f>
        <v>ذكر</v>
      </c>
      <c r="AG9" s="70" t="s">
        <v>2605</v>
      </c>
      <c r="AH9" s="3">
        <f>IF(MONTH(Table1[[#This Row],[تاريخ بلوغ 60 ]])&lt;&gt;1,1,0)</f>
        <v>0</v>
      </c>
      <c r="AI9" s="3">
        <f>IF(DAY(Table1[[#This Row],[تاريخ بلوغ 60 ]])&lt;&gt;1,1,0)</f>
        <v>1</v>
      </c>
      <c r="AJ9" s="4" t="s">
        <v>465</v>
      </c>
      <c r="AK9" s="4" t="s">
        <v>2636</v>
      </c>
      <c r="AL9" s="77" t="s">
        <v>2749</v>
      </c>
      <c r="AM9" s="62" t="s">
        <v>2748</v>
      </c>
      <c r="AN9" s="2">
        <v>4</v>
      </c>
      <c r="AO9" s="4" t="s">
        <v>2641</v>
      </c>
      <c r="AP9" s="74">
        <v>2000</v>
      </c>
      <c r="AQ9" s="4">
        <v>25</v>
      </c>
      <c r="AR9" s="4">
        <v>3</v>
      </c>
      <c r="AS9" s="4" t="s">
        <v>2668</v>
      </c>
      <c r="AT9" s="72">
        <v>6</v>
      </c>
      <c r="AU9" s="2">
        <v>2</v>
      </c>
      <c r="AV9" s="4"/>
      <c r="AW9" s="4"/>
      <c r="AX9" s="4"/>
    </row>
    <row r="10" spans="1:50" ht="15" x14ac:dyDescent="0.2">
      <c r="A10" s="56">
        <v>25542</v>
      </c>
      <c r="B10" s="1" t="s">
        <v>468</v>
      </c>
      <c r="C10" s="3">
        <v>1</v>
      </c>
      <c r="D10" s="3" t="s">
        <v>465</v>
      </c>
      <c r="E10" s="3">
        <v>3</v>
      </c>
      <c r="F10" s="3" t="s">
        <v>472</v>
      </c>
      <c r="G10" s="7" t="s">
        <v>89</v>
      </c>
      <c r="H10" s="3">
        <v>193</v>
      </c>
      <c r="I10" s="3" t="s">
        <v>1486</v>
      </c>
      <c r="J10" s="3">
        <v>22</v>
      </c>
      <c r="K10" s="3" t="s">
        <v>1532</v>
      </c>
      <c r="L10" s="3">
        <v>6</v>
      </c>
      <c r="M10" s="3" t="s">
        <v>502</v>
      </c>
      <c r="N10" s="3" t="s">
        <v>1488</v>
      </c>
      <c r="O10" s="10">
        <v>25205</v>
      </c>
      <c r="P10" s="10">
        <v>34349</v>
      </c>
      <c r="Q10" s="10"/>
      <c r="R10" s="10">
        <v>44926</v>
      </c>
      <c r="S10" s="23">
        <v>7669.81</v>
      </c>
      <c r="T10" s="3">
        <v>27562293</v>
      </c>
      <c r="U10" s="3">
        <v>26901020300391</v>
      </c>
      <c r="V10" s="4" t="s">
        <v>1795</v>
      </c>
      <c r="W10" s="4"/>
      <c r="X10" s="4" t="s">
        <v>1583</v>
      </c>
      <c r="Z10" s="3">
        <f ca="1">DATEDIF(Table1[[#This Row],[تاريخ الميلاد]],TODAY(),"y")</f>
        <v>57</v>
      </c>
      <c r="AA1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57 عام 7  شهر  18  يوم </v>
      </c>
      <c r="AB1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32عام7  شهر  5  يوم </v>
      </c>
      <c r="AC10" s="10">
        <f>DATE(YEAR(Table1[[#This Row],[تاريخ الميلاد]])+60,MONTH(Table1[[#This Row],[تاريخ الميلاد]]),DAY(Table1[[#This Row],[تاريخ الميلاد]]))</f>
        <v>47120</v>
      </c>
      <c r="AD10" s="14">
        <f>DATE(YEAR(Table1[[#This Row],[معاش 01/01]])-1,MONTH(Table1[[#This Row],[تاريخ بلوغ 60 ]]),DAY(Table1[[#This Row],[تاريخ بلوغ 60 ]]))</f>
        <v>47120</v>
      </c>
      <c r="AE1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47485</v>
      </c>
      <c r="AF10" s="10" t="str">
        <f>IFERROR(IF(ISODD(MID(Table1[[#This Row],[الرقم القومي]],13,1)),"ذكر","انثي"),"")</f>
        <v>ذكر</v>
      </c>
      <c r="AG10" s="70" t="s">
        <v>2606</v>
      </c>
      <c r="AH10" s="3">
        <f>IF(MONTH(Table1[[#This Row],[تاريخ بلوغ 60 ]])&lt;&gt;1,1,0)</f>
        <v>0</v>
      </c>
      <c r="AI10" s="3">
        <f>IF(DAY(Table1[[#This Row],[تاريخ بلوغ 60 ]])&lt;&gt;1,1,0)</f>
        <v>1</v>
      </c>
      <c r="AJ10" s="4" t="s">
        <v>465</v>
      </c>
      <c r="AK10" s="4" t="s">
        <v>2636</v>
      </c>
      <c r="AL10" s="77" t="s">
        <v>2759</v>
      </c>
      <c r="AM10" s="62" t="s">
        <v>2758</v>
      </c>
      <c r="AN10" s="2">
        <v>1</v>
      </c>
      <c r="AO10" s="4" t="s">
        <v>2641</v>
      </c>
      <c r="AP10" s="74">
        <v>908.32</v>
      </c>
      <c r="AQ10" s="4">
        <v>12.5</v>
      </c>
      <c r="AR10" s="4">
        <v>3</v>
      </c>
      <c r="AS10" s="4" t="s">
        <v>2668</v>
      </c>
      <c r="AT10" s="72">
        <v>6</v>
      </c>
      <c r="AU10" s="2">
        <v>6</v>
      </c>
      <c r="AV10" s="4"/>
      <c r="AW10" s="4"/>
      <c r="AX10" s="4"/>
    </row>
    <row r="11" spans="1:50" ht="15" x14ac:dyDescent="0.2">
      <c r="A11" s="56">
        <v>29762</v>
      </c>
      <c r="B11" s="1" t="s">
        <v>468</v>
      </c>
      <c r="C11" s="3">
        <v>1</v>
      </c>
      <c r="D11" s="3" t="s">
        <v>465</v>
      </c>
      <c r="E11" s="3">
        <v>21</v>
      </c>
      <c r="F11" s="3" t="s">
        <v>474</v>
      </c>
      <c r="G11" s="7" t="s">
        <v>156</v>
      </c>
      <c r="H11" s="3">
        <v>56</v>
      </c>
      <c r="I11" s="3" t="s">
        <v>755</v>
      </c>
      <c r="J11" s="3">
        <v>18</v>
      </c>
      <c r="K11" s="3" t="s">
        <v>1529</v>
      </c>
      <c r="L11" s="3">
        <v>7</v>
      </c>
      <c r="M11" s="3" t="s">
        <v>504</v>
      </c>
      <c r="N11" s="3" t="s">
        <v>759</v>
      </c>
      <c r="O11" s="10">
        <v>26739</v>
      </c>
      <c r="P11" s="10">
        <v>39402</v>
      </c>
      <c r="Q11" s="10"/>
      <c r="R11" s="10">
        <v>44561</v>
      </c>
      <c r="S11" s="23">
        <v>5579.46</v>
      </c>
      <c r="T11" s="3">
        <v>58994270</v>
      </c>
      <c r="U11" s="3">
        <v>27303162200571</v>
      </c>
      <c r="V11" s="4" t="s">
        <v>1922</v>
      </c>
      <c r="W11" s="4"/>
      <c r="X11" s="4" t="s">
        <v>1583</v>
      </c>
      <c r="Z11" s="3">
        <f ca="1">DATEDIF(Table1[[#This Row],[تاريخ الميلاد]],TODAY(),"y")</f>
        <v>53</v>
      </c>
      <c r="AA1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53 عام 5  شهر  4  يوم </v>
      </c>
      <c r="AB1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18عام9  شهر  4  يوم </v>
      </c>
      <c r="AC11" s="10">
        <f>DATE(YEAR(Table1[[#This Row],[تاريخ الميلاد]])+60,MONTH(Table1[[#This Row],[تاريخ الميلاد]]),DAY(Table1[[#This Row],[تاريخ الميلاد]]))</f>
        <v>48654</v>
      </c>
      <c r="AD11" s="14">
        <f>DATE(YEAR(Table1[[#This Row],[معاش 01/01]])-1,MONTH(Table1[[#This Row],[تاريخ بلوغ 60 ]]),DAY(Table1[[#This Row],[تاريخ بلوغ 60 ]]))</f>
        <v>48654</v>
      </c>
      <c r="AE1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49019</v>
      </c>
      <c r="AF11" s="10" t="str">
        <f>IFERROR(IF(ISODD(MID(Table1[[#This Row],[الرقم القومي]],13,1)),"ذكر","انثي"),"")</f>
        <v>ذكر</v>
      </c>
      <c r="AG11" s="70" t="s">
        <v>2618</v>
      </c>
      <c r="AH11" s="3">
        <f>IF(MONTH(Table1[[#This Row],[تاريخ بلوغ 60 ]])&lt;&gt;1,1,0)</f>
        <v>1</v>
      </c>
      <c r="AI11" s="3">
        <f>IF(DAY(Table1[[#This Row],[تاريخ بلوغ 60 ]])&lt;&gt;1,1,0)</f>
        <v>1</v>
      </c>
      <c r="AJ11" s="4" t="s">
        <v>465</v>
      </c>
      <c r="AK11" s="4" t="s">
        <v>2689</v>
      </c>
      <c r="AL11" s="77" t="s">
        <v>2832</v>
      </c>
      <c r="AM11" s="62" t="s">
        <v>2831</v>
      </c>
      <c r="AN11" s="2">
        <v>4</v>
      </c>
      <c r="AO11" s="4" t="s">
        <v>2641</v>
      </c>
      <c r="AP11" s="74">
        <v>1322.23</v>
      </c>
      <c r="AQ11" s="4">
        <v>25</v>
      </c>
      <c r="AR11" s="4">
        <v>3</v>
      </c>
      <c r="AS11" s="4" t="s">
        <v>2668</v>
      </c>
      <c r="AT11" s="72">
        <v>6</v>
      </c>
      <c r="AU11" s="2">
        <v>7</v>
      </c>
      <c r="AV11" s="4"/>
      <c r="AW11" s="4"/>
      <c r="AX11" s="4"/>
    </row>
    <row r="12" spans="1:50" ht="15" x14ac:dyDescent="0.2">
      <c r="A12" s="56">
        <v>32175</v>
      </c>
      <c r="B12" s="1" t="s">
        <v>468</v>
      </c>
      <c r="C12" s="3">
        <v>1</v>
      </c>
      <c r="D12" s="3" t="s">
        <v>465</v>
      </c>
      <c r="E12" s="3">
        <v>3</v>
      </c>
      <c r="F12" s="3" t="s">
        <v>472</v>
      </c>
      <c r="G12" s="7" t="s">
        <v>200</v>
      </c>
      <c r="H12" s="3">
        <v>104</v>
      </c>
      <c r="I12" s="3" t="s">
        <v>1083</v>
      </c>
      <c r="J12" s="3">
        <v>18</v>
      </c>
      <c r="K12" s="3" t="s">
        <v>1529</v>
      </c>
      <c r="L12" s="3">
        <v>7</v>
      </c>
      <c r="M12" s="3" t="s">
        <v>504</v>
      </c>
      <c r="N12" s="3" t="s">
        <v>1089</v>
      </c>
      <c r="O12" s="10">
        <v>32765</v>
      </c>
      <c r="P12" s="10">
        <v>43282</v>
      </c>
      <c r="Q12" s="10"/>
      <c r="R12" s="10">
        <v>45291</v>
      </c>
      <c r="S12" s="23">
        <v>3521.62</v>
      </c>
      <c r="T12" s="3">
        <v>60730873</v>
      </c>
      <c r="U12" s="3">
        <v>28909140300229</v>
      </c>
      <c r="V12" s="4" t="s">
        <v>2026</v>
      </c>
      <c r="W12" s="4">
        <v>70097</v>
      </c>
      <c r="X12" s="4" t="s">
        <v>1583</v>
      </c>
      <c r="Z12" s="3">
        <f ca="1">DATEDIF(Table1[[#This Row],[تاريخ الميلاد]],TODAY(),"y")</f>
        <v>36</v>
      </c>
      <c r="AA1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36 عام 11  شهر  6  يوم </v>
      </c>
      <c r="AB1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8عام1  شهر  19  يوم </v>
      </c>
      <c r="AC12" s="10">
        <f>DATE(YEAR(Table1[[#This Row],[تاريخ الميلاد]])+60,MONTH(Table1[[#This Row],[تاريخ الميلاد]]),DAY(Table1[[#This Row],[تاريخ الميلاد]]))</f>
        <v>54680</v>
      </c>
      <c r="AD12" s="14">
        <f>DATE(YEAR(Table1[[#This Row],[معاش 01/01]])-1,MONTH(Table1[[#This Row],[تاريخ بلوغ 60 ]]),DAY(Table1[[#This Row],[تاريخ بلوغ 60 ]]))</f>
        <v>54680</v>
      </c>
      <c r="AE1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55045</v>
      </c>
      <c r="AF12" s="10" t="str">
        <f>IFERROR(IF(ISODD(MID(Table1[[#This Row],[الرقم القومي]],13,1)),"ذكر","انثي"),"")</f>
        <v>انثي</v>
      </c>
      <c r="AG12" s="70" t="s">
        <v>2606</v>
      </c>
      <c r="AH12" s="3">
        <f>IF(MONTH(Table1[[#This Row],[تاريخ بلوغ 60 ]])&lt;&gt;1,1,0)</f>
        <v>1</v>
      </c>
      <c r="AI12" s="3">
        <f>IF(DAY(Table1[[#This Row],[تاريخ بلوغ 60 ]])&lt;&gt;1,1,0)</f>
        <v>1</v>
      </c>
      <c r="AJ12" s="4" t="s">
        <v>465</v>
      </c>
      <c r="AK12" s="4" t="s">
        <v>2689</v>
      </c>
      <c r="AL12" s="77" t="s">
        <v>2885</v>
      </c>
      <c r="AM12" s="62" t="s">
        <v>2884</v>
      </c>
      <c r="AN12" s="2">
        <v>3</v>
      </c>
      <c r="AO12" s="4" t="s">
        <v>2641</v>
      </c>
      <c r="AP12" s="74">
        <v>0</v>
      </c>
      <c r="AQ12" s="4">
        <v>18.75</v>
      </c>
      <c r="AR12" s="4">
        <v>1</v>
      </c>
      <c r="AS12" s="4" t="s">
        <v>2635</v>
      </c>
      <c r="AT12" s="72">
        <v>2</v>
      </c>
      <c r="AU12" s="2">
        <v>7</v>
      </c>
      <c r="AV12" s="4"/>
      <c r="AW12" s="4"/>
      <c r="AX12" s="4"/>
    </row>
    <row r="13" spans="1:50" ht="15" x14ac:dyDescent="0.2">
      <c r="A13" s="56">
        <v>60422</v>
      </c>
      <c r="B13" s="1" t="s">
        <v>469</v>
      </c>
      <c r="C13" s="3">
        <v>1</v>
      </c>
      <c r="D13" s="3" t="s">
        <v>465</v>
      </c>
      <c r="E13" s="3">
        <v>3</v>
      </c>
      <c r="F13" s="3" t="s">
        <v>472</v>
      </c>
      <c r="G13" s="7" t="s">
        <v>440</v>
      </c>
      <c r="H13" s="3">
        <v>3</v>
      </c>
      <c r="I13" s="3" t="s">
        <v>604</v>
      </c>
      <c r="J13" s="3">
        <v>5</v>
      </c>
      <c r="K13" s="3" t="s">
        <v>1523</v>
      </c>
      <c r="L13" s="3">
        <v>6</v>
      </c>
      <c r="M13" s="3" t="s">
        <v>502</v>
      </c>
      <c r="N13" s="3" t="s">
        <v>604</v>
      </c>
      <c r="O13" s="10">
        <v>31010</v>
      </c>
      <c r="P13" s="10">
        <v>45872</v>
      </c>
      <c r="Q13" s="10"/>
      <c r="R13" s="10">
        <v>45872</v>
      </c>
      <c r="S13" s="23">
        <v>1943.64</v>
      </c>
      <c r="T13" s="3">
        <v>43612158</v>
      </c>
      <c r="U13" s="3">
        <v>28411240300333</v>
      </c>
      <c r="V13" s="76"/>
      <c r="W13" s="76"/>
      <c r="X13" s="4" t="s">
        <v>1583</v>
      </c>
      <c r="Y13" s="76"/>
      <c r="Z13" s="3">
        <f ca="1">DATEDIF(Table1[[#This Row],[تاريخ الميلاد]],TODAY(),"y")</f>
        <v>41</v>
      </c>
      <c r="AA1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41 عام 8  شهر  27  يوم </v>
      </c>
      <c r="AB1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1عام0  شهر  17  يوم </v>
      </c>
      <c r="AC13" s="10">
        <f>DATE(YEAR(Table1[[#This Row],[تاريخ الميلاد]])+60,MONTH(Table1[[#This Row],[تاريخ الميلاد]]),DAY(Table1[[#This Row],[تاريخ الميلاد]]))</f>
        <v>52925</v>
      </c>
      <c r="AD13" s="14">
        <f>DATE(YEAR(Table1[[#This Row],[معاش 01/01]])-1,MONTH(Table1[[#This Row],[تاريخ بلوغ 60 ]]),DAY(Table1[[#This Row],[تاريخ بلوغ 60 ]]))</f>
        <v>52925</v>
      </c>
      <c r="AE1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53290</v>
      </c>
      <c r="AF13" s="10" t="str">
        <f>IFERROR(IF(ISODD(MID(Table1[[#This Row],[الرقم القومي]],13,1)),"ذكر","انثي"),"")</f>
        <v>ذكر</v>
      </c>
      <c r="AG13" s="57"/>
      <c r="AH13" s="3">
        <f>IF(MONTH(Table1[[#This Row],[تاريخ بلوغ 60 ]])&lt;&gt;1,1,0)</f>
        <v>1</v>
      </c>
      <c r="AI13" s="3">
        <f>IF(DAY(Table1[[#This Row],[تاريخ بلوغ 60 ]])&lt;&gt;1,1,0)</f>
        <v>1</v>
      </c>
      <c r="AJ13" s="4" t="s">
        <v>465</v>
      </c>
      <c r="AK13" s="4" t="s">
        <v>2730</v>
      </c>
      <c r="AL13" s="4" t="s">
        <v>3073</v>
      </c>
      <c r="AM13" s="62" t="s">
        <v>3072</v>
      </c>
      <c r="AN13" s="2">
        <v>5</v>
      </c>
      <c r="AO13" s="4" t="s">
        <v>2641</v>
      </c>
      <c r="AP13" s="74">
        <v>270.55</v>
      </c>
      <c r="AQ13" s="4">
        <v>15</v>
      </c>
      <c r="AR13" s="4">
        <v>2</v>
      </c>
      <c r="AS13" s="4" t="s">
        <v>2696</v>
      </c>
      <c r="AT13" s="72">
        <v>4</v>
      </c>
      <c r="AU13" s="2">
        <v>6</v>
      </c>
      <c r="AV13" s="4"/>
      <c r="AW13" s="4"/>
      <c r="AX13" s="4"/>
    </row>
    <row r="14" spans="1:50" ht="15" x14ac:dyDescent="0.2">
      <c r="A14" s="56">
        <v>60424</v>
      </c>
      <c r="B14" s="1" t="s">
        <v>469</v>
      </c>
      <c r="C14" s="3">
        <v>1</v>
      </c>
      <c r="D14" s="3" t="s">
        <v>465</v>
      </c>
      <c r="E14" s="3">
        <v>3</v>
      </c>
      <c r="F14" s="3" t="s">
        <v>472</v>
      </c>
      <c r="G14" s="7" t="s">
        <v>441</v>
      </c>
      <c r="H14" s="3">
        <v>3</v>
      </c>
      <c r="I14" s="3" t="s">
        <v>604</v>
      </c>
      <c r="J14" s="3">
        <v>5</v>
      </c>
      <c r="K14" s="3" t="s">
        <v>1523</v>
      </c>
      <c r="L14" s="3">
        <v>6</v>
      </c>
      <c r="M14" s="3" t="s">
        <v>502</v>
      </c>
      <c r="N14" s="3" t="s">
        <v>604</v>
      </c>
      <c r="O14" s="10">
        <v>31740</v>
      </c>
      <c r="P14" s="10">
        <v>45872</v>
      </c>
      <c r="Q14" s="10"/>
      <c r="R14" s="10">
        <v>45872</v>
      </c>
      <c r="S14" s="23">
        <v>1943.64</v>
      </c>
      <c r="T14" s="3">
        <v>65849876</v>
      </c>
      <c r="U14" s="3">
        <v>28611240300031</v>
      </c>
      <c r="V14" s="76"/>
      <c r="W14" s="76"/>
      <c r="X14" s="4" t="s">
        <v>1583</v>
      </c>
      <c r="Y14" s="76"/>
      <c r="Z14" s="3">
        <f ca="1">DATEDIF(Table1[[#This Row],[تاريخ الميلاد]],TODAY(),"y")</f>
        <v>39</v>
      </c>
      <c r="AA1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39 عام 8  شهر  27  يوم </v>
      </c>
      <c r="AB1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1عام0  شهر  17  يوم </v>
      </c>
      <c r="AC14" s="10">
        <f>DATE(YEAR(Table1[[#This Row],[تاريخ الميلاد]])+60,MONTH(Table1[[#This Row],[تاريخ الميلاد]]),DAY(Table1[[#This Row],[تاريخ الميلاد]]))</f>
        <v>53655</v>
      </c>
      <c r="AD14" s="14">
        <f>DATE(YEAR(Table1[[#This Row],[معاش 01/01]])-1,MONTH(Table1[[#This Row],[تاريخ بلوغ 60 ]]),DAY(Table1[[#This Row],[تاريخ بلوغ 60 ]]))</f>
        <v>53655</v>
      </c>
      <c r="AE1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54020</v>
      </c>
      <c r="AF14" s="10" t="str">
        <f>IFERROR(IF(ISODD(MID(Table1[[#This Row],[الرقم القومي]],13,1)),"ذكر","انثي"),"")</f>
        <v>ذكر</v>
      </c>
      <c r="AG14" s="57"/>
      <c r="AH14" s="3">
        <f>IF(MONTH(Table1[[#This Row],[تاريخ بلوغ 60 ]])&lt;&gt;1,1,0)</f>
        <v>1</v>
      </c>
      <c r="AI14" s="3">
        <f>IF(DAY(Table1[[#This Row],[تاريخ بلوغ 60 ]])&lt;&gt;1,1,0)</f>
        <v>1</v>
      </c>
      <c r="AJ14" s="4" t="s">
        <v>465</v>
      </c>
      <c r="AK14" s="4" t="s">
        <v>2636</v>
      </c>
      <c r="AL14" s="4" t="s">
        <v>3075</v>
      </c>
      <c r="AM14" s="62" t="s">
        <v>3074</v>
      </c>
      <c r="AN14" s="2">
        <v>5</v>
      </c>
      <c r="AO14" s="4" t="s">
        <v>2641</v>
      </c>
      <c r="AP14" s="74">
        <v>270.55</v>
      </c>
      <c r="AQ14" s="4">
        <v>15</v>
      </c>
      <c r="AR14" s="4">
        <v>3</v>
      </c>
      <c r="AS14" s="4" t="s">
        <v>2668</v>
      </c>
      <c r="AT14" s="72">
        <v>6</v>
      </c>
      <c r="AU14" s="2">
        <v>6</v>
      </c>
      <c r="AV14" s="4"/>
      <c r="AW14" s="4"/>
      <c r="AX14" s="4"/>
    </row>
    <row r="15" spans="1:50" ht="15" x14ac:dyDescent="0.2">
      <c r="A15" s="56">
        <v>60427</v>
      </c>
      <c r="B15" s="1" t="s">
        <v>469</v>
      </c>
      <c r="C15" s="3">
        <v>1</v>
      </c>
      <c r="D15" s="3" t="s">
        <v>465</v>
      </c>
      <c r="E15" s="3">
        <v>3</v>
      </c>
      <c r="F15" s="3" t="s">
        <v>472</v>
      </c>
      <c r="G15" s="7" t="s">
        <v>442</v>
      </c>
      <c r="H15" s="3">
        <v>3</v>
      </c>
      <c r="I15" s="3" t="s">
        <v>604</v>
      </c>
      <c r="J15" s="3">
        <v>5</v>
      </c>
      <c r="K15" s="3" t="s">
        <v>1523</v>
      </c>
      <c r="L15" s="3">
        <v>6</v>
      </c>
      <c r="M15" s="3" t="s">
        <v>502</v>
      </c>
      <c r="N15" s="3" t="s">
        <v>604</v>
      </c>
      <c r="O15" s="10">
        <v>34337</v>
      </c>
      <c r="P15" s="10">
        <v>45872</v>
      </c>
      <c r="Q15" s="10"/>
      <c r="R15" s="10">
        <v>45872</v>
      </c>
      <c r="S15" s="23">
        <v>1943.64</v>
      </c>
      <c r="T15" s="3">
        <v>75818416</v>
      </c>
      <c r="U15" s="3">
        <v>29401030300118</v>
      </c>
      <c r="V15" s="76"/>
      <c r="W15" s="76"/>
      <c r="X15" s="4" t="s">
        <v>1583</v>
      </c>
      <c r="Y15" s="76"/>
      <c r="Z15" s="3">
        <f ca="1">DATEDIF(Table1[[#This Row],[تاريخ الميلاد]],TODAY(),"y")</f>
        <v>32</v>
      </c>
      <c r="AA1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32 عام 7  شهر  17  يوم </v>
      </c>
      <c r="AB1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1عام0  شهر  17  يوم </v>
      </c>
      <c r="AC15" s="10">
        <f>DATE(YEAR(Table1[[#This Row],[تاريخ الميلاد]])+60,MONTH(Table1[[#This Row],[تاريخ الميلاد]]),DAY(Table1[[#This Row],[تاريخ الميلاد]]))</f>
        <v>56252</v>
      </c>
      <c r="AD15" s="14">
        <f>DATE(YEAR(Table1[[#This Row],[معاش 01/01]])-1,MONTH(Table1[[#This Row],[تاريخ بلوغ 60 ]]),DAY(Table1[[#This Row],[تاريخ بلوغ 60 ]]))</f>
        <v>56252</v>
      </c>
      <c r="AE1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56617</v>
      </c>
      <c r="AF15" s="10" t="str">
        <f>IFERROR(IF(ISODD(MID(Table1[[#This Row],[الرقم القومي]],13,1)),"ذكر","انثي"),"")</f>
        <v>ذكر</v>
      </c>
      <c r="AG15" s="57"/>
      <c r="AH15" s="3">
        <f>IF(MONTH(Table1[[#This Row],[تاريخ بلوغ 60 ]])&lt;&gt;1,1,0)</f>
        <v>0</v>
      </c>
      <c r="AI15" s="3">
        <f>IF(DAY(Table1[[#This Row],[تاريخ بلوغ 60 ]])&lt;&gt;1,1,0)</f>
        <v>1</v>
      </c>
      <c r="AJ15" s="4" t="s">
        <v>465</v>
      </c>
      <c r="AK15" s="4" t="s">
        <v>2636</v>
      </c>
      <c r="AL15" s="4" t="s">
        <v>3077</v>
      </c>
      <c r="AM15" s="62" t="s">
        <v>3076</v>
      </c>
      <c r="AN15" s="2">
        <v>5</v>
      </c>
      <c r="AO15" s="4" t="s">
        <v>2641</v>
      </c>
      <c r="AP15" s="74">
        <v>270.55</v>
      </c>
      <c r="AQ15" s="4">
        <v>15</v>
      </c>
      <c r="AR15" s="4">
        <v>1</v>
      </c>
      <c r="AS15" s="4" t="s">
        <v>2635</v>
      </c>
      <c r="AT15" s="72">
        <v>2</v>
      </c>
      <c r="AU15" s="2">
        <v>6</v>
      </c>
      <c r="AV15" s="4"/>
      <c r="AW15" s="4"/>
      <c r="AX15" s="4"/>
    </row>
    <row r="16" spans="1:50" ht="15" x14ac:dyDescent="0.2">
      <c r="A16" s="56">
        <v>60431</v>
      </c>
      <c r="B16" s="1" t="s">
        <v>469</v>
      </c>
      <c r="C16" s="3">
        <v>1</v>
      </c>
      <c r="D16" s="3" t="s">
        <v>465</v>
      </c>
      <c r="E16" s="3">
        <v>3</v>
      </c>
      <c r="F16" s="3" t="s">
        <v>472</v>
      </c>
      <c r="G16" s="7" t="s">
        <v>443</v>
      </c>
      <c r="H16" s="3">
        <v>3</v>
      </c>
      <c r="I16" s="3" t="s">
        <v>604</v>
      </c>
      <c r="J16" s="3">
        <v>5</v>
      </c>
      <c r="K16" s="3" t="s">
        <v>1523</v>
      </c>
      <c r="L16" s="3">
        <v>6</v>
      </c>
      <c r="M16" s="3" t="s">
        <v>502</v>
      </c>
      <c r="N16" s="3" t="s">
        <v>604</v>
      </c>
      <c r="O16" s="10">
        <v>35400</v>
      </c>
      <c r="P16" s="10">
        <v>45872</v>
      </c>
      <c r="Q16" s="10"/>
      <c r="R16" s="10">
        <v>45872</v>
      </c>
      <c r="S16" s="23">
        <v>1943.64</v>
      </c>
      <c r="T16" s="3">
        <v>81612928</v>
      </c>
      <c r="U16" s="3">
        <v>29612010300651</v>
      </c>
      <c r="V16" s="76"/>
      <c r="W16" s="76"/>
      <c r="X16" s="4" t="s">
        <v>1583</v>
      </c>
      <c r="Y16" s="76"/>
      <c r="Z16" s="3">
        <f ca="1">DATEDIF(Table1[[#This Row],[تاريخ الميلاد]],TODAY(),"y")</f>
        <v>29</v>
      </c>
      <c r="AA1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29 عام 8  شهر  19  يوم </v>
      </c>
      <c r="AB1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1عام0  شهر  17  يوم </v>
      </c>
      <c r="AC16" s="10">
        <f>DATE(YEAR(Table1[[#This Row],[تاريخ الميلاد]])+60,MONTH(Table1[[#This Row],[تاريخ الميلاد]]),DAY(Table1[[#This Row],[تاريخ الميلاد]]))</f>
        <v>57315</v>
      </c>
      <c r="AD16" s="14">
        <f>DATE(YEAR(Table1[[#This Row],[معاش 01/01]])-1,MONTH(Table1[[#This Row],[تاريخ بلوغ 60 ]]),DAY(Table1[[#This Row],[تاريخ بلوغ 60 ]]))</f>
        <v>57315</v>
      </c>
      <c r="AE1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57680</v>
      </c>
      <c r="AF16" s="10" t="str">
        <f>IFERROR(IF(ISODD(MID(Table1[[#This Row],[الرقم القومي]],13,1)),"ذكر","انثي"),"")</f>
        <v>ذكر</v>
      </c>
      <c r="AG16" s="57"/>
      <c r="AH16" s="3">
        <f>IF(MONTH(Table1[[#This Row],[تاريخ بلوغ 60 ]])&lt;&gt;1,1,0)</f>
        <v>1</v>
      </c>
      <c r="AI16" s="3">
        <f>IF(DAY(Table1[[#This Row],[تاريخ بلوغ 60 ]])&lt;&gt;1,1,0)</f>
        <v>0</v>
      </c>
      <c r="AJ16" s="4" t="s">
        <v>465</v>
      </c>
      <c r="AK16" s="4" t="s">
        <v>2636</v>
      </c>
      <c r="AL16" s="4" t="s">
        <v>3079</v>
      </c>
      <c r="AM16" s="62" t="s">
        <v>3078</v>
      </c>
      <c r="AN16" s="2">
        <v>5</v>
      </c>
      <c r="AO16" s="4" t="s">
        <v>2641</v>
      </c>
      <c r="AP16" s="74">
        <v>270.55</v>
      </c>
      <c r="AQ16" s="4">
        <v>15</v>
      </c>
      <c r="AR16" s="4">
        <v>2</v>
      </c>
      <c r="AS16" s="4" t="s">
        <v>2696</v>
      </c>
      <c r="AT16" s="72">
        <v>4</v>
      </c>
      <c r="AU16" s="2">
        <v>6</v>
      </c>
      <c r="AV16" s="4"/>
      <c r="AW16" s="4"/>
      <c r="AX16" s="4"/>
    </row>
    <row r="17" spans="1:50" ht="15" x14ac:dyDescent="0.2">
      <c r="A17" s="56">
        <v>60435</v>
      </c>
      <c r="B17" s="1" t="s">
        <v>469</v>
      </c>
      <c r="C17" s="3">
        <v>1</v>
      </c>
      <c r="D17" s="3" t="s">
        <v>465</v>
      </c>
      <c r="E17" s="3">
        <v>3</v>
      </c>
      <c r="F17" s="3" t="s">
        <v>472</v>
      </c>
      <c r="G17" s="7" t="s">
        <v>444</v>
      </c>
      <c r="H17" s="3">
        <v>3</v>
      </c>
      <c r="I17" s="3" t="s">
        <v>604</v>
      </c>
      <c r="J17" s="3">
        <v>5</v>
      </c>
      <c r="K17" s="3" t="s">
        <v>1523</v>
      </c>
      <c r="L17" s="3">
        <v>6</v>
      </c>
      <c r="M17" s="3" t="s">
        <v>502</v>
      </c>
      <c r="N17" s="3" t="s">
        <v>604</v>
      </c>
      <c r="O17" s="10">
        <v>36111</v>
      </c>
      <c r="P17" s="10">
        <v>45872</v>
      </c>
      <c r="Q17" s="10"/>
      <c r="R17" s="10">
        <v>45872</v>
      </c>
      <c r="S17" s="23">
        <v>1943.64</v>
      </c>
      <c r="T17" s="3">
        <v>85156339</v>
      </c>
      <c r="U17" s="3">
        <v>29811120300323</v>
      </c>
      <c r="V17" s="76"/>
      <c r="W17" s="76"/>
      <c r="X17" s="4" t="s">
        <v>1583</v>
      </c>
      <c r="Y17" s="76"/>
      <c r="Z17" s="3">
        <f ca="1">DATEDIF(Table1[[#This Row],[تاريخ الميلاد]],TODAY(),"y")</f>
        <v>27</v>
      </c>
      <c r="AA1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27 عام 9  شهر  8  يوم </v>
      </c>
      <c r="AB1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1عام0  شهر  17  يوم </v>
      </c>
      <c r="AC17" s="10">
        <f>DATE(YEAR(Table1[[#This Row],[تاريخ الميلاد]])+60,MONTH(Table1[[#This Row],[تاريخ الميلاد]]),DAY(Table1[[#This Row],[تاريخ الميلاد]]))</f>
        <v>58026</v>
      </c>
      <c r="AD17" s="14">
        <f>DATE(YEAR(Table1[[#This Row],[معاش 01/01]])-1,MONTH(Table1[[#This Row],[تاريخ بلوغ 60 ]]),DAY(Table1[[#This Row],[تاريخ بلوغ 60 ]]))</f>
        <v>58026</v>
      </c>
      <c r="AE1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58391</v>
      </c>
      <c r="AF17" s="10" t="str">
        <f>IFERROR(IF(ISODD(MID(Table1[[#This Row],[الرقم القومي]],13,1)),"ذكر","انثي"),"")</f>
        <v>انثي</v>
      </c>
      <c r="AG17" s="57"/>
      <c r="AH17" s="3">
        <f>IF(MONTH(Table1[[#This Row],[تاريخ بلوغ 60 ]])&lt;&gt;1,1,0)</f>
        <v>1</v>
      </c>
      <c r="AI17" s="3">
        <f>IF(DAY(Table1[[#This Row],[تاريخ بلوغ 60 ]])&lt;&gt;1,1,0)</f>
        <v>1</v>
      </c>
      <c r="AJ17" s="4" t="s">
        <v>465</v>
      </c>
      <c r="AK17" s="4" t="s">
        <v>2636</v>
      </c>
      <c r="AL17" s="4" t="s">
        <v>3081</v>
      </c>
      <c r="AM17" s="62" t="s">
        <v>3080</v>
      </c>
      <c r="AN17" s="2">
        <v>5</v>
      </c>
      <c r="AO17" s="4" t="s">
        <v>2641</v>
      </c>
      <c r="AP17" s="74">
        <v>270.55</v>
      </c>
      <c r="AQ17" s="4">
        <v>15</v>
      </c>
      <c r="AR17" s="4">
        <v>1</v>
      </c>
      <c r="AS17" s="4" t="s">
        <v>2635</v>
      </c>
      <c r="AT17" s="72">
        <v>2</v>
      </c>
      <c r="AU17" s="2">
        <v>6</v>
      </c>
      <c r="AV17" s="4"/>
      <c r="AW17" s="4"/>
      <c r="AX17" s="4"/>
    </row>
    <row r="18" spans="1:50" ht="15" x14ac:dyDescent="0.2">
      <c r="A18" s="56">
        <v>60436</v>
      </c>
      <c r="B18" s="1" t="s">
        <v>469</v>
      </c>
      <c r="C18" s="3">
        <v>1</v>
      </c>
      <c r="D18" s="3" t="s">
        <v>465</v>
      </c>
      <c r="E18" s="3">
        <v>3</v>
      </c>
      <c r="F18" s="3" t="s">
        <v>472</v>
      </c>
      <c r="G18" s="7" t="s">
        <v>445</v>
      </c>
      <c r="H18" s="3">
        <v>3</v>
      </c>
      <c r="I18" s="3" t="s">
        <v>604</v>
      </c>
      <c r="J18" s="3">
        <v>5</v>
      </c>
      <c r="K18" s="3" t="s">
        <v>1523</v>
      </c>
      <c r="L18" s="3">
        <v>6</v>
      </c>
      <c r="M18" s="3" t="s">
        <v>502</v>
      </c>
      <c r="N18" s="3" t="s">
        <v>604</v>
      </c>
      <c r="O18" s="10">
        <v>36374</v>
      </c>
      <c r="P18" s="10">
        <v>45872</v>
      </c>
      <c r="Q18" s="10"/>
      <c r="R18" s="10">
        <v>45872</v>
      </c>
      <c r="S18" s="23">
        <v>1943.64</v>
      </c>
      <c r="T18" s="3">
        <v>59314542</v>
      </c>
      <c r="U18" s="3">
        <v>29908020300346</v>
      </c>
      <c r="V18" s="76"/>
      <c r="W18" s="76"/>
      <c r="X18" s="4" t="s">
        <v>1583</v>
      </c>
      <c r="Y18" s="76"/>
      <c r="Z18" s="3">
        <f ca="1">DATEDIF(Table1[[#This Row],[تاريخ الميلاد]],TODAY(),"y")</f>
        <v>27</v>
      </c>
      <c r="AA1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27 عام 0  شهر  18  يوم </v>
      </c>
      <c r="AB1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1عام0  شهر  17  يوم </v>
      </c>
      <c r="AC18" s="10">
        <f>DATE(YEAR(Table1[[#This Row],[تاريخ الميلاد]])+60,MONTH(Table1[[#This Row],[تاريخ الميلاد]]),DAY(Table1[[#This Row],[تاريخ الميلاد]]))</f>
        <v>58289</v>
      </c>
      <c r="AD18" s="14">
        <f>DATE(YEAR(Table1[[#This Row],[معاش 01/01]])-1,MONTH(Table1[[#This Row],[تاريخ بلوغ 60 ]]),DAY(Table1[[#This Row],[تاريخ بلوغ 60 ]]))</f>
        <v>58289</v>
      </c>
      <c r="AE1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58655</v>
      </c>
      <c r="AF18" s="10" t="str">
        <f>IFERROR(IF(ISODD(MID(Table1[[#This Row],[الرقم القومي]],13,1)),"ذكر","انثي"),"")</f>
        <v>انثي</v>
      </c>
      <c r="AG18" s="57"/>
      <c r="AH18" s="3">
        <f>IF(MONTH(Table1[[#This Row],[تاريخ بلوغ 60 ]])&lt;&gt;1,1,0)</f>
        <v>1</v>
      </c>
      <c r="AI18" s="3">
        <f>IF(DAY(Table1[[#This Row],[تاريخ بلوغ 60 ]])&lt;&gt;1,1,0)</f>
        <v>1</v>
      </c>
      <c r="AJ18" s="4" t="s">
        <v>465</v>
      </c>
      <c r="AK18" s="4" t="s">
        <v>2636</v>
      </c>
      <c r="AL18" s="4" t="s">
        <v>3083</v>
      </c>
      <c r="AM18" s="62" t="s">
        <v>3082</v>
      </c>
      <c r="AN18" s="2">
        <v>5</v>
      </c>
      <c r="AO18" s="4" t="s">
        <v>2641</v>
      </c>
      <c r="AP18" s="74">
        <v>270.55</v>
      </c>
      <c r="AQ18" s="4">
        <v>15</v>
      </c>
      <c r="AR18" s="4">
        <v>0</v>
      </c>
      <c r="AS18" s="4" t="s">
        <v>2645</v>
      </c>
      <c r="AT18" s="72">
        <v>0</v>
      </c>
      <c r="AU18" s="2">
        <v>6</v>
      </c>
      <c r="AV18" s="4"/>
      <c r="AW18" s="4"/>
      <c r="AX18" s="4"/>
    </row>
    <row r="19" spans="1:50" ht="15" x14ac:dyDescent="0.2">
      <c r="A19" s="56">
        <v>60441</v>
      </c>
      <c r="B19" s="1" t="s">
        <v>469</v>
      </c>
      <c r="C19" s="3">
        <v>1</v>
      </c>
      <c r="D19" s="3" t="s">
        <v>465</v>
      </c>
      <c r="E19" s="3">
        <v>3</v>
      </c>
      <c r="F19" s="3" t="s">
        <v>472</v>
      </c>
      <c r="G19" s="7" t="s">
        <v>446</v>
      </c>
      <c r="H19" s="3">
        <v>3</v>
      </c>
      <c r="I19" s="3" t="s">
        <v>604</v>
      </c>
      <c r="J19" s="3">
        <v>5</v>
      </c>
      <c r="K19" s="3" t="s">
        <v>1523</v>
      </c>
      <c r="L19" s="3">
        <v>6</v>
      </c>
      <c r="M19" s="3" t="s">
        <v>502</v>
      </c>
      <c r="N19" s="3" t="s">
        <v>604</v>
      </c>
      <c r="O19" s="10">
        <v>36880</v>
      </c>
      <c r="P19" s="10">
        <v>45872</v>
      </c>
      <c r="Q19" s="10"/>
      <c r="R19" s="10">
        <v>45872</v>
      </c>
      <c r="S19" s="23">
        <v>1943.64</v>
      </c>
      <c r="T19" s="3">
        <v>85252366</v>
      </c>
      <c r="U19" s="3">
        <v>30012200300222</v>
      </c>
      <c r="V19" s="76"/>
      <c r="W19" s="76"/>
      <c r="X19" s="4" t="s">
        <v>1583</v>
      </c>
      <c r="Y19" s="76"/>
      <c r="Z19" s="3">
        <f ca="1">DATEDIF(Table1[[#This Row],[تاريخ الميلاد]],TODAY(),"y")</f>
        <v>25</v>
      </c>
      <c r="AA1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25 عام 8  شهر  0  يوم </v>
      </c>
      <c r="AB1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1عام0  شهر  17  يوم </v>
      </c>
      <c r="AC19" s="10">
        <f>DATE(YEAR(Table1[[#This Row],[تاريخ الميلاد]])+60,MONTH(Table1[[#This Row],[تاريخ الميلاد]]),DAY(Table1[[#This Row],[تاريخ الميلاد]]))</f>
        <v>58795</v>
      </c>
      <c r="AD19" s="14">
        <f>DATE(YEAR(Table1[[#This Row],[معاش 01/01]])-1,MONTH(Table1[[#This Row],[تاريخ بلوغ 60 ]]),DAY(Table1[[#This Row],[تاريخ بلوغ 60 ]]))</f>
        <v>58795</v>
      </c>
      <c r="AE1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59160</v>
      </c>
      <c r="AF19" s="10" t="str">
        <f>IFERROR(IF(ISODD(MID(Table1[[#This Row],[الرقم القومي]],13,1)),"ذكر","انثي"),"")</f>
        <v>انثي</v>
      </c>
      <c r="AG19" s="57"/>
      <c r="AH19" s="3">
        <f>IF(MONTH(Table1[[#This Row],[تاريخ بلوغ 60 ]])&lt;&gt;1,1,0)</f>
        <v>1</v>
      </c>
      <c r="AI19" s="3">
        <f>IF(DAY(Table1[[#This Row],[تاريخ بلوغ 60 ]])&lt;&gt;1,1,0)</f>
        <v>1</v>
      </c>
      <c r="AJ19" s="4" t="s">
        <v>465</v>
      </c>
      <c r="AK19" s="4" t="s">
        <v>2636</v>
      </c>
      <c r="AL19" s="4" t="s">
        <v>3085</v>
      </c>
      <c r="AM19" s="62" t="s">
        <v>3084</v>
      </c>
      <c r="AN19" s="2">
        <v>5</v>
      </c>
      <c r="AO19" s="4" t="s">
        <v>2641</v>
      </c>
      <c r="AP19" s="74">
        <v>270.55</v>
      </c>
      <c r="AQ19" s="4">
        <v>15</v>
      </c>
      <c r="AR19" s="4">
        <v>1</v>
      </c>
      <c r="AS19" s="4" t="s">
        <v>2635</v>
      </c>
      <c r="AT19" s="72">
        <v>2</v>
      </c>
      <c r="AU19" s="2">
        <v>6</v>
      </c>
      <c r="AV19" s="4"/>
      <c r="AW19" s="4"/>
      <c r="AX19" s="4"/>
    </row>
    <row r="20" spans="1:50" ht="15" x14ac:dyDescent="0.2">
      <c r="A20" s="56">
        <v>60559</v>
      </c>
      <c r="B20" s="1" t="s">
        <v>469</v>
      </c>
      <c r="C20" s="3">
        <v>1</v>
      </c>
      <c r="D20" s="3" t="s">
        <v>465</v>
      </c>
      <c r="E20" s="3">
        <v>21</v>
      </c>
      <c r="F20" s="3" t="s">
        <v>474</v>
      </c>
      <c r="G20" s="7" t="s">
        <v>447</v>
      </c>
      <c r="H20" s="3">
        <v>1</v>
      </c>
      <c r="I20" s="3" t="s">
        <v>587</v>
      </c>
      <c r="J20" s="3">
        <v>3</v>
      </c>
      <c r="K20" s="3" t="s">
        <v>1528</v>
      </c>
      <c r="L20" s="3">
        <v>6</v>
      </c>
      <c r="M20" s="3" t="s">
        <v>502</v>
      </c>
      <c r="N20" s="3" t="s">
        <v>587</v>
      </c>
      <c r="O20" s="10">
        <v>36141</v>
      </c>
      <c r="P20" s="10">
        <v>45993</v>
      </c>
      <c r="Q20" s="10"/>
      <c r="R20" s="10">
        <v>45993</v>
      </c>
      <c r="S20" s="23">
        <v>1943.64</v>
      </c>
      <c r="T20" s="3">
        <v>83583018</v>
      </c>
      <c r="U20" s="3">
        <v>29812120300419</v>
      </c>
      <c r="V20" s="76"/>
      <c r="W20" s="76"/>
      <c r="X20" s="4" t="s">
        <v>1583</v>
      </c>
      <c r="Y20" s="76"/>
      <c r="Z20" s="3">
        <f ca="1">DATEDIF(Table1[[#This Row],[تاريخ الميلاد]],TODAY(),"y")</f>
        <v>27</v>
      </c>
      <c r="AA2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27 عام 8  شهر  8  يوم </v>
      </c>
      <c r="AB2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0عام8  شهر  18  يوم </v>
      </c>
      <c r="AC20" s="10">
        <f>DATE(YEAR(Table1[[#This Row],[تاريخ الميلاد]])+60,MONTH(Table1[[#This Row],[تاريخ الميلاد]]),DAY(Table1[[#This Row],[تاريخ الميلاد]]))</f>
        <v>58056</v>
      </c>
      <c r="AD20" s="14">
        <f>DATE(YEAR(Table1[[#This Row],[معاش 01/01]])-1,MONTH(Table1[[#This Row],[تاريخ بلوغ 60 ]]),DAY(Table1[[#This Row],[تاريخ بلوغ 60 ]]))</f>
        <v>58056</v>
      </c>
      <c r="AE2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58421</v>
      </c>
      <c r="AF20" s="10" t="str">
        <f>IFERROR(IF(ISODD(MID(Table1[[#This Row],[الرقم القومي]],13,1)),"ذكر","انثي"),"")</f>
        <v>ذكر</v>
      </c>
      <c r="AG20" s="57"/>
      <c r="AH20" s="3">
        <f>IF(MONTH(Table1[[#This Row],[تاريخ بلوغ 60 ]])&lt;&gt;1,1,0)</f>
        <v>1</v>
      </c>
      <c r="AI20" s="3">
        <f>IF(DAY(Table1[[#This Row],[تاريخ بلوغ 60 ]])&lt;&gt;1,1,0)</f>
        <v>1</v>
      </c>
      <c r="AJ20" s="4" t="s">
        <v>465</v>
      </c>
      <c r="AK20" s="4" t="s">
        <v>2689</v>
      </c>
      <c r="AL20" s="4" t="s">
        <v>3087</v>
      </c>
      <c r="AM20" s="62" t="s">
        <v>3086</v>
      </c>
      <c r="AN20" s="2">
        <v>3</v>
      </c>
      <c r="AO20" s="4" t="s">
        <v>2641</v>
      </c>
      <c r="AP20" s="74">
        <v>450.91</v>
      </c>
      <c r="AQ20" s="4">
        <v>25</v>
      </c>
      <c r="AR20" s="4">
        <v>0</v>
      </c>
      <c r="AS20" s="4" t="s">
        <v>2645</v>
      </c>
      <c r="AT20" s="72">
        <v>0</v>
      </c>
      <c r="AU20" s="2">
        <v>6</v>
      </c>
      <c r="AV20" s="4"/>
      <c r="AW20" s="4"/>
      <c r="AX20" s="4"/>
    </row>
    <row r="21" spans="1:50" ht="15" x14ac:dyDescent="0.2">
      <c r="A21" s="56">
        <v>201727</v>
      </c>
      <c r="B21" s="1" t="s">
        <v>471</v>
      </c>
      <c r="C21" s="3">
        <v>1</v>
      </c>
      <c r="D21" s="3" t="s">
        <v>465</v>
      </c>
      <c r="E21" s="3">
        <v>21</v>
      </c>
      <c r="F21" s="3" t="s">
        <v>474</v>
      </c>
      <c r="G21" s="7" t="s">
        <v>420</v>
      </c>
      <c r="H21" s="3">
        <v>1011</v>
      </c>
      <c r="I21" s="3" t="s">
        <v>532</v>
      </c>
      <c r="J21" s="3">
        <v>38</v>
      </c>
      <c r="K21" s="3" t="s">
        <v>1522</v>
      </c>
      <c r="L21" s="3">
        <v>0</v>
      </c>
      <c r="M21" s="3" t="s">
        <v>1522</v>
      </c>
      <c r="N21" s="3" t="s">
        <v>532</v>
      </c>
      <c r="O21" s="10">
        <v>33914</v>
      </c>
      <c r="P21" s="10">
        <v>46244</v>
      </c>
      <c r="Q21" s="10"/>
      <c r="R21" s="10">
        <v>46244</v>
      </c>
      <c r="S21" s="23">
        <v>1921</v>
      </c>
      <c r="T21" s="3">
        <v>0</v>
      </c>
      <c r="U21" s="3">
        <v>29211060300054</v>
      </c>
      <c r="V21" s="76"/>
      <c r="W21" s="76"/>
      <c r="X21" s="76"/>
      <c r="Y21" s="76"/>
      <c r="Z21" s="3">
        <f ca="1">DATEDIF(Table1[[#This Row],[تاريخ الميلاد]],TODAY(),"y")</f>
        <v>33</v>
      </c>
      <c r="AA2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33 عام 9  شهر  14  يوم </v>
      </c>
      <c r="AB2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0عام0  شهر  10  يوم </v>
      </c>
      <c r="AC21" s="10">
        <f>DATE(YEAR(Table1[[#This Row],[تاريخ الميلاد]])+60,MONTH(Table1[[#This Row],[تاريخ الميلاد]]),DAY(Table1[[#This Row],[تاريخ الميلاد]]))</f>
        <v>55829</v>
      </c>
      <c r="AD21" s="14">
        <f>DATE(YEAR(Table1[[#This Row],[معاش 01/01]])-1,MONTH(Table1[[#This Row],[تاريخ بلوغ 60 ]]),DAY(Table1[[#This Row],[تاريخ بلوغ 60 ]]))</f>
        <v>55829</v>
      </c>
      <c r="AE2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56194</v>
      </c>
      <c r="AF21" s="10" t="str">
        <f>IFERROR(IF(ISODD(MID(Table1[[#This Row],[الرقم القومي]],13,1)),"ذكر","انثي"),"")</f>
        <v>ذكر</v>
      </c>
      <c r="AG21" s="57"/>
      <c r="AH21" s="3">
        <f>IF(MONTH(Table1[[#This Row],[تاريخ بلوغ 60 ]])&lt;&gt;1,1,0)</f>
        <v>1</v>
      </c>
      <c r="AI21" s="3">
        <f>IF(DAY(Table1[[#This Row],[تاريخ بلوغ 60 ]])&lt;&gt;1,1,0)</f>
        <v>1</v>
      </c>
      <c r="AJ21" s="4" t="s">
        <v>465</v>
      </c>
      <c r="AK21" s="4" t="s">
        <v>2636</v>
      </c>
      <c r="AL21" s="4" t="s">
        <v>3179</v>
      </c>
      <c r="AM21" s="62" t="s">
        <v>3178</v>
      </c>
      <c r="AN21" s="2">
        <v>0</v>
      </c>
      <c r="AO21" s="4" t="s">
        <v>2634</v>
      </c>
      <c r="AP21" s="74">
        <v>0</v>
      </c>
      <c r="AQ21" s="4">
        <v>0</v>
      </c>
      <c r="AR21" s="4">
        <v>0</v>
      </c>
      <c r="AS21" s="4" t="s">
        <v>2645</v>
      </c>
      <c r="AT21" s="72">
        <v>0</v>
      </c>
      <c r="AU21" s="2">
        <v>0</v>
      </c>
      <c r="AV21" s="4"/>
      <c r="AW21" s="4"/>
      <c r="AX21" s="4"/>
    </row>
    <row r="22" spans="1:50" ht="15" x14ac:dyDescent="0.2">
      <c r="A22" s="56">
        <v>201731</v>
      </c>
      <c r="B22" s="1" t="s">
        <v>471</v>
      </c>
      <c r="C22" s="3">
        <v>1</v>
      </c>
      <c r="D22" s="3" t="s">
        <v>465</v>
      </c>
      <c r="E22" s="3">
        <v>21</v>
      </c>
      <c r="F22" s="3" t="s">
        <v>474</v>
      </c>
      <c r="G22" s="7" t="s">
        <v>421</v>
      </c>
      <c r="H22" s="3">
        <v>1011</v>
      </c>
      <c r="I22" s="3" t="s">
        <v>532</v>
      </c>
      <c r="J22" s="3">
        <v>38</v>
      </c>
      <c r="K22" s="3" t="s">
        <v>1522</v>
      </c>
      <c r="L22" s="3">
        <v>0</v>
      </c>
      <c r="M22" s="3" t="s">
        <v>1522</v>
      </c>
      <c r="N22" s="3" t="s">
        <v>532</v>
      </c>
      <c r="O22" s="10">
        <v>32313</v>
      </c>
      <c r="P22" s="10">
        <v>46239</v>
      </c>
      <c r="Q22" s="10"/>
      <c r="R22" s="10">
        <v>46239</v>
      </c>
      <c r="S22" s="23">
        <v>1921</v>
      </c>
      <c r="T22" s="3">
        <v>0</v>
      </c>
      <c r="U22" s="3">
        <v>28806190300099</v>
      </c>
      <c r="V22" s="76"/>
      <c r="W22" s="76"/>
      <c r="X22" s="76"/>
      <c r="Y22" s="76"/>
      <c r="Z22" s="3">
        <f ca="1">DATEDIF(Table1[[#This Row],[تاريخ الميلاد]],TODAY(),"y")</f>
        <v>38</v>
      </c>
      <c r="AA2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2  شهر  1  يوم </v>
      </c>
      <c r="AB2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0عام0  شهر  15  يوم </v>
      </c>
      <c r="AC22" s="10">
        <f>DATE(YEAR(Table1[[#This Row],[تاريخ الميلاد]])+60,MONTH(Table1[[#This Row],[تاريخ الميلاد]]),DAY(Table1[[#This Row],[تاريخ الميلاد]]))</f>
        <v>54228</v>
      </c>
      <c r="AD22" s="14">
        <f>DATE(YEAR(Table1[[#This Row],[معاش 01/01]])-1,MONTH(Table1[[#This Row],[تاريخ بلوغ 60 ]]),DAY(Table1[[#This Row],[تاريخ بلوغ 60 ]]))</f>
        <v>54228</v>
      </c>
      <c r="AE2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54593</v>
      </c>
      <c r="AF22" s="10" t="str">
        <f>IFERROR(IF(ISODD(MID(Table1[[#This Row],[الرقم القومي]],13,1)),"ذكر","انثي"),"")</f>
        <v>ذكر</v>
      </c>
      <c r="AG22" s="57"/>
      <c r="AH22" s="3">
        <f>IF(MONTH(Table1[[#This Row],[تاريخ بلوغ 60 ]])&lt;&gt;1,1,0)</f>
        <v>1</v>
      </c>
      <c r="AI22" s="3">
        <f>IF(DAY(Table1[[#This Row],[تاريخ بلوغ 60 ]])&lt;&gt;1,1,0)</f>
        <v>1</v>
      </c>
      <c r="AJ22" s="4" t="s">
        <v>465</v>
      </c>
      <c r="AK22" s="4" t="s">
        <v>2666</v>
      </c>
      <c r="AL22" s="4" t="s">
        <v>3180</v>
      </c>
      <c r="AM22" s="62" t="s">
        <v>2784</v>
      </c>
      <c r="AN22" s="2">
        <v>0</v>
      </c>
      <c r="AO22" s="4" t="s">
        <v>2634</v>
      </c>
      <c r="AP22" s="74">
        <v>0</v>
      </c>
      <c r="AQ22" s="4">
        <v>0</v>
      </c>
      <c r="AR22" s="4">
        <v>3</v>
      </c>
      <c r="AS22" s="4" t="s">
        <v>2668</v>
      </c>
      <c r="AT22" s="72">
        <v>6</v>
      </c>
      <c r="AU22" s="2">
        <v>0</v>
      </c>
      <c r="AV22" s="4"/>
      <c r="AW22" s="4"/>
      <c r="AX22" s="4"/>
    </row>
    <row r="23" spans="1:50" ht="15" x14ac:dyDescent="0.2">
      <c r="A23" s="56">
        <v>201732</v>
      </c>
      <c r="B23" s="1" t="s">
        <v>471</v>
      </c>
      <c r="C23" s="3">
        <v>1</v>
      </c>
      <c r="D23" s="3" t="s">
        <v>465</v>
      </c>
      <c r="E23" s="3">
        <v>21</v>
      </c>
      <c r="F23" s="3" t="s">
        <v>474</v>
      </c>
      <c r="G23" s="7" t="s">
        <v>422</v>
      </c>
      <c r="H23" s="3">
        <v>1011</v>
      </c>
      <c r="I23" s="3" t="s">
        <v>532</v>
      </c>
      <c r="J23" s="3">
        <v>38</v>
      </c>
      <c r="K23" s="3" t="s">
        <v>1522</v>
      </c>
      <c r="L23" s="3">
        <v>0</v>
      </c>
      <c r="M23" s="3" t="s">
        <v>1522</v>
      </c>
      <c r="N23" s="3" t="s">
        <v>532</v>
      </c>
      <c r="O23" s="10">
        <v>31796</v>
      </c>
      <c r="P23" s="10">
        <v>46239</v>
      </c>
      <c r="Q23" s="10"/>
      <c r="R23" s="10">
        <v>46239</v>
      </c>
      <c r="S23" s="23">
        <v>1921</v>
      </c>
      <c r="T23" s="3">
        <v>0</v>
      </c>
      <c r="U23" s="3">
        <v>28701190300114</v>
      </c>
      <c r="V23" s="76"/>
      <c r="W23" s="76"/>
      <c r="X23" s="76"/>
      <c r="Y23" s="76"/>
      <c r="Z23" s="3">
        <f ca="1">DATEDIF(Table1[[#This Row],[تاريخ الميلاد]],TODAY(),"y")</f>
        <v>39</v>
      </c>
      <c r="AA2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39 عام 7  شهر  1  يوم </v>
      </c>
      <c r="AB2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0عام0  شهر  15  يوم </v>
      </c>
      <c r="AC23" s="10">
        <f>DATE(YEAR(Table1[[#This Row],[تاريخ الميلاد]])+60,MONTH(Table1[[#This Row],[تاريخ الميلاد]]),DAY(Table1[[#This Row],[تاريخ الميلاد]]))</f>
        <v>53711</v>
      </c>
      <c r="AD23" s="14">
        <f>DATE(YEAR(Table1[[#This Row],[معاش 01/01]])-1,MONTH(Table1[[#This Row],[تاريخ بلوغ 60 ]]),DAY(Table1[[#This Row],[تاريخ بلوغ 60 ]]))</f>
        <v>53711</v>
      </c>
      <c r="AE2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54076</v>
      </c>
      <c r="AF23" s="10" t="str">
        <f>IFERROR(IF(ISODD(MID(Table1[[#This Row],[الرقم القومي]],13,1)),"ذكر","انثي"),"")</f>
        <v>ذكر</v>
      </c>
      <c r="AG23" s="57"/>
      <c r="AH23" s="3">
        <f>IF(MONTH(Table1[[#This Row],[تاريخ بلوغ 60 ]])&lt;&gt;1,1,0)</f>
        <v>0</v>
      </c>
      <c r="AI23" s="3">
        <f>IF(DAY(Table1[[#This Row],[تاريخ بلوغ 60 ]])&lt;&gt;1,1,0)</f>
        <v>1</v>
      </c>
      <c r="AJ23" s="4" t="s">
        <v>465</v>
      </c>
      <c r="AK23" s="4" t="s">
        <v>2638</v>
      </c>
      <c r="AL23" s="4" t="s">
        <v>3181</v>
      </c>
      <c r="AM23" s="62" t="s">
        <v>2784</v>
      </c>
      <c r="AN23" s="2">
        <v>0</v>
      </c>
      <c r="AO23" s="4" t="s">
        <v>2634</v>
      </c>
      <c r="AP23" s="74">
        <v>0</v>
      </c>
      <c r="AQ23" s="4">
        <v>0</v>
      </c>
      <c r="AR23" s="4">
        <v>3</v>
      </c>
      <c r="AS23" s="4" t="s">
        <v>2668</v>
      </c>
      <c r="AT23" s="72">
        <v>6</v>
      </c>
      <c r="AU23" s="2">
        <v>0</v>
      </c>
      <c r="AV23" s="4"/>
      <c r="AW23" s="4"/>
      <c r="AX23" s="4"/>
    </row>
    <row r="24" spans="1:50" ht="15" x14ac:dyDescent="0.2">
      <c r="A24" s="56">
        <v>201735</v>
      </c>
      <c r="B24" s="1" t="s">
        <v>471</v>
      </c>
      <c r="C24" s="3">
        <v>1</v>
      </c>
      <c r="D24" s="3" t="s">
        <v>465</v>
      </c>
      <c r="E24" s="3">
        <v>21</v>
      </c>
      <c r="F24" s="3" t="s">
        <v>474</v>
      </c>
      <c r="G24" s="7" t="s">
        <v>423</v>
      </c>
      <c r="H24" s="3">
        <v>1011</v>
      </c>
      <c r="I24" s="3" t="s">
        <v>532</v>
      </c>
      <c r="J24" s="3">
        <v>38</v>
      </c>
      <c r="K24" s="3" t="s">
        <v>1522</v>
      </c>
      <c r="L24" s="3">
        <v>0</v>
      </c>
      <c r="M24" s="3" t="s">
        <v>1522</v>
      </c>
      <c r="N24" s="3" t="s">
        <v>532</v>
      </c>
      <c r="O24" s="10">
        <v>32243</v>
      </c>
      <c r="P24" s="10">
        <v>46239</v>
      </c>
      <c r="Q24" s="10"/>
      <c r="R24" s="10">
        <v>46239</v>
      </c>
      <c r="S24" s="23">
        <v>1921</v>
      </c>
      <c r="T24" s="3">
        <v>0</v>
      </c>
      <c r="U24" s="3">
        <v>28804100300319</v>
      </c>
      <c r="V24" s="76"/>
      <c r="W24" s="76"/>
      <c r="X24" s="76"/>
      <c r="Y24" s="76"/>
      <c r="Z24" s="3">
        <f ca="1">DATEDIF(Table1[[#This Row],[تاريخ الميلاد]],TODAY(),"y")</f>
        <v>38</v>
      </c>
      <c r="AA2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4  شهر  10  يوم </v>
      </c>
      <c r="AB2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0عام0  شهر  15  يوم </v>
      </c>
      <c r="AC24" s="10">
        <f>DATE(YEAR(Table1[[#This Row],[تاريخ الميلاد]])+60,MONTH(Table1[[#This Row],[تاريخ الميلاد]]),DAY(Table1[[#This Row],[تاريخ الميلاد]]))</f>
        <v>54158</v>
      </c>
      <c r="AD24" s="14">
        <f>DATE(YEAR(Table1[[#This Row],[معاش 01/01]])-1,MONTH(Table1[[#This Row],[تاريخ بلوغ 60 ]]),DAY(Table1[[#This Row],[تاريخ بلوغ 60 ]]))</f>
        <v>54158</v>
      </c>
      <c r="AE2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54523</v>
      </c>
      <c r="AF24" s="10" t="str">
        <f>IFERROR(IF(ISODD(MID(Table1[[#This Row],[الرقم القومي]],13,1)),"ذكر","انثي"),"")</f>
        <v>ذكر</v>
      </c>
      <c r="AG24" s="57"/>
      <c r="AH24" s="3">
        <f>IF(MONTH(Table1[[#This Row],[تاريخ بلوغ 60 ]])&lt;&gt;1,1,0)</f>
        <v>1</v>
      </c>
      <c r="AI24" s="3">
        <f>IF(DAY(Table1[[#This Row],[تاريخ بلوغ 60 ]])&lt;&gt;1,1,0)</f>
        <v>1</v>
      </c>
      <c r="AJ24" s="4" t="s">
        <v>465</v>
      </c>
      <c r="AK24" s="4" t="s">
        <v>2689</v>
      </c>
      <c r="AL24" s="4" t="s">
        <v>3183</v>
      </c>
      <c r="AM24" s="62" t="s">
        <v>3182</v>
      </c>
      <c r="AN24" s="2">
        <v>0</v>
      </c>
      <c r="AO24" s="4" t="s">
        <v>2634</v>
      </c>
      <c r="AP24" s="74">
        <v>0</v>
      </c>
      <c r="AQ24" s="4">
        <v>0</v>
      </c>
      <c r="AR24" s="4">
        <v>3</v>
      </c>
      <c r="AS24" s="4" t="s">
        <v>2668</v>
      </c>
      <c r="AT24" s="72">
        <v>6</v>
      </c>
      <c r="AU24" s="2">
        <v>0</v>
      </c>
      <c r="AV24" s="4"/>
      <c r="AW24" s="4"/>
      <c r="AX24" s="4"/>
    </row>
    <row r="25" spans="1:50" ht="15" x14ac:dyDescent="0.2">
      <c r="A25" s="56">
        <v>201741</v>
      </c>
      <c r="B25" s="1" t="s">
        <v>471</v>
      </c>
      <c r="C25" s="3">
        <v>1</v>
      </c>
      <c r="D25" s="3" t="s">
        <v>465</v>
      </c>
      <c r="E25" s="3">
        <v>21</v>
      </c>
      <c r="F25" s="3" t="s">
        <v>474</v>
      </c>
      <c r="G25" s="7" t="s">
        <v>424</v>
      </c>
      <c r="H25" s="3">
        <v>1011</v>
      </c>
      <c r="I25" s="3" t="s">
        <v>532</v>
      </c>
      <c r="J25" s="3">
        <v>38</v>
      </c>
      <c r="K25" s="3" t="s">
        <v>1522</v>
      </c>
      <c r="L25" s="3">
        <v>0</v>
      </c>
      <c r="M25" s="3" t="s">
        <v>1522</v>
      </c>
      <c r="N25" s="3" t="s">
        <v>532</v>
      </c>
      <c r="O25" s="10">
        <v>33957</v>
      </c>
      <c r="P25" s="10">
        <v>46239</v>
      </c>
      <c r="Q25" s="10"/>
      <c r="R25" s="10">
        <v>46239</v>
      </c>
      <c r="S25" s="23">
        <v>1921</v>
      </c>
      <c r="T25" s="3">
        <v>0</v>
      </c>
      <c r="U25" s="3">
        <v>29212190300176</v>
      </c>
      <c r="V25" s="76"/>
      <c r="W25" s="76"/>
      <c r="X25" s="76"/>
      <c r="Y25" s="76"/>
      <c r="Z25" s="3">
        <f ca="1">DATEDIF(Table1[[#This Row],[تاريخ الميلاد]],TODAY(),"y")</f>
        <v>33</v>
      </c>
      <c r="AA2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33 عام 8  شهر  1  يوم </v>
      </c>
      <c r="AB2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0عام0  شهر  15  يوم </v>
      </c>
      <c r="AC25" s="10">
        <f>DATE(YEAR(Table1[[#This Row],[تاريخ الميلاد]])+60,MONTH(Table1[[#This Row],[تاريخ الميلاد]]),DAY(Table1[[#This Row],[تاريخ الميلاد]]))</f>
        <v>55872</v>
      </c>
      <c r="AD25" s="14">
        <f>DATE(YEAR(Table1[[#This Row],[معاش 01/01]])-1,MONTH(Table1[[#This Row],[تاريخ بلوغ 60 ]]),DAY(Table1[[#This Row],[تاريخ بلوغ 60 ]]))</f>
        <v>55872</v>
      </c>
      <c r="AE2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56237</v>
      </c>
      <c r="AF25" s="10" t="str">
        <f>IFERROR(IF(ISODD(MID(Table1[[#This Row],[الرقم القومي]],13,1)),"ذكر","انثي"),"")</f>
        <v>ذكر</v>
      </c>
      <c r="AG25" s="57"/>
      <c r="AH25" s="3">
        <f>IF(MONTH(Table1[[#This Row],[تاريخ بلوغ 60 ]])&lt;&gt;1,1,0)</f>
        <v>1</v>
      </c>
      <c r="AI25" s="3">
        <f>IF(DAY(Table1[[#This Row],[تاريخ بلوغ 60 ]])&lt;&gt;1,1,0)</f>
        <v>1</v>
      </c>
      <c r="AJ25" s="4" t="s">
        <v>465</v>
      </c>
      <c r="AK25" s="4" t="s">
        <v>2636</v>
      </c>
      <c r="AL25" s="4" t="s">
        <v>3185</v>
      </c>
      <c r="AM25" s="62" t="s">
        <v>3184</v>
      </c>
      <c r="AN25" s="2">
        <v>0</v>
      </c>
      <c r="AO25" s="4" t="s">
        <v>2634</v>
      </c>
      <c r="AP25" s="74">
        <v>0</v>
      </c>
      <c r="AQ25" s="4">
        <v>0</v>
      </c>
      <c r="AR25" s="4">
        <v>3</v>
      </c>
      <c r="AS25" s="4" t="s">
        <v>2668</v>
      </c>
      <c r="AT25" s="72">
        <v>6</v>
      </c>
      <c r="AU25" s="2">
        <v>0</v>
      </c>
      <c r="AV25" s="4"/>
      <c r="AW25" s="4"/>
      <c r="AX25" s="4"/>
    </row>
    <row r="26" spans="1:50" ht="15" x14ac:dyDescent="0.2">
      <c r="A26" s="56">
        <v>201743</v>
      </c>
      <c r="B26" s="1" t="s">
        <v>471</v>
      </c>
      <c r="C26" s="3">
        <v>1</v>
      </c>
      <c r="D26" s="3" t="s">
        <v>465</v>
      </c>
      <c r="E26" s="3">
        <v>21</v>
      </c>
      <c r="F26" s="3" t="s">
        <v>474</v>
      </c>
      <c r="G26" s="7" t="s">
        <v>425</v>
      </c>
      <c r="H26" s="3">
        <v>1011</v>
      </c>
      <c r="I26" s="3" t="s">
        <v>532</v>
      </c>
      <c r="J26" s="3">
        <v>38</v>
      </c>
      <c r="K26" s="3" t="s">
        <v>1522</v>
      </c>
      <c r="L26" s="3">
        <v>0</v>
      </c>
      <c r="M26" s="3" t="s">
        <v>1522</v>
      </c>
      <c r="N26" s="3" t="s">
        <v>532</v>
      </c>
      <c r="O26" s="10">
        <v>32408</v>
      </c>
      <c r="P26" s="10">
        <v>46239</v>
      </c>
      <c r="Q26" s="10"/>
      <c r="R26" s="10">
        <v>46239</v>
      </c>
      <c r="S26" s="23">
        <v>1921</v>
      </c>
      <c r="T26" s="3">
        <v>0</v>
      </c>
      <c r="U26" s="3">
        <v>28809220300136</v>
      </c>
      <c r="V26" s="76"/>
      <c r="W26" s="76"/>
      <c r="X26" s="76"/>
      <c r="Y26" s="76"/>
      <c r="Z26" s="3">
        <f ca="1">DATEDIF(Table1[[#This Row],[تاريخ الميلاد]],TODAY(),"y")</f>
        <v>37</v>
      </c>
      <c r="AA2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10  شهر  29  يوم </v>
      </c>
      <c r="AB2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0عام0  شهر  15  يوم </v>
      </c>
      <c r="AC26" s="10">
        <f>DATE(YEAR(Table1[[#This Row],[تاريخ الميلاد]])+60,MONTH(Table1[[#This Row],[تاريخ الميلاد]]),DAY(Table1[[#This Row],[تاريخ الميلاد]]))</f>
        <v>54323</v>
      </c>
      <c r="AD26" s="14">
        <f>DATE(YEAR(Table1[[#This Row],[معاش 01/01]])-1,MONTH(Table1[[#This Row],[تاريخ بلوغ 60 ]]),DAY(Table1[[#This Row],[تاريخ بلوغ 60 ]]))</f>
        <v>54323</v>
      </c>
      <c r="AE2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54688</v>
      </c>
      <c r="AF26" s="10" t="str">
        <f>IFERROR(IF(ISODD(MID(Table1[[#This Row],[الرقم القومي]],13,1)),"ذكر","انثي"),"")</f>
        <v>ذكر</v>
      </c>
      <c r="AG26" s="57"/>
      <c r="AH26" s="3">
        <f>IF(MONTH(Table1[[#This Row],[تاريخ بلوغ 60 ]])&lt;&gt;1,1,0)</f>
        <v>1</v>
      </c>
      <c r="AI26" s="3">
        <f>IF(DAY(Table1[[#This Row],[تاريخ بلوغ 60 ]])&lt;&gt;1,1,0)</f>
        <v>1</v>
      </c>
      <c r="AJ26" s="4" t="s">
        <v>465</v>
      </c>
      <c r="AK26" s="4" t="s">
        <v>2689</v>
      </c>
      <c r="AL26" s="4" t="s">
        <v>3187</v>
      </c>
      <c r="AM26" s="62" t="s">
        <v>3186</v>
      </c>
      <c r="AN26" s="2">
        <v>0</v>
      </c>
      <c r="AO26" s="4" t="s">
        <v>2634</v>
      </c>
      <c r="AP26" s="74">
        <v>0</v>
      </c>
      <c r="AQ26" s="4">
        <v>0</v>
      </c>
      <c r="AR26" s="4">
        <v>3</v>
      </c>
      <c r="AS26" s="4" t="s">
        <v>2668</v>
      </c>
      <c r="AT26" s="72">
        <v>6</v>
      </c>
      <c r="AU26" s="2">
        <v>0</v>
      </c>
      <c r="AV26" s="4"/>
      <c r="AW26" s="4"/>
      <c r="AX26" s="4"/>
    </row>
    <row r="27" spans="1:50" ht="15" x14ac:dyDescent="0.2">
      <c r="A27" s="56">
        <v>201749</v>
      </c>
      <c r="B27" s="1" t="s">
        <v>471</v>
      </c>
      <c r="C27" s="3">
        <v>1</v>
      </c>
      <c r="D27" s="3" t="s">
        <v>465</v>
      </c>
      <c r="E27" s="3">
        <v>21</v>
      </c>
      <c r="F27" s="3" t="s">
        <v>474</v>
      </c>
      <c r="G27" s="7" t="s">
        <v>426</v>
      </c>
      <c r="H27" s="3">
        <v>1011</v>
      </c>
      <c r="I27" s="3" t="s">
        <v>532</v>
      </c>
      <c r="J27" s="3">
        <v>38</v>
      </c>
      <c r="K27" s="3" t="s">
        <v>1522</v>
      </c>
      <c r="L27" s="3">
        <v>0</v>
      </c>
      <c r="M27" s="3" t="s">
        <v>1522</v>
      </c>
      <c r="N27" s="3" t="s">
        <v>532</v>
      </c>
      <c r="O27" s="10">
        <v>31801</v>
      </c>
      <c r="P27" s="10">
        <v>46239</v>
      </c>
      <c r="Q27" s="10"/>
      <c r="R27" s="10">
        <v>46239</v>
      </c>
      <c r="S27" s="23">
        <v>1921</v>
      </c>
      <c r="T27" s="3">
        <v>0</v>
      </c>
      <c r="U27" s="3">
        <v>28701240300218</v>
      </c>
      <c r="V27" s="76"/>
      <c r="W27" s="76"/>
      <c r="X27" s="76"/>
      <c r="Y27" s="76"/>
      <c r="Z27" s="3">
        <f ca="1">DATEDIF(Table1[[#This Row],[تاريخ الميلاد]],TODAY(),"y")</f>
        <v>39</v>
      </c>
      <c r="AA2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39 عام 6  شهر  27  يوم </v>
      </c>
      <c r="AB2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0عام0  شهر  15  يوم </v>
      </c>
      <c r="AC27" s="10">
        <f>DATE(YEAR(Table1[[#This Row],[تاريخ الميلاد]])+60,MONTH(Table1[[#This Row],[تاريخ الميلاد]]),DAY(Table1[[#This Row],[تاريخ الميلاد]]))</f>
        <v>53716</v>
      </c>
      <c r="AD27" s="14">
        <f>DATE(YEAR(Table1[[#This Row],[معاش 01/01]])-1,MONTH(Table1[[#This Row],[تاريخ بلوغ 60 ]]),DAY(Table1[[#This Row],[تاريخ بلوغ 60 ]]))</f>
        <v>53716</v>
      </c>
      <c r="AE2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54081</v>
      </c>
      <c r="AF27" s="10" t="str">
        <f>IFERROR(IF(ISODD(MID(Table1[[#This Row],[الرقم القومي]],13,1)),"ذكر","انثي"),"")</f>
        <v>ذكر</v>
      </c>
      <c r="AG27" s="57"/>
      <c r="AH27" s="3">
        <f>IF(MONTH(Table1[[#This Row],[تاريخ بلوغ 60 ]])&lt;&gt;1,1,0)</f>
        <v>0</v>
      </c>
      <c r="AI27" s="3">
        <f>IF(DAY(Table1[[#This Row],[تاريخ بلوغ 60 ]])&lt;&gt;1,1,0)</f>
        <v>1</v>
      </c>
      <c r="AJ27" s="4" t="s">
        <v>465</v>
      </c>
      <c r="AK27" s="4" t="s">
        <v>2636</v>
      </c>
      <c r="AL27" s="4" t="s">
        <v>3189</v>
      </c>
      <c r="AM27" s="62" t="s">
        <v>3188</v>
      </c>
      <c r="AN27" s="2">
        <v>0</v>
      </c>
      <c r="AO27" s="4" t="s">
        <v>2634</v>
      </c>
      <c r="AP27" s="74">
        <v>0</v>
      </c>
      <c r="AQ27" s="4">
        <v>0</v>
      </c>
      <c r="AR27" s="4">
        <v>3</v>
      </c>
      <c r="AS27" s="4" t="s">
        <v>2668</v>
      </c>
      <c r="AT27" s="72">
        <v>6</v>
      </c>
      <c r="AU27" s="2">
        <v>0</v>
      </c>
      <c r="AV27" s="4"/>
      <c r="AW27" s="4"/>
      <c r="AX27" s="4"/>
    </row>
    <row r="28" spans="1:50" ht="15" x14ac:dyDescent="0.2">
      <c r="A28" s="56">
        <v>201750</v>
      </c>
      <c r="B28" s="1" t="s">
        <v>471</v>
      </c>
      <c r="C28" s="3">
        <v>1</v>
      </c>
      <c r="D28" s="3" t="s">
        <v>465</v>
      </c>
      <c r="E28" s="3">
        <v>21</v>
      </c>
      <c r="F28" s="3" t="s">
        <v>474</v>
      </c>
      <c r="G28" s="7" t="s">
        <v>427</v>
      </c>
      <c r="H28" s="3">
        <v>1011</v>
      </c>
      <c r="I28" s="3" t="s">
        <v>532</v>
      </c>
      <c r="J28" s="3">
        <v>38</v>
      </c>
      <c r="K28" s="3" t="s">
        <v>1522</v>
      </c>
      <c r="L28" s="3">
        <v>0</v>
      </c>
      <c r="M28" s="3" t="s">
        <v>1522</v>
      </c>
      <c r="N28" s="3" t="s">
        <v>532</v>
      </c>
      <c r="O28" s="10">
        <v>30933</v>
      </c>
      <c r="P28" s="10">
        <v>46244</v>
      </c>
      <c r="Q28" s="10"/>
      <c r="R28" s="10">
        <v>46244</v>
      </c>
      <c r="S28" s="23">
        <v>1921</v>
      </c>
      <c r="T28" s="3">
        <v>0</v>
      </c>
      <c r="U28" s="3">
        <v>28409080300353</v>
      </c>
      <c r="V28" s="76"/>
      <c r="W28" s="76"/>
      <c r="X28" s="76"/>
      <c r="Y28" s="76"/>
      <c r="Z28" s="3">
        <f ca="1">DATEDIF(Table1[[#This Row],[تاريخ الميلاد]],TODAY(),"y")</f>
        <v>41</v>
      </c>
      <c r="AA2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41 عام 11  شهر  12  يوم </v>
      </c>
      <c r="AB2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0عام0  شهر  10  يوم </v>
      </c>
      <c r="AC28" s="10">
        <f>DATE(YEAR(Table1[[#This Row],[تاريخ الميلاد]])+60,MONTH(Table1[[#This Row],[تاريخ الميلاد]]),DAY(Table1[[#This Row],[تاريخ الميلاد]]))</f>
        <v>52848</v>
      </c>
      <c r="AD28" s="14">
        <f>DATE(YEAR(Table1[[#This Row],[معاش 01/01]])-1,MONTH(Table1[[#This Row],[تاريخ بلوغ 60 ]]),DAY(Table1[[#This Row],[تاريخ بلوغ 60 ]]))</f>
        <v>52848</v>
      </c>
      <c r="AE2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53213</v>
      </c>
      <c r="AF28" s="10" t="str">
        <f>IFERROR(IF(ISODD(MID(Table1[[#This Row],[الرقم القومي]],13,1)),"ذكر","انثي"),"")</f>
        <v>ذكر</v>
      </c>
      <c r="AG28" s="57"/>
      <c r="AH28" s="3">
        <f>IF(MONTH(Table1[[#This Row],[تاريخ بلوغ 60 ]])&lt;&gt;1,1,0)</f>
        <v>1</v>
      </c>
      <c r="AI28" s="3">
        <f>IF(DAY(Table1[[#This Row],[تاريخ بلوغ 60 ]])&lt;&gt;1,1,0)</f>
        <v>1</v>
      </c>
      <c r="AJ28" s="4" t="s">
        <v>465</v>
      </c>
      <c r="AK28" s="4" t="s">
        <v>2689</v>
      </c>
      <c r="AL28" s="4" t="s">
        <v>3191</v>
      </c>
      <c r="AM28" s="62" t="s">
        <v>3190</v>
      </c>
      <c r="AN28" s="2">
        <v>0</v>
      </c>
      <c r="AO28" s="4" t="s">
        <v>2634</v>
      </c>
      <c r="AP28" s="74">
        <v>0</v>
      </c>
      <c r="AQ28" s="4">
        <v>0</v>
      </c>
      <c r="AR28" s="4">
        <v>3</v>
      </c>
      <c r="AS28" s="4" t="s">
        <v>2668</v>
      </c>
      <c r="AT28" s="72">
        <v>6</v>
      </c>
      <c r="AU28" s="2">
        <v>0</v>
      </c>
      <c r="AV28" s="4"/>
      <c r="AW28" s="4"/>
      <c r="AX28" s="4"/>
    </row>
    <row r="29" spans="1:50" ht="15" x14ac:dyDescent="0.2">
      <c r="A29" s="56">
        <v>201751</v>
      </c>
      <c r="B29" s="1" t="s">
        <v>471</v>
      </c>
      <c r="C29" s="3">
        <v>1</v>
      </c>
      <c r="D29" s="3" t="s">
        <v>465</v>
      </c>
      <c r="E29" s="3">
        <v>21</v>
      </c>
      <c r="F29" s="3" t="s">
        <v>474</v>
      </c>
      <c r="G29" s="7" t="s">
        <v>428</v>
      </c>
      <c r="H29" s="3">
        <v>1011</v>
      </c>
      <c r="I29" s="3" t="s">
        <v>532</v>
      </c>
      <c r="J29" s="3">
        <v>38</v>
      </c>
      <c r="K29" s="3" t="s">
        <v>1522</v>
      </c>
      <c r="L29" s="3">
        <v>0</v>
      </c>
      <c r="M29" s="3" t="s">
        <v>1522</v>
      </c>
      <c r="N29" s="3" t="s">
        <v>532</v>
      </c>
      <c r="O29" s="10">
        <v>32054</v>
      </c>
      <c r="P29" s="10">
        <v>46239</v>
      </c>
      <c r="Q29" s="10"/>
      <c r="R29" s="10">
        <v>46239</v>
      </c>
      <c r="S29" s="23">
        <v>1921</v>
      </c>
      <c r="T29" s="3">
        <v>0</v>
      </c>
      <c r="U29" s="3">
        <v>28710041200777</v>
      </c>
      <c r="V29" s="76"/>
      <c r="W29" s="76"/>
      <c r="X29" s="76"/>
      <c r="Y29" s="76"/>
      <c r="Z29" s="3">
        <f ca="1">DATEDIF(Table1[[#This Row],[تاريخ الميلاد]],TODAY(),"y")</f>
        <v>38</v>
      </c>
      <c r="AA2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10  شهر  16  يوم </v>
      </c>
      <c r="AB2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0عام0  شهر  15  يوم </v>
      </c>
      <c r="AC29" s="10">
        <f>DATE(YEAR(Table1[[#This Row],[تاريخ الميلاد]])+60,MONTH(Table1[[#This Row],[تاريخ الميلاد]]),DAY(Table1[[#This Row],[تاريخ الميلاد]]))</f>
        <v>53969</v>
      </c>
      <c r="AD29" s="14">
        <f>DATE(YEAR(Table1[[#This Row],[معاش 01/01]])-1,MONTH(Table1[[#This Row],[تاريخ بلوغ 60 ]]),DAY(Table1[[#This Row],[تاريخ بلوغ 60 ]]))</f>
        <v>53969</v>
      </c>
      <c r="AE2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54335</v>
      </c>
      <c r="AF29" s="10" t="str">
        <f>IFERROR(IF(ISODD(MID(Table1[[#This Row],[الرقم القومي]],13,1)),"ذكر","انثي"),"")</f>
        <v>ذكر</v>
      </c>
      <c r="AG29" s="57"/>
      <c r="AH29" s="3">
        <f>IF(MONTH(Table1[[#This Row],[تاريخ بلوغ 60 ]])&lt;&gt;1,1,0)</f>
        <v>1</v>
      </c>
      <c r="AI29" s="3">
        <f>IF(DAY(Table1[[#This Row],[تاريخ بلوغ 60 ]])&lt;&gt;1,1,0)</f>
        <v>1</v>
      </c>
      <c r="AJ29" s="4" t="s">
        <v>465</v>
      </c>
      <c r="AK29" s="4" t="s">
        <v>2636</v>
      </c>
      <c r="AL29" s="4" t="s">
        <v>3193</v>
      </c>
      <c r="AM29" s="62" t="s">
        <v>3192</v>
      </c>
      <c r="AN29" s="2">
        <v>0</v>
      </c>
      <c r="AO29" s="4" t="s">
        <v>2634</v>
      </c>
      <c r="AP29" s="74">
        <v>0</v>
      </c>
      <c r="AQ29" s="4">
        <v>0</v>
      </c>
      <c r="AR29" s="4">
        <v>2</v>
      </c>
      <c r="AS29" s="4" t="s">
        <v>2696</v>
      </c>
      <c r="AT29" s="72">
        <v>4</v>
      </c>
      <c r="AU29" s="2">
        <v>0</v>
      </c>
      <c r="AV29" s="4"/>
      <c r="AW29" s="4"/>
      <c r="AX29" s="4"/>
    </row>
    <row r="30" spans="1:50" ht="15" x14ac:dyDescent="0.2">
      <c r="A30" s="56">
        <v>201752</v>
      </c>
      <c r="B30" s="1" t="s">
        <v>471</v>
      </c>
      <c r="C30" s="3">
        <v>1</v>
      </c>
      <c r="D30" s="3" t="s">
        <v>465</v>
      </c>
      <c r="E30" s="3">
        <v>21</v>
      </c>
      <c r="F30" s="3" t="s">
        <v>474</v>
      </c>
      <c r="G30" s="7" t="s">
        <v>429</v>
      </c>
      <c r="H30" s="3">
        <v>1011</v>
      </c>
      <c r="I30" s="3" t="s">
        <v>532</v>
      </c>
      <c r="J30" s="3">
        <v>38</v>
      </c>
      <c r="K30" s="3" t="s">
        <v>1522</v>
      </c>
      <c r="L30" s="3">
        <v>0</v>
      </c>
      <c r="M30" s="3" t="s">
        <v>1522</v>
      </c>
      <c r="N30" s="3" t="s">
        <v>532</v>
      </c>
      <c r="O30" s="10">
        <v>32143</v>
      </c>
      <c r="P30" s="10">
        <v>46239</v>
      </c>
      <c r="Q30" s="10"/>
      <c r="R30" s="10">
        <v>46239</v>
      </c>
      <c r="S30" s="23">
        <v>1921</v>
      </c>
      <c r="T30" s="3">
        <v>0</v>
      </c>
      <c r="U30" s="3">
        <v>28801011907511</v>
      </c>
      <c r="V30" s="76"/>
      <c r="W30" s="76"/>
      <c r="X30" s="76"/>
      <c r="Y30" s="76"/>
      <c r="Z30" s="3">
        <f ca="1">DATEDIF(Table1[[#This Row],[تاريخ الميلاد]],TODAY(),"y")</f>
        <v>38</v>
      </c>
      <c r="AA3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7  شهر  19  يوم </v>
      </c>
      <c r="AB3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0عام0  شهر  15  يوم </v>
      </c>
      <c r="AC30" s="10">
        <f>DATE(YEAR(Table1[[#This Row],[تاريخ الميلاد]])+60,MONTH(Table1[[#This Row],[تاريخ الميلاد]]),DAY(Table1[[#This Row],[تاريخ الميلاد]]))</f>
        <v>54058</v>
      </c>
      <c r="AD30" s="14">
        <f>DATE(YEAR(Table1[[#This Row],[معاش 01/01]])-1,MONTH(Table1[[#This Row],[تاريخ بلوغ 60 ]]),DAY(Table1[[#This Row],[تاريخ بلوغ 60 ]]))</f>
        <v>53693</v>
      </c>
      <c r="AE3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54058</v>
      </c>
      <c r="AF30" s="10" t="str">
        <f>IFERROR(IF(ISODD(MID(Table1[[#This Row],[الرقم القومي]],13,1)),"ذكر","انثي"),"")</f>
        <v>ذكر</v>
      </c>
      <c r="AG30" s="57"/>
      <c r="AH30" s="3">
        <f>IF(MONTH(Table1[[#This Row],[تاريخ بلوغ 60 ]])&lt;&gt;1,1,0)</f>
        <v>0</v>
      </c>
      <c r="AI30" s="3">
        <f>IF(DAY(Table1[[#This Row],[تاريخ بلوغ 60 ]])&lt;&gt;1,1,0)</f>
        <v>0</v>
      </c>
      <c r="AJ30" s="4" t="s">
        <v>465</v>
      </c>
      <c r="AK30" s="4" t="s">
        <v>2636</v>
      </c>
      <c r="AL30" s="4" t="s">
        <v>3195</v>
      </c>
      <c r="AM30" s="62" t="s">
        <v>3194</v>
      </c>
      <c r="AN30" s="2">
        <v>0</v>
      </c>
      <c r="AO30" s="4" t="s">
        <v>2634</v>
      </c>
      <c r="AP30" s="74">
        <v>0</v>
      </c>
      <c r="AQ30" s="4">
        <v>0</v>
      </c>
      <c r="AR30" s="4">
        <v>3</v>
      </c>
      <c r="AS30" s="4" t="s">
        <v>2668</v>
      </c>
      <c r="AT30" s="72">
        <v>6</v>
      </c>
      <c r="AU30" s="2">
        <v>0</v>
      </c>
      <c r="AV30" s="4"/>
      <c r="AW30" s="4"/>
      <c r="AX30" s="4"/>
    </row>
    <row r="31" spans="1:50" ht="15" x14ac:dyDescent="0.2">
      <c r="A31" s="56">
        <v>201754</v>
      </c>
      <c r="B31" s="1" t="s">
        <v>471</v>
      </c>
      <c r="C31" s="3">
        <v>1</v>
      </c>
      <c r="D31" s="3" t="s">
        <v>465</v>
      </c>
      <c r="E31" s="3">
        <v>21</v>
      </c>
      <c r="F31" s="3" t="s">
        <v>474</v>
      </c>
      <c r="G31" s="7" t="s">
        <v>430</v>
      </c>
      <c r="H31" s="3">
        <v>1011</v>
      </c>
      <c r="I31" s="3" t="s">
        <v>532</v>
      </c>
      <c r="J31" s="3">
        <v>38</v>
      </c>
      <c r="K31" s="3" t="s">
        <v>1522</v>
      </c>
      <c r="L31" s="3">
        <v>0</v>
      </c>
      <c r="M31" s="3" t="s">
        <v>1522</v>
      </c>
      <c r="N31" s="3" t="s">
        <v>532</v>
      </c>
      <c r="O31" s="10">
        <v>29611</v>
      </c>
      <c r="P31" s="10">
        <v>46239</v>
      </c>
      <c r="Q31" s="10"/>
      <c r="R31" s="10">
        <v>46239</v>
      </c>
      <c r="S31" s="23">
        <v>1921</v>
      </c>
      <c r="T31" s="3">
        <v>0</v>
      </c>
      <c r="U31" s="3">
        <v>28101250300073</v>
      </c>
      <c r="V31" s="76"/>
      <c r="W31" s="76"/>
      <c r="X31" s="76"/>
      <c r="Y31" s="76"/>
      <c r="Z31" s="3">
        <f ca="1">DATEDIF(Table1[[#This Row],[تاريخ الميلاد]],TODAY(),"y")</f>
        <v>45</v>
      </c>
      <c r="AA3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45 عام 6  شهر  26  يوم </v>
      </c>
      <c r="AB3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0عام0  شهر  15  يوم </v>
      </c>
      <c r="AC31" s="10">
        <f>DATE(YEAR(Table1[[#This Row],[تاريخ الميلاد]])+60,MONTH(Table1[[#This Row],[تاريخ الميلاد]]),DAY(Table1[[#This Row],[تاريخ الميلاد]]))</f>
        <v>51526</v>
      </c>
      <c r="AD31" s="14">
        <f>DATE(YEAR(Table1[[#This Row],[معاش 01/01]])-1,MONTH(Table1[[#This Row],[تاريخ بلوغ 60 ]]),DAY(Table1[[#This Row],[تاريخ بلوغ 60 ]]))</f>
        <v>51526</v>
      </c>
      <c r="AE3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51891</v>
      </c>
      <c r="AF31" s="10" t="str">
        <f>IFERROR(IF(ISODD(MID(Table1[[#This Row],[الرقم القومي]],13,1)),"ذكر","انثي"),"")</f>
        <v>ذكر</v>
      </c>
      <c r="AG31" s="57"/>
      <c r="AH31" s="3">
        <f>IF(MONTH(Table1[[#This Row],[تاريخ بلوغ 60 ]])&lt;&gt;1,1,0)</f>
        <v>0</v>
      </c>
      <c r="AI31" s="3">
        <f>IF(DAY(Table1[[#This Row],[تاريخ بلوغ 60 ]])&lt;&gt;1,1,0)</f>
        <v>1</v>
      </c>
      <c r="AJ31" s="4" t="s">
        <v>465</v>
      </c>
      <c r="AK31" s="4" t="s">
        <v>2636</v>
      </c>
      <c r="AL31" s="4" t="s">
        <v>3197</v>
      </c>
      <c r="AM31" s="62" t="s">
        <v>3196</v>
      </c>
      <c r="AN31" s="2">
        <v>0</v>
      </c>
      <c r="AO31" s="4" t="s">
        <v>2634</v>
      </c>
      <c r="AP31" s="74">
        <v>0</v>
      </c>
      <c r="AQ31" s="4">
        <v>0</v>
      </c>
      <c r="AR31" s="4">
        <v>3</v>
      </c>
      <c r="AS31" s="4" t="s">
        <v>2668</v>
      </c>
      <c r="AT31" s="72">
        <v>6</v>
      </c>
      <c r="AU31" s="2">
        <v>0</v>
      </c>
      <c r="AV31" s="4"/>
      <c r="AW31" s="4"/>
      <c r="AX31" s="4"/>
    </row>
    <row r="32" spans="1:50" ht="15" x14ac:dyDescent="0.2">
      <c r="A32" s="56">
        <v>201755</v>
      </c>
      <c r="B32" s="1" t="s">
        <v>471</v>
      </c>
      <c r="C32" s="3">
        <v>1</v>
      </c>
      <c r="D32" s="3" t="s">
        <v>465</v>
      </c>
      <c r="E32" s="3">
        <v>21</v>
      </c>
      <c r="F32" s="3" t="s">
        <v>474</v>
      </c>
      <c r="G32" s="7" t="s">
        <v>431</v>
      </c>
      <c r="H32" s="3">
        <v>1011</v>
      </c>
      <c r="I32" s="3" t="s">
        <v>532</v>
      </c>
      <c r="J32" s="3">
        <v>38</v>
      </c>
      <c r="K32" s="3" t="s">
        <v>1522</v>
      </c>
      <c r="L32" s="3">
        <v>0</v>
      </c>
      <c r="M32" s="3" t="s">
        <v>1522</v>
      </c>
      <c r="N32" s="3" t="s">
        <v>532</v>
      </c>
      <c r="O32" s="10">
        <v>31500</v>
      </c>
      <c r="P32" s="10">
        <v>46239</v>
      </c>
      <c r="Q32" s="10"/>
      <c r="R32" s="10">
        <v>46239</v>
      </c>
      <c r="S32" s="23">
        <v>1921</v>
      </c>
      <c r="T32" s="3">
        <v>0</v>
      </c>
      <c r="U32" s="3">
        <v>28603290300152</v>
      </c>
      <c r="V32" s="76"/>
      <c r="W32" s="76"/>
      <c r="X32" s="76"/>
      <c r="Y32" s="76"/>
      <c r="Z32" s="3">
        <f ca="1">DATEDIF(Table1[[#This Row],[تاريخ الميلاد]],TODAY(),"y")</f>
        <v>40</v>
      </c>
      <c r="AA3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40 عام 4  شهر  22  يوم </v>
      </c>
      <c r="AB3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0عام0  شهر  15  يوم </v>
      </c>
      <c r="AC32" s="10">
        <f>DATE(YEAR(Table1[[#This Row],[تاريخ الميلاد]])+60,MONTH(Table1[[#This Row],[تاريخ الميلاد]]),DAY(Table1[[#This Row],[تاريخ الميلاد]]))</f>
        <v>53415</v>
      </c>
      <c r="AD32" s="14">
        <f>DATE(YEAR(Table1[[#This Row],[معاش 01/01]])-1,MONTH(Table1[[#This Row],[تاريخ بلوغ 60 ]]),DAY(Table1[[#This Row],[تاريخ بلوغ 60 ]]))</f>
        <v>53415</v>
      </c>
      <c r="AE3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53780</v>
      </c>
      <c r="AF32" s="10" t="str">
        <f>IFERROR(IF(ISODD(MID(Table1[[#This Row],[الرقم القومي]],13,1)),"ذكر","انثي"),"")</f>
        <v>ذكر</v>
      </c>
      <c r="AG32" s="57"/>
      <c r="AH32" s="3">
        <f>IF(MONTH(Table1[[#This Row],[تاريخ بلوغ 60 ]])&lt;&gt;1,1,0)</f>
        <v>1</v>
      </c>
      <c r="AI32" s="3">
        <f>IF(DAY(Table1[[#This Row],[تاريخ بلوغ 60 ]])&lt;&gt;1,1,0)</f>
        <v>1</v>
      </c>
      <c r="AJ32" s="4" t="s">
        <v>465</v>
      </c>
      <c r="AK32" s="4" t="s">
        <v>2770</v>
      </c>
      <c r="AL32" s="4" t="s">
        <v>3198</v>
      </c>
      <c r="AM32" s="62" t="s">
        <v>2784</v>
      </c>
      <c r="AN32" s="2">
        <v>0</v>
      </c>
      <c r="AO32" s="4" t="s">
        <v>2634</v>
      </c>
      <c r="AP32" s="74">
        <v>0</v>
      </c>
      <c r="AQ32" s="4">
        <v>0</v>
      </c>
      <c r="AR32" s="4">
        <v>3</v>
      </c>
      <c r="AS32" s="4" t="s">
        <v>2668</v>
      </c>
      <c r="AT32" s="72">
        <v>6</v>
      </c>
      <c r="AU32" s="2">
        <v>0</v>
      </c>
      <c r="AV32" s="4"/>
      <c r="AW32" s="4"/>
      <c r="AX32" s="4"/>
    </row>
    <row r="33" spans="1:50" ht="15" x14ac:dyDescent="0.2">
      <c r="A33" s="56">
        <v>201757</v>
      </c>
      <c r="B33" s="1" t="s">
        <v>471</v>
      </c>
      <c r="C33" s="3">
        <v>1</v>
      </c>
      <c r="D33" s="3" t="s">
        <v>465</v>
      </c>
      <c r="E33" s="3">
        <v>21</v>
      </c>
      <c r="F33" s="3" t="s">
        <v>474</v>
      </c>
      <c r="G33" s="7" t="s">
        <v>432</v>
      </c>
      <c r="H33" s="3">
        <v>1011</v>
      </c>
      <c r="I33" s="3" t="s">
        <v>532</v>
      </c>
      <c r="J33" s="3">
        <v>38</v>
      </c>
      <c r="K33" s="3" t="s">
        <v>1522</v>
      </c>
      <c r="L33" s="3">
        <v>0</v>
      </c>
      <c r="M33" s="3" t="s">
        <v>1522</v>
      </c>
      <c r="N33" s="3" t="s">
        <v>532</v>
      </c>
      <c r="O33" s="10">
        <v>32012</v>
      </c>
      <c r="P33" s="10">
        <v>46239</v>
      </c>
      <c r="Q33" s="10"/>
      <c r="R33" s="10">
        <v>46239</v>
      </c>
      <c r="S33" s="23">
        <v>1921</v>
      </c>
      <c r="T33" s="3">
        <v>0</v>
      </c>
      <c r="U33" s="3">
        <v>28708231201414</v>
      </c>
      <c r="V33" s="76"/>
      <c r="W33" s="76"/>
      <c r="X33" s="76"/>
      <c r="Y33" s="76"/>
      <c r="Z33" s="3">
        <f ca="1">DATEDIF(Table1[[#This Row],[تاريخ الميلاد]],TODAY(),"y")</f>
        <v>38</v>
      </c>
      <c r="AA3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11  شهر  28  يوم </v>
      </c>
      <c r="AB3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0عام0  شهر  15  يوم </v>
      </c>
      <c r="AC33" s="10">
        <f>DATE(YEAR(Table1[[#This Row],[تاريخ الميلاد]])+60,MONTH(Table1[[#This Row],[تاريخ الميلاد]]),DAY(Table1[[#This Row],[تاريخ الميلاد]]))</f>
        <v>53927</v>
      </c>
      <c r="AD33" s="14">
        <f>DATE(YEAR(Table1[[#This Row],[معاش 01/01]])-1,MONTH(Table1[[#This Row],[تاريخ بلوغ 60 ]]),DAY(Table1[[#This Row],[تاريخ بلوغ 60 ]]))</f>
        <v>53927</v>
      </c>
      <c r="AE3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54293</v>
      </c>
      <c r="AF33" s="10" t="str">
        <f>IFERROR(IF(ISODD(MID(Table1[[#This Row],[الرقم القومي]],13,1)),"ذكر","انثي"),"")</f>
        <v>ذكر</v>
      </c>
      <c r="AG33" s="57"/>
      <c r="AH33" s="3">
        <f>IF(MONTH(Table1[[#This Row],[تاريخ بلوغ 60 ]])&lt;&gt;1,1,0)</f>
        <v>1</v>
      </c>
      <c r="AI33" s="3">
        <f>IF(DAY(Table1[[#This Row],[تاريخ بلوغ 60 ]])&lt;&gt;1,1,0)</f>
        <v>1</v>
      </c>
      <c r="AJ33" s="4" t="s">
        <v>465</v>
      </c>
      <c r="AK33" s="4" t="s">
        <v>2689</v>
      </c>
      <c r="AL33" s="4" t="s">
        <v>3200</v>
      </c>
      <c r="AM33" s="62" t="s">
        <v>3199</v>
      </c>
      <c r="AN33" s="2">
        <v>0</v>
      </c>
      <c r="AO33" s="4" t="s">
        <v>2634</v>
      </c>
      <c r="AP33" s="74">
        <v>0</v>
      </c>
      <c r="AQ33" s="4">
        <v>0</v>
      </c>
      <c r="AR33" s="4">
        <v>3</v>
      </c>
      <c r="AS33" s="4" t="s">
        <v>2668</v>
      </c>
      <c r="AT33" s="72">
        <v>6</v>
      </c>
      <c r="AU33" s="2">
        <v>0</v>
      </c>
      <c r="AV33" s="4"/>
      <c r="AW33" s="4"/>
      <c r="AX33" s="4"/>
    </row>
    <row r="34" spans="1:50" ht="15" x14ac:dyDescent="0.2">
      <c r="A34" s="3">
        <v>7478</v>
      </c>
      <c r="B34" s="1" t="s">
        <v>467</v>
      </c>
      <c r="C34" s="3">
        <v>1</v>
      </c>
      <c r="D34" s="3" t="s">
        <v>465</v>
      </c>
      <c r="E34" s="3">
        <v>3</v>
      </c>
      <c r="F34" s="3" t="s">
        <v>472</v>
      </c>
      <c r="G34" s="7" t="s">
        <v>0</v>
      </c>
      <c r="H34" s="3">
        <v>2</v>
      </c>
      <c r="I34" s="3" t="s">
        <v>596</v>
      </c>
      <c r="J34" s="3">
        <v>4</v>
      </c>
      <c r="K34" s="3" t="s">
        <v>1524</v>
      </c>
      <c r="L34" s="3">
        <v>12</v>
      </c>
      <c r="M34" s="3" t="s">
        <v>594</v>
      </c>
      <c r="N34" s="3" t="s">
        <v>603</v>
      </c>
      <c r="O34" s="10">
        <v>26030</v>
      </c>
      <c r="P34" s="10">
        <v>36831</v>
      </c>
      <c r="Q34" s="10"/>
      <c r="R34" s="10">
        <v>46204</v>
      </c>
      <c r="S34" s="22">
        <v>15190.22</v>
      </c>
      <c r="T34" s="58">
        <v>4472049</v>
      </c>
      <c r="U34" s="58">
        <v>27104070200742</v>
      </c>
      <c r="V34" s="4" t="s">
        <v>1596</v>
      </c>
      <c r="W34" s="4"/>
      <c r="X34" s="4" t="s">
        <v>1583</v>
      </c>
      <c r="Y34" s="4">
        <v>1999</v>
      </c>
      <c r="Z34" s="58">
        <f ca="1">DATEDIF(Table1[[#This Row],[تاريخ الميلاد]],TODAY(),"y")</f>
        <v>55</v>
      </c>
      <c r="AA34" s="4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55 عام 4  شهر  13  يوم </v>
      </c>
      <c r="AB34" s="48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25عام9  شهر  19  يوم </v>
      </c>
      <c r="AC34" s="48">
        <f>DATE(YEAR(Table1[[#This Row],[تاريخ الميلاد]])+60,MONTH(Table1[[#This Row],[تاريخ الميلاد]]),DAY(Table1[[#This Row],[تاريخ الميلاد]]))</f>
        <v>47945</v>
      </c>
      <c r="AD34" s="49">
        <f>DATE(YEAR(Table1[[#This Row],[معاش 01/01]])-1,MONTH(Table1[[#This Row],[تاريخ بلوغ 60 ]]),DAY(Table1[[#This Row],[تاريخ بلوغ 60 ]]))</f>
        <v>47945</v>
      </c>
      <c r="AE34" s="50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48311</v>
      </c>
      <c r="AF34" s="48" t="str">
        <f>IFERROR(IF(ISODD(MID(Table1[[#This Row],[الرقم القومي]],13,1)),"ذكر","انثي"),"")</f>
        <v>انثي</v>
      </c>
      <c r="AG34" s="70" t="s">
        <v>2605</v>
      </c>
      <c r="AH34" s="58">
        <f>IF(MONTH(Table1[[#This Row],[تاريخ بلوغ 60 ]])&lt;&gt;1,1,0)</f>
        <v>1</v>
      </c>
      <c r="AI34" s="3">
        <f>IF(DAY(Table1[[#This Row],[تاريخ بلوغ 60 ]])&lt;&gt;1,1,0)</f>
        <v>1</v>
      </c>
      <c r="AJ34" s="4" t="s">
        <v>465</v>
      </c>
      <c r="AK34" s="4" t="s">
        <v>2636</v>
      </c>
      <c r="AL34" s="62" t="s">
        <v>1595</v>
      </c>
      <c r="AM34" s="62" t="s">
        <v>2633</v>
      </c>
      <c r="AN34" s="2">
        <v>0</v>
      </c>
      <c r="AO34" s="4" t="s">
        <v>2634</v>
      </c>
      <c r="AP34" s="74">
        <v>0</v>
      </c>
      <c r="AQ34" s="4">
        <v>0</v>
      </c>
      <c r="AR34" s="4">
        <v>1</v>
      </c>
      <c r="AS34" s="4" t="s">
        <v>2635</v>
      </c>
      <c r="AT34" s="72">
        <v>2</v>
      </c>
      <c r="AU34" s="2">
        <v>12</v>
      </c>
      <c r="AV34" s="4"/>
      <c r="AW34" s="4"/>
      <c r="AX34" s="4"/>
    </row>
    <row r="35" spans="1:50" ht="15" x14ac:dyDescent="0.2">
      <c r="A35" s="3">
        <v>7480</v>
      </c>
      <c r="B35" s="1" t="s">
        <v>467</v>
      </c>
      <c r="C35" s="3">
        <v>1</v>
      </c>
      <c r="D35" s="3" t="s">
        <v>465</v>
      </c>
      <c r="E35" s="3">
        <v>3</v>
      </c>
      <c r="F35" s="3" t="s">
        <v>472</v>
      </c>
      <c r="G35" s="7" t="s">
        <v>1</v>
      </c>
      <c r="H35" s="3">
        <v>2</v>
      </c>
      <c r="I35" s="3" t="s">
        <v>596</v>
      </c>
      <c r="J35" s="3">
        <v>4</v>
      </c>
      <c r="K35" s="3" t="s">
        <v>1524</v>
      </c>
      <c r="L35" s="3">
        <v>11</v>
      </c>
      <c r="M35" s="3" t="s">
        <v>521</v>
      </c>
      <c r="N35" s="3" t="s">
        <v>602</v>
      </c>
      <c r="O35" s="10">
        <v>26919</v>
      </c>
      <c r="P35" s="10">
        <v>37585</v>
      </c>
      <c r="Q35" s="10"/>
      <c r="R35" s="10">
        <v>45474</v>
      </c>
      <c r="S35" s="23">
        <v>13388.42</v>
      </c>
      <c r="T35" s="3">
        <v>51909619</v>
      </c>
      <c r="U35" s="3">
        <v>27309120201002</v>
      </c>
      <c r="V35" s="4" t="s">
        <v>1598</v>
      </c>
      <c r="W35" s="4"/>
      <c r="X35" s="4" t="s">
        <v>1583</v>
      </c>
      <c r="Y35" s="4">
        <v>2002</v>
      </c>
      <c r="Z35" s="3">
        <f ca="1">DATEDIF(Table1[[#This Row],[تاريخ الميلاد]],TODAY(),"y")</f>
        <v>52</v>
      </c>
      <c r="AA3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52 عام 11  شهر  8  يوم </v>
      </c>
      <c r="AB3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23عام8  شهر  26  يوم </v>
      </c>
      <c r="AC35" s="10">
        <f>DATE(YEAR(Table1[[#This Row],[تاريخ الميلاد]])+60,MONTH(Table1[[#This Row],[تاريخ الميلاد]]),DAY(Table1[[#This Row],[تاريخ الميلاد]]))</f>
        <v>48834</v>
      </c>
      <c r="AD35" s="14">
        <f>DATE(YEAR(Table1[[#This Row],[معاش 01/01]])-1,MONTH(Table1[[#This Row],[تاريخ بلوغ 60 ]]),DAY(Table1[[#This Row],[تاريخ بلوغ 60 ]]))</f>
        <v>48834</v>
      </c>
      <c r="AE3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49199</v>
      </c>
      <c r="AF35" s="10" t="str">
        <f>IFERROR(IF(ISODD(MID(Table1[[#This Row],[الرقم القومي]],13,1)),"ذكر","انثي"),"")</f>
        <v>انثي</v>
      </c>
      <c r="AG35" s="70" t="s">
        <v>2605</v>
      </c>
      <c r="AH35" s="3">
        <f>IF(MONTH(Table1[[#This Row],[تاريخ بلوغ 60 ]])&lt;&gt;1,1,0)</f>
        <v>1</v>
      </c>
      <c r="AI35" s="3">
        <f>IF(DAY(Table1[[#This Row],[تاريخ بلوغ 60 ]])&lt;&gt;1,1,0)</f>
        <v>1</v>
      </c>
      <c r="AJ35" s="4" t="s">
        <v>465</v>
      </c>
      <c r="AK35" s="4" t="s">
        <v>2638</v>
      </c>
      <c r="AL35" s="62" t="s">
        <v>1597</v>
      </c>
      <c r="AM35" s="62" t="s">
        <v>2637</v>
      </c>
      <c r="AN35" s="2">
        <v>0</v>
      </c>
      <c r="AO35" s="4" t="s">
        <v>2634</v>
      </c>
      <c r="AP35" s="74">
        <v>0</v>
      </c>
      <c r="AQ35" s="4">
        <v>0</v>
      </c>
      <c r="AR35" s="4">
        <v>1</v>
      </c>
      <c r="AS35" s="4" t="s">
        <v>2635</v>
      </c>
      <c r="AT35" s="72">
        <v>2</v>
      </c>
      <c r="AU35" s="2">
        <v>11</v>
      </c>
      <c r="AV35" s="4"/>
      <c r="AW35" s="4"/>
      <c r="AX35" s="4"/>
    </row>
    <row r="36" spans="1:50" ht="15" x14ac:dyDescent="0.2">
      <c r="A36" s="3">
        <v>7486</v>
      </c>
      <c r="B36" s="1" t="s">
        <v>467</v>
      </c>
      <c r="C36" s="3">
        <v>1</v>
      </c>
      <c r="D36" s="3" t="s">
        <v>465</v>
      </c>
      <c r="E36" s="3">
        <v>3</v>
      </c>
      <c r="F36" s="3" t="s">
        <v>472</v>
      </c>
      <c r="G36" s="7" t="s">
        <v>2</v>
      </c>
      <c r="H36" s="3">
        <v>4</v>
      </c>
      <c r="I36" s="3" t="s">
        <v>612</v>
      </c>
      <c r="J36" s="3">
        <v>6</v>
      </c>
      <c r="K36" s="3" t="s">
        <v>1525</v>
      </c>
      <c r="L36" s="3">
        <v>1</v>
      </c>
      <c r="M36" s="3" t="s">
        <v>586</v>
      </c>
      <c r="N36" s="3" t="s">
        <v>613</v>
      </c>
      <c r="O36" s="10">
        <v>27289</v>
      </c>
      <c r="P36" s="10">
        <v>37987</v>
      </c>
      <c r="Q36" s="10"/>
      <c r="R36" s="10">
        <v>45839</v>
      </c>
      <c r="S36" s="23">
        <v>11354.61</v>
      </c>
      <c r="T36" s="3">
        <v>46454141</v>
      </c>
      <c r="U36" s="3">
        <v>27409171900121</v>
      </c>
      <c r="V36" s="4" t="s">
        <v>1600</v>
      </c>
      <c r="W36" s="4"/>
      <c r="X36" s="4" t="s">
        <v>1583</v>
      </c>
      <c r="Y36" s="4">
        <v>2015</v>
      </c>
      <c r="Z36" s="3">
        <f ca="1">DATEDIF(Table1[[#This Row],[تاريخ الميلاد]],TODAY(),"y")</f>
        <v>51</v>
      </c>
      <c r="AA3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51 عام 11  شهر  3  يوم </v>
      </c>
      <c r="AB3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22عام7  شهر  19  يوم </v>
      </c>
      <c r="AC36" s="10">
        <f>DATE(YEAR(Table1[[#This Row],[تاريخ الميلاد]])+60,MONTH(Table1[[#This Row],[تاريخ الميلاد]]),DAY(Table1[[#This Row],[تاريخ الميلاد]]))</f>
        <v>49204</v>
      </c>
      <c r="AD36" s="14">
        <f>DATE(YEAR(Table1[[#This Row],[معاش 01/01]])-1,MONTH(Table1[[#This Row],[تاريخ بلوغ 60 ]]),DAY(Table1[[#This Row],[تاريخ بلوغ 60 ]]))</f>
        <v>49204</v>
      </c>
      <c r="AE3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49569</v>
      </c>
      <c r="AF36" s="10" t="str">
        <f>IFERROR(IF(ISODD(MID(Table1[[#This Row],[الرقم القومي]],13,1)),"ذكر","انثي"),"")</f>
        <v>انثي</v>
      </c>
      <c r="AG36" s="70" t="s">
        <v>2616</v>
      </c>
      <c r="AH36" s="3">
        <f>IF(MONTH(Table1[[#This Row],[تاريخ بلوغ 60 ]])&lt;&gt;1,1,0)</f>
        <v>1</v>
      </c>
      <c r="AI36" s="3">
        <f>IF(DAY(Table1[[#This Row],[تاريخ بلوغ 60 ]])&lt;&gt;1,1,0)</f>
        <v>1</v>
      </c>
      <c r="AJ36" s="4" t="s">
        <v>465</v>
      </c>
      <c r="AK36" s="4">
        <v>0</v>
      </c>
      <c r="AL36" s="62" t="s">
        <v>1599</v>
      </c>
      <c r="AM36" s="62" t="s">
        <v>2639</v>
      </c>
      <c r="AN36" s="2">
        <v>0</v>
      </c>
      <c r="AO36" s="4" t="s">
        <v>2634</v>
      </c>
      <c r="AP36" s="74">
        <v>0</v>
      </c>
      <c r="AQ36" s="4">
        <v>0</v>
      </c>
      <c r="AR36" s="4">
        <v>1</v>
      </c>
      <c r="AS36" s="4" t="s">
        <v>2635</v>
      </c>
      <c r="AT36" s="72">
        <v>2</v>
      </c>
      <c r="AU36" s="2">
        <v>1</v>
      </c>
      <c r="AV36" s="4"/>
      <c r="AW36" s="4"/>
      <c r="AX36" s="4"/>
    </row>
    <row r="37" spans="1:50" ht="15" x14ac:dyDescent="0.2">
      <c r="A37" s="3">
        <v>7494</v>
      </c>
      <c r="B37" s="1" t="s">
        <v>467</v>
      </c>
      <c r="C37" s="3">
        <v>1</v>
      </c>
      <c r="D37" s="3" t="s">
        <v>465</v>
      </c>
      <c r="E37" s="3">
        <v>3</v>
      </c>
      <c r="F37" s="3" t="s">
        <v>472</v>
      </c>
      <c r="G37" s="7" t="s">
        <v>3</v>
      </c>
      <c r="H37" s="3">
        <v>6</v>
      </c>
      <c r="I37" s="3" t="s">
        <v>629</v>
      </c>
      <c r="J37" s="3">
        <v>7</v>
      </c>
      <c r="K37" s="3" t="s">
        <v>1526</v>
      </c>
      <c r="L37" s="3">
        <v>3</v>
      </c>
      <c r="M37" s="3" t="s">
        <v>496</v>
      </c>
      <c r="N37" s="3" t="s">
        <v>632</v>
      </c>
      <c r="O37" s="10">
        <v>26896</v>
      </c>
      <c r="P37" s="10">
        <v>39600</v>
      </c>
      <c r="Q37" s="10"/>
      <c r="R37" s="10">
        <v>44196</v>
      </c>
      <c r="S37" s="23">
        <v>10404.06</v>
      </c>
      <c r="T37" s="3">
        <v>5923318</v>
      </c>
      <c r="U37" s="3">
        <v>27308200100189</v>
      </c>
      <c r="V37" s="4" t="s">
        <v>1602</v>
      </c>
      <c r="W37" s="4"/>
      <c r="X37" s="4" t="s">
        <v>1583</v>
      </c>
      <c r="Y37" s="4">
        <v>2014</v>
      </c>
      <c r="Z37" s="3">
        <f ca="1">DATEDIF(Table1[[#This Row],[تاريخ الميلاد]],TODAY(),"y")</f>
        <v>53</v>
      </c>
      <c r="AA3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53 عام 0  شهر  0  يوم </v>
      </c>
      <c r="AB3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18عام2  شهر  19  يوم </v>
      </c>
      <c r="AC37" s="10">
        <f>DATE(YEAR(Table1[[#This Row],[تاريخ الميلاد]])+60,MONTH(Table1[[#This Row],[تاريخ الميلاد]]),DAY(Table1[[#This Row],[تاريخ الميلاد]]))</f>
        <v>48811</v>
      </c>
      <c r="AD37" s="14">
        <f>DATE(YEAR(Table1[[#This Row],[معاش 01/01]])-1,MONTH(Table1[[#This Row],[تاريخ بلوغ 60 ]]),DAY(Table1[[#This Row],[تاريخ بلوغ 60 ]]))</f>
        <v>48811</v>
      </c>
      <c r="AE3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49176</v>
      </c>
      <c r="AF37" s="10" t="str">
        <f>IFERROR(IF(ISODD(MID(Table1[[#This Row],[الرقم القومي]],13,1)),"ذكر","انثي"),"")</f>
        <v>انثي</v>
      </c>
      <c r="AG37" s="70" t="s">
        <v>1667</v>
      </c>
      <c r="AH37" s="3">
        <f>IF(MONTH(Table1[[#This Row],[تاريخ بلوغ 60 ]])&lt;&gt;1,1,0)</f>
        <v>1</v>
      </c>
      <c r="AI37" s="3">
        <f>IF(DAY(Table1[[#This Row],[تاريخ بلوغ 60 ]])&lt;&gt;1,1,0)</f>
        <v>1</v>
      </c>
      <c r="AJ37" s="4" t="s">
        <v>465</v>
      </c>
      <c r="AK37" s="4">
        <v>0</v>
      </c>
      <c r="AL37" s="62" t="s">
        <v>1601</v>
      </c>
      <c r="AM37" s="62" t="s">
        <v>2640</v>
      </c>
      <c r="AN37" s="2">
        <v>1</v>
      </c>
      <c r="AO37" s="4" t="s">
        <v>2641</v>
      </c>
      <c r="AP37" s="74">
        <v>1233.19</v>
      </c>
      <c r="AQ37" s="4">
        <v>12.5</v>
      </c>
      <c r="AR37" s="4">
        <v>7</v>
      </c>
      <c r="AS37" s="4" t="s">
        <v>2642</v>
      </c>
      <c r="AT37" s="72">
        <v>0</v>
      </c>
      <c r="AU37" s="2">
        <v>3</v>
      </c>
      <c r="AV37" s="4"/>
      <c r="AW37" s="4"/>
      <c r="AX37" s="4"/>
    </row>
    <row r="38" spans="1:50" ht="15" x14ac:dyDescent="0.2">
      <c r="A38" s="3">
        <v>7521</v>
      </c>
      <c r="B38" s="1" t="s">
        <v>467</v>
      </c>
      <c r="C38" s="3">
        <v>1</v>
      </c>
      <c r="D38" s="3" t="s">
        <v>465</v>
      </c>
      <c r="E38" s="3">
        <v>3</v>
      </c>
      <c r="F38" s="3" t="s">
        <v>472</v>
      </c>
      <c r="G38" s="7" t="s">
        <v>4</v>
      </c>
      <c r="H38" s="3">
        <v>2</v>
      </c>
      <c r="I38" s="3" t="s">
        <v>596</v>
      </c>
      <c r="J38" s="3">
        <v>4</v>
      </c>
      <c r="K38" s="3" t="s">
        <v>1524</v>
      </c>
      <c r="L38" s="3">
        <v>1</v>
      </c>
      <c r="M38" s="3" t="s">
        <v>586</v>
      </c>
      <c r="N38" s="3" t="s">
        <v>597</v>
      </c>
      <c r="O38" s="10">
        <v>26775</v>
      </c>
      <c r="P38" s="10">
        <v>39965</v>
      </c>
      <c r="Q38" s="10"/>
      <c r="R38" s="10">
        <v>46204</v>
      </c>
      <c r="S38" s="23">
        <v>10255.1</v>
      </c>
      <c r="T38" s="3">
        <v>7745342</v>
      </c>
      <c r="U38" s="3">
        <v>27304211100649</v>
      </c>
      <c r="V38" s="4" t="s">
        <v>1604</v>
      </c>
      <c r="W38" s="4"/>
      <c r="X38" s="4" t="s">
        <v>1583</v>
      </c>
      <c r="Y38" s="4">
        <v>2011</v>
      </c>
      <c r="Z38" s="3">
        <f ca="1">DATEDIF(Table1[[#This Row],[تاريخ الميلاد]],TODAY(),"y")</f>
        <v>53</v>
      </c>
      <c r="AA3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53 عام 3  شهر  30  يوم </v>
      </c>
      <c r="AB3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17عام2  شهر  19  يوم </v>
      </c>
      <c r="AC38" s="10">
        <f>DATE(YEAR(Table1[[#This Row],[تاريخ الميلاد]])+60,MONTH(Table1[[#This Row],[تاريخ الميلاد]]),DAY(Table1[[#This Row],[تاريخ الميلاد]]))</f>
        <v>48690</v>
      </c>
      <c r="AD38" s="14">
        <f>DATE(YEAR(Table1[[#This Row],[معاش 01/01]])-1,MONTH(Table1[[#This Row],[تاريخ بلوغ 60 ]]),DAY(Table1[[#This Row],[تاريخ بلوغ 60 ]]))</f>
        <v>48690</v>
      </c>
      <c r="AE3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49055</v>
      </c>
      <c r="AF38" s="10" t="str">
        <f>IFERROR(IF(ISODD(MID(Table1[[#This Row],[الرقم القومي]],13,1)),"ذكر","انثي"),"")</f>
        <v>انثي</v>
      </c>
      <c r="AG38" s="70" t="s">
        <v>2609</v>
      </c>
      <c r="AH38" s="3">
        <f>IF(MONTH(Table1[[#This Row],[تاريخ بلوغ 60 ]])&lt;&gt;1,1,0)</f>
        <v>1</v>
      </c>
      <c r="AI38" s="3">
        <f>IF(DAY(Table1[[#This Row],[تاريخ بلوغ 60 ]])&lt;&gt;1,1,0)</f>
        <v>1</v>
      </c>
      <c r="AJ38" s="4" t="s">
        <v>465</v>
      </c>
      <c r="AK38" s="4">
        <v>0</v>
      </c>
      <c r="AL38" s="62" t="s">
        <v>1603</v>
      </c>
      <c r="AM38" s="62" t="s">
        <v>2643</v>
      </c>
      <c r="AN38" s="2">
        <v>0</v>
      </c>
      <c r="AO38" s="4" t="s">
        <v>2634</v>
      </c>
      <c r="AP38" s="74">
        <v>0</v>
      </c>
      <c r="AQ38" s="4">
        <v>0</v>
      </c>
      <c r="AR38" s="4">
        <v>1</v>
      </c>
      <c r="AS38" s="4" t="s">
        <v>2635</v>
      </c>
      <c r="AT38" s="72">
        <v>2</v>
      </c>
      <c r="AU38" s="2">
        <v>1</v>
      </c>
      <c r="AV38" s="4"/>
      <c r="AW38" s="4"/>
      <c r="AX38" s="4"/>
    </row>
    <row r="39" spans="1:50" ht="15" x14ac:dyDescent="0.2">
      <c r="A39" s="3">
        <v>7541</v>
      </c>
      <c r="B39" s="1" t="s">
        <v>467</v>
      </c>
      <c r="C39" s="3">
        <v>1</v>
      </c>
      <c r="D39" s="3" t="s">
        <v>465</v>
      </c>
      <c r="E39" s="3">
        <v>3</v>
      </c>
      <c r="F39" s="3" t="s">
        <v>472</v>
      </c>
      <c r="G39" s="7" t="s">
        <v>5</v>
      </c>
      <c r="H39" s="3">
        <v>3</v>
      </c>
      <c r="I39" s="3" t="s">
        <v>604</v>
      </c>
      <c r="J39" s="3">
        <v>5</v>
      </c>
      <c r="K39" s="3" t="s">
        <v>1523</v>
      </c>
      <c r="L39" s="3">
        <v>4</v>
      </c>
      <c r="M39" s="3" t="s">
        <v>498</v>
      </c>
      <c r="N39" s="3" t="s">
        <v>608</v>
      </c>
      <c r="O39" s="10">
        <v>31205</v>
      </c>
      <c r="P39" s="10">
        <v>41708</v>
      </c>
      <c r="Q39" s="10"/>
      <c r="R39" s="10">
        <v>44926</v>
      </c>
      <c r="S39" s="23">
        <v>5641.66</v>
      </c>
      <c r="T39" s="3">
        <v>58690210</v>
      </c>
      <c r="U39" s="3">
        <v>28506070300083</v>
      </c>
      <c r="V39" s="4" t="s">
        <v>1606</v>
      </c>
      <c r="W39" s="4"/>
      <c r="X39" s="4" t="s">
        <v>1583</v>
      </c>
      <c r="Y39" s="4">
        <v>2013</v>
      </c>
      <c r="Z39" s="3">
        <f ca="1">DATEDIF(Table1[[#This Row],[تاريخ الميلاد]],TODAY(),"y")</f>
        <v>41</v>
      </c>
      <c r="AA3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41 عام 2  شهر  13  يوم </v>
      </c>
      <c r="AB3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12عام5  شهر  10  يوم </v>
      </c>
      <c r="AC39" s="10">
        <f>DATE(YEAR(Table1[[#This Row],[تاريخ الميلاد]])+60,MONTH(Table1[[#This Row],[تاريخ الميلاد]]),DAY(Table1[[#This Row],[تاريخ الميلاد]]))</f>
        <v>53120</v>
      </c>
      <c r="AD39" s="14">
        <f>DATE(YEAR(Table1[[#This Row],[معاش 01/01]])-1,MONTH(Table1[[#This Row],[تاريخ بلوغ 60 ]]),DAY(Table1[[#This Row],[تاريخ بلوغ 60 ]]))</f>
        <v>53120</v>
      </c>
      <c r="AE3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53485</v>
      </c>
      <c r="AF39" s="10" t="str">
        <f>IFERROR(IF(ISODD(MID(Table1[[#This Row],[الرقم القومي]],13,1)),"ذكر","انثي"),"")</f>
        <v>انثي</v>
      </c>
      <c r="AG39" s="70" t="s">
        <v>2606</v>
      </c>
      <c r="AH39" s="3">
        <f>IF(MONTH(Table1[[#This Row],[تاريخ بلوغ 60 ]])&lt;&gt;1,1,0)</f>
        <v>1</v>
      </c>
      <c r="AI39" s="3">
        <f>IF(DAY(Table1[[#This Row],[تاريخ بلوغ 60 ]])&lt;&gt;1,1,0)</f>
        <v>1</v>
      </c>
      <c r="AJ39" s="4" t="s">
        <v>465</v>
      </c>
      <c r="AK39" s="4">
        <v>0</v>
      </c>
      <c r="AL39" s="62" t="s">
        <v>1605</v>
      </c>
      <c r="AM39" s="62" t="s">
        <v>2644</v>
      </c>
      <c r="AN39" s="2">
        <v>5</v>
      </c>
      <c r="AO39" s="4" t="s">
        <v>2641</v>
      </c>
      <c r="AP39" s="74">
        <v>801.68</v>
      </c>
      <c r="AQ39" s="4">
        <v>15</v>
      </c>
      <c r="AR39" s="4">
        <v>0</v>
      </c>
      <c r="AS39" s="4" t="s">
        <v>2645</v>
      </c>
      <c r="AT39" s="72">
        <v>0</v>
      </c>
      <c r="AU39" s="2">
        <v>4</v>
      </c>
      <c r="AV39" s="4"/>
      <c r="AW39" s="4"/>
      <c r="AX39" s="4"/>
    </row>
    <row r="40" spans="1:50" ht="15" x14ac:dyDescent="0.2">
      <c r="A40" s="3">
        <v>7546</v>
      </c>
      <c r="B40" s="1" t="s">
        <v>467</v>
      </c>
      <c r="C40" s="3">
        <v>1</v>
      </c>
      <c r="D40" s="3" t="s">
        <v>465</v>
      </c>
      <c r="E40" s="3">
        <v>3</v>
      </c>
      <c r="F40" s="3" t="s">
        <v>472</v>
      </c>
      <c r="G40" s="7" t="s">
        <v>6</v>
      </c>
      <c r="H40" s="3">
        <v>3</v>
      </c>
      <c r="I40" s="3" t="s">
        <v>604</v>
      </c>
      <c r="J40" s="3">
        <v>5</v>
      </c>
      <c r="K40" s="3" t="s">
        <v>1523</v>
      </c>
      <c r="L40" s="3">
        <v>4</v>
      </c>
      <c r="M40" s="3" t="s">
        <v>498</v>
      </c>
      <c r="N40" s="3" t="s">
        <v>608</v>
      </c>
      <c r="O40" s="10">
        <v>32243</v>
      </c>
      <c r="P40" s="10">
        <v>41708</v>
      </c>
      <c r="Q40" s="10"/>
      <c r="R40" s="10">
        <v>44926</v>
      </c>
      <c r="S40" s="23">
        <v>5641.66</v>
      </c>
      <c r="T40" s="3">
        <v>17820190</v>
      </c>
      <c r="U40" s="3">
        <v>28804100300041</v>
      </c>
      <c r="V40" s="4" t="s">
        <v>1608</v>
      </c>
      <c r="W40" s="4"/>
      <c r="X40" s="4" t="s">
        <v>1583</v>
      </c>
      <c r="Y40" s="4">
        <v>2010</v>
      </c>
      <c r="Z40" s="3">
        <f ca="1">DATEDIF(Table1[[#This Row],[تاريخ الميلاد]],TODAY(),"y")</f>
        <v>38</v>
      </c>
      <c r="AA4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4  شهر  10  يوم </v>
      </c>
      <c r="AB4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12عام5  شهر  10  يوم </v>
      </c>
      <c r="AC40" s="10">
        <f>DATE(YEAR(Table1[[#This Row],[تاريخ الميلاد]])+60,MONTH(Table1[[#This Row],[تاريخ الميلاد]]),DAY(Table1[[#This Row],[تاريخ الميلاد]]))</f>
        <v>54158</v>
      </c>
      <c r="AD40" s="14">
        <f>DATE(YEAR(Table1[[#This Row],[معاش 01/01]])-1,MONTH(Table1[[#This Row],[تاريخ بلوغ 60 ]]),DAY(Table1[[#This Row],[تاريخ بلوغ 60 ]]))</f>
        <v>54158</v>
      </c>
      <c r="AE4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54523</v>
      </c>
      <c r="AF40" s="10" t="str">
        <f>IFERROR(IF(ISODD(MID(Table1[[#This Row],[الرقم القومي]],13,1)),"ذكر","انثي"),"")</f>
        <v>انثي</v>
      </c>
      <c r="AG40" s="70" t="s">
        <v>2606</v>
      </c>
      <c r="AH40" s="3">
        <f>IF(MONTH(Table1[[#This Row],[تاريخ بلوغ 60 ]])&lt;&gt;1,1,0)</f>
        <v>1</v>
      </c>
      <c r="AI40" s="3">
        <f>IF(DAY(Table1[[#This Row],[تاريخ بلوغ 60 ]])&lt;&gt;1,1,0)</f>
        <v>1</v>
      </c>
      <c r="AJ40" s="4" t="s">
        <v>465</v>
      </c>
      <c r="AK40" s="4">
        <v>0</v>
      </c>
      <c r="AL40" s="62" t="s">
        <v>1607</v>
      </c>
      <c r="AM40" s="62" t="s">
        <v>2646</v>
      </c>
      <c r="AN40" s="2">
        <v>5</v>
      </c>
      <c r="AO40" s="4" t="s">
        <v>2641</v>
      </c>
      <c r="AP40" s="74">
        <v>801.68</v>
      </c>
      <c r="AQ40" s="4">
        <v>15</v>
      </c>
      <c r="AR40" s="4">
        <v>1</v>
      </c>
      <c r="AS40" s="4" t="s">
        <v>2635</v>
      </c>
      <c r="AT40" s="72">
        <v>2</v>
      </c>
      <c r="AU40" s="2">
        <v>4</v>
      </c>
      <c r="AV40" s="4"/>
      <c r="AW40" s="4"/>
      <c r="AX40" s="4"/>
    </row>
    <row r="41" spans="1:50" ht="15" x14ac:dyDescent="0.2">
      <c r="A41" s="3">
        <v>7548</v>
      </c>
      <c r="B41" s="1" t="s">
        <v>467</v>
      </c>
      <c r="C41" s="3">
        <v>1</v>
      </c>
      <c r="D41" s="3" t="s">
        <v>465</v>
      </c>
      <c r="E41" s="3">
        <v>3</v>
      </c>
      <c r="F41" s="3" t="s">
        <v>472</v>
      </c>
      <c r="G41" s="7" t="s">
        <v>1609</v>
      </c>
      <c r="H41" s="3">
        <v>2</v>
      </c>
      <c r="I41" s="3" t="s">
        <v>596</v>
      </c>
      <c r="J41" s="3">
        <v>4</v>
      </c>
      <c r="K41" s="3" t="s">
        <v>1524</v>
      </c>
      <c r="L41" s="3">
        <v>3</v>
      </c>
      <c r="M41" s="3" t="s">
        <v>496</v>
      </c>
      <c r="N41" s="3" t="s">
        <v>599</v>
      </c>
      <c r="O41" s="10">
        <v>29939</v>
      </c>
      <c r="P41" s="10">
        <v>41756</v>
      </c>
      <c r="Q41" s="10"/>
      <c r="R41" s="10">
        <v>45291</v>
      </c>
      <c r="S41" s="23">
        <v>6674.87</v>
      </c>
      <c r="T41" s="3">
        <v>67284027</v>
      </c>
      <c r="U41" s="3">
        <v>28112191301062</v>
      </c>
      <c r="V41" s="4" t="s">
        <v>1611</v>
      </c>
      <c r="W41" s="4"/>
      <c r="X41" s="4" t="s">
        <v>1583</v>
      </c>
      <c r="Y41" s="4">
        <v>2012</v>
      </c>
      <c r="Z41" s="3">
        <f ca="1">DATEDIF(Table1[[#This Row],[تاريخ الميلاد]],TODAY(),"y")</f>
        <v>44</v>
      </c>
      <c r="AA4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44 عام 8  شهر  1  يوم </v>
      </c>
      <c r="AB4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12عام3  شهر  24  يوم </v>
      </c>
      <c r="AC41" s="10">
        <f>DATE(YEAR(Table1[[#This Row],[تاريخ الميلاد]])+60,MONTH(Table1[[#This Row],[تاريخ الميلاد]]),DAY(Table1[[#This Row],[تاريخ الميلاد]]))</f>
        <v>51854</v>
      </c>
      <c r="AD41" s="14">
        <f>DATE(YEAR(Table1[[#This Row],[معاش 01/01]])-1,MONTH(Table1[[#This Row],[تاريخ بلوغ 60 ]]),DAY(Table1[[#This Row],[تاريخ بلوغ 60 ]]))</f>
        <v>51854</v>
      </c>
      <c r="AE4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52219</v>
      </c>
      <c r="AF41" s="10" t="str">
        <f>IFERROR(IF(ISODD(MID(Table1[[#This Row],[الرقم القومي]],13,1)),"ذكر","انثي"),"")</f>
        <v>انثي</v>
      </c>
      <c r="AG41" s="70" t="s">
        <v>2610</v>
      </c>
      <c r="AH41" s="3">
        <f>IF(MONTH(Table1[[#This Row],[تاريخ بلوغ 60 ]])&lt;&gt;1,1,0)</f>
        <v>1</v>
      </c>
      <c r="AI41" s="3">
        <f>IF(DAY(Table1[[#This Row],[تاريخ بلوغ 60 ]])&lt;&gt;1,1,0)</f>
        <v>1</v>
      </c>
      <c r="AJ41" s="4" t="s">
        <v>465</v>
      </c>
      <c r="AK41" s="4" t="s">
        <v>2638</v>
      </c>
      <c r="AL41" s="62" t="s">
        <v>1610</v>
      </c>
      <c r="AM41" s="62" t="s">
        <v>2647</v>
      </c>
      <c r="AN41" s="2">
        <v>2</v>
      </c>
      <c r="AO41" s="4" t="s">
        <v>2641</v>
      </c>
      <c r="AP41" s="74">
        <v>1185.24</v>
      </c>
      <c r="AQ41" s="4">
        <v>18.75</v>
      </c>
      <c r="AR41" s="4">
        <v>1</v>
      </c>
      <c r="AS41" s="4" t="s">
        <v>2635</v>
      </c>
      <c r="AT41" s="72">
        <v>2</v>
      </c>
      <c r="AU41" s="2">
        <v>3</v>
      </c>
      <c r="AV41" s="4"/>
      <c r="AW41" s="4"/>
      <c r="AX41" s="4"/>
    </row>
    <row r="42" spans="1:50" ht="15" x14ac:dyDescent="0.2">
      <c r="A42" s="3">
        <v>7555</v>
      </c>
      <c r="B42" s="1" t="s">
        <v>467</v>
      </c>
      <c r="C42" s="3">
        <v>1</v>
      </c>
      <c r="D42" s="3" t="s">
        <v>465</v>
      </c>
      <c r="E42" s="3">
        <v>3</v>
      </c>
      <c r="F42" s="3" t="s">
        <v>472</v>
      </c>
      <c r="G42" s="7" t="s">
        <v>7</v>
      </c>
      <c r="H42" s="3">
        <v>2</v>
      </c>
      <c r="I42" s="3" t="s">
        <v>596</v>
      </c>
      <c r="J42" s="3">
        <v>4</v>
      </c>
      <c r="K42" s="3" t="s">
        <v>1524</v>
      </c>
      <c r="L42" s="3">
        <v>3</v>
      </c>
      <c r="M42" s="3" t="s">
        <v>496</v>
      </c>
      <c r="N42" s="3" t="s">
        <v>599</v>
      </c>
      <c r="O42" s="10">
        <v>29520</v>
      </c>
      <c r="P42" s="10">
        <v>41863</v>
      </c>
      <c r="Q42" s="10"/>
      <c r="R42" s="10">
        <v>44926</v>
      </c>
      <c r="S42" s="23">
        <v>6324.76</v>
      </c>
      <c r="T42" s="3">
        <v>31768053</v>
      </c>
      <c r="U42" s="3">
        <v>28010260300441</v>
      </c>
      <c r="V42" s="4" t="s">
        <v>1613</v>
      </c>
      <c r="W42" s="4"/>
      <c r="X42" s="4" t="s">
        <v>1583</v>
      </c>
      <c r="Y42" s="4">
        <v>2012</v>
      </c>
      <c r="Z42" s="3">
        <f ca="1">DATEDIF(Table1[[#This Row],[تاريخ الميلاد]],TODAY(),"y")</f>
        <v>45</v>
      </c>
      <c r="AA4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45 عام 9  شهر  25  يوم </v>
      </c>
      <c r="AB4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12عام0  شهر  8  يوم </v>
      </c>
      <c r="AC42" s="10">
        <f>DATE(YEAR(Table1[[#This Row],[تاريخ الميلاد]])+60,MONTH(Table1[[#This Row],[تاريخ الميلاد]]),DAY(Table1[[#This Row],[تاريخ الميلاد]]))</f>
        <v>51435</v>
      </c>
      <c r="AD42" s="14">
        <f>DATE(YEAR(Table1[[#This Row],[معاش 01/01]])-1,MONTH(Table1[[#This Row],[تاريخ بلوغ 60 ]]),DAY(Table1[[#This Row],[تاريخ بلوغ 60 ]]))</f>
        <v>51435</v>
      </c>
      <c r="AE4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51800</v>
      </c>
      <c r="AF42" s="10" t="str">
        <f>IFERROR(IF(ISODD(MID(Table1[[#This Row],[الرقم القومي]],13,1)),"ذكر","انثي"),"")</f>
        <v>انثي</v>
      </c>
      <c r="AG42" s="70" t="s">
        <v>2606</v>
      </c>
      <c r="AH42" s="3">
        <f>IF(MONTH(Table1[[#This Row],[تاريخ بلوغ 60 ]])&lt;&gt;1,1,0)</f>
        <v>1</v>
      </c>
      <c r="AI42" s="3">
        <f>IF(DAY(Table1[[#This Row],[تاريخ بلوغ 60 ]])&lt;&gt;1,1,0)</f>
        <v>1</v>
      </c>
      <c r="AJ42" s="4" t="s">
        <v>465</v>
      </c>
      <c r="AK42" s="4">
        <v>0</v>
      </c>
      <c r="AL42" s="62" t="s">
        <v>1612</v>
      </c>
      <c r="AM42" s="62" t="s">
        <v>2648</v>
      </c>
      <c r="AN42" s="2">
        <v>2</v>
      </c>
      <c r="AO42" s="4" t="s">
        <v>2641</v>
      </c>
      <c r="AP42" s="74">
        <v>1123.22</v>
      </c>
      <c r="AQ42" s="4">
        <v>18.75</v>
      </c>
      <c r="AR42" s="4">
        <v>1</v>
      </c>
      <c r="AS42" s="4" t="s">
        <v>2635</v>
      </c>
      <c r="AT42" s="72">
        <v>2</v>
      </c>
      <c r="AU42" s="2">
        <v>3</v>
      </c>
      <c r="AV42" s="4"/>
      <c r="AW42" s="4"/>
      <c r="AX42" s="4"/>
    </row>
    <row r="43" spans="1:50" ht="15" x14ac:dyDescent="0.2">
      <c r="A43" s="3">
        <v>7568</v>
      </c>
      <c r="B43" s="1" t="s">
        <v>467</v>
      </c>
      <c r="C43" s="3">
        <v>1</v>
      </c>
      <c r="D43" s="3" t="s">
        <v>465</v>
      </c>
      <c r="E43" s="3">
        <v>3</v>
      </c>
      <c r="F43" s="3" t="s">
        <v>472</v>
      </c>
      <c r="G43" s="7" t="s">
        <v>8</v>
      </c>
      <c r="H43" s="3">
        <v>2</v>
      </c>
      <c r="I43" s="3" t="s">
        <v>596</v>
      </c>
      <c r="J43" s="3">
        <v>4</v>
      </c>
      <c r="K43" s="3" t="s">
        <v>1524</v>
      </c>
      <c r="L43" s="3">
        <v>3</v>
      </c>
      <c r="M43" s="3" t="s">
        <v>496</v>
      </c>
      <c r="N43" s="3" t="s">
        <v>599</v>
      </c>
      <c r="O43" s="10">
        <v>28779</v>
      </c>
      <c r="P43" s="10">
        <v>41864</v>
      </c>
      <c r="Q43" s="10"/>
      <c r="R43" s="10">
        <v>44926</v>
      </c>
      <c r="S43" s="23">
        <v>6324.76</v>
      </c>
      <c r="T43" s="3">
        <v>17162299</v>
      </c>
      <c r="U43" s="3">
        <v>27810161800981</v>
      </c>
      <c r="V43" s="4" t="s">
        <v>1616</v>
      </c>
      <c r="W43" s="4"/>
      <c r="X43" s="4" t="s">
        <v>1583</v>
      </c>
      <c r="Y43" s="4">
        <v>2012</v>
      </c>
      <c r="Z43" s="3">
        <f ca="1">DATEDIF(Table1[[#This Row],[تاريخ الميلاد]],TODAY(),"y")</f>
        <v>47</v>
      </c>
      <c r="AA4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47 عام 10  شهر  4  يوم </v>
      </c>
      <c r="AB4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12عام0  شهر  7  يوم </v>
      </c>
      <c r="AC43" s="10">
        <f>DATE(YEAR(Table1[[#This Row],[تاريخ الميلاد]])+60,MONTH(Table1[[#This Row],[تاريخ الميلاد]]),DAY(Table1[[#This Row],[تاريخ الميلاد]]))</f>
        <v>50694</v>
      </c>
      <c r="AD43" s="14">
        <f>DATE(YEAR(Table1[[#This Row],[معاش 01/01]])-1,MONTH(Table1[[#This Row],[تاريخ بلوغ 60 ]]),DAY(Table1[[#This Row],[تاريخ بلوغ 60 ]]))</f>
        <v>50694</v>
      </c>
      <c r="AE4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51059</v>
      </c>
      <c r="AF43" s="10" t="str">
        <f>IFERROR(IF(ISODD(MID(Table1[[#This Row],[الرقم القومي]],13,1)),"ذكر","انثي"),"")</f>
        <v>انثي</v>
      </c>
      <c r="AG43" s="70" t="s">
        <v>2615</v>
      </c>
      <c r="AH43" s="3">
        <f>IF(MONTH(Table1[[#This Row],[تاريخ بلوغ 60 ]])&lt;&gt;1,1,0)</f>
        <v>1</v>
      </c>
      <c r="AI43" s="3">
        <f>IF(DAY(Table1[[#This Row],[تاريخ بلوغ 60 ]])&lt;&gt;1,1,0)</f>
        <v>1</v>
      </c>
      <c r="AJ43" s="4" t="s">
        <v>1614</v>
      </c>
      <c r="AK43" s="4">
        <v>0</v>
      </c>
      <c r="AL43" s="62" t="s">
        <v>1615</v>
      </c>
      <c r="AM43" s="62" t="s">
        <v>2649</v>
      </c>
      <c r="AN43" s="2">
        <v>2</v>
      </c>
      <c r="AO43" s="4" t="s">
        <v>2641</v>
      </c>
      <c r="AP43" s="74">
        <v>1123.22</v>
      </c>
      <c r="AQ43" s="4">
        <v>18.75</v>
      </c>
      <c r="AR43" s="4">
        <v>1</v>
      </c>
      <c r="AS43" s="4" t="s">
        <v>2635</v>
      </c>
      <c r="AT43" s="72">
        <v>2</v>
      </c>
      <c r="AU43" s="2">
        <v>3</v>
      </c>
      <c r="AV43" s="4"/>
      <c r="AW43" s="4"/>
      <c r="AX43" s="4"/>
    </row>
    <row r="44" spans="1:50" ht="15" x14ac:dyDescent="0.2">
      <c r="A44" s="3">
        <v>7577</v>
      </c>
      <c r="B44" s="1" t="s">
        <v>467</v>
      </c>
      <c r="C44" s="3">
        <v>1</v>
      </c>
      <c r="D44" s="3" t="s">
        <v>465</v>
      </c>
      <c r="E44" s="3">
        <v>3</v>
      </c>
      <c r="F44" s="3" t="s">
        <v>472</v>
      </c>
      <c r="G44" s="7" t="s">
        <v>9</v>
      </c>
      <c r="H44" s="3">
        <v>5</v>
      </c>
      <c r="I44" s="3" t="s">
        <v>621</v>
      </c>
      <c r="J44" s="3">
        <v>8</v>
      </c>
      <c r="K44" s="3" t="s">
        <v>1527</v>
      </c>
      <c r="L44" s="3">
        <v>4</v>
      </c>
      <c r="M44" s="3" t="s">
        <v>498</v>
      </c>
      <c r="N44" s="3" t="s">
        <v>625</v>
      </c>
      <c r="O44" s="10">
        <v>32465</v>
      </c>
      <c r="P44" s="10">
        <v>41864</v>
      </c>
      <c r="Q44" s="10"/>
      <c r="R44" s="10">
        <v>44926</v>
      </c>
      <c r="S44" s="23">
        <v>5544.2</v>
      </c>
      <c r="T44" s="3">
        <v>63455231</v>
      </c>
      <c r="U44" s="3">
        <v>28811180300248</v>
      </c>
      <c r="V44" s="4" t="s">
        <v>1618</v>
      </c>
      <c r="W44" s="4"/>
      <c r="X44" s="4" t="s">
        <v>1583</v>
      </c>
      <c r="Y44" s="4">
        <v>2020</v>
      </c>
      <c r="Z44" s="3">
        <f ca="1">DATEDIF(Table1[[#This Row],[تاريخ الميلاد]],TODAY(),"y")</f>
        <v>37</v>
      </c>
      <c r="AA4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9  شهر  2  يوم </v>
      </c>
      <c r="AB4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12عام0  شهر  7  يوم </v>
      </c>
      <c r="AC44" s="10">
        <f>DATE(YEAR(Table1[[#This Row],[تاريخ الميلاد]])+60,MONTH(Table1[[#This Row],[تاريخ الميلاد]]),DAY(Table1[[#This Row],[تاريخ الميلاد]]))</f>
        <v>54380</v>
      </c>
      <c r="AD44" s="14">
        <f>DATE(YEAR(Table1[[#This Row],[معاش 01/01]])-1,MONTH(Table1[[#This Row],[تاريخ بلوغ 60 ]]),DAY(Table1[[#This Row],[تاريخ بلوغ 60 ]]))</f>
        <v>54380</v>
      </c>
      <c r="AE4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54745</v>
      </c>
      <c r="AF44" s="10" t="str">
        <f>IFERROR(IF(ISODD(MID(Table1[[#This Row],[الرقم القومي]],13,1)),"ذكر","انثي"),"")</f>
        <v>انثي</v>
      </c>
      <c r="AG44" s="70" t="s">
        <v>2606</v>
      </c>
      <c r="AH44" s="3">
        <f>IF(MONTH(Table1[[#This Row],[تاريخ بلوغ 60 ]])&lt;&gt;1,1,0)</f>
        <v>1</v>
      </c>
      <c r="AI44" s="3">
        <f>IF(DAY(Table1[[#This Row],[تاريخ بلوغ 60 ]])&lt;&gt;1,1,0)</f>
        <v>1</v>
      </c>
      <c r="AJ44" s="4" t="s">
        <v>465</v>
      </c>
      <c r="AK44" s="4" t="s">
        <v>2636</v>
      </c>
      <c r="AL44" s="62" t="s">
        <v>1617</v>
      </c>
      <c r="AM44" s="62" t="s">
        <v>2650</v>
      </c>
      <c r="AN44" s="2">
        <v>2</v>
      </c>
      <c r="AO44" s="4" t="s">
        <v>2641</v>
      </c>
      <c r="AP44" s="74">
        <v>986.82</v>
      </c>
      <c r="AQ44" s="4">
        <v>18.75</v>
      </c>
      <c r="AR44" s="4">
        <v>1</v>
      </c>
      <c r="AS44" s="4" t="s">
        <v>2635</v>
      </c>
      <c r="AT44" s="72">
        <v>2</v>
      </c>
      <c r="AU44" s="2">
        <v>4</v>
      </c>
      <c r="AV44" s="4"/>
      <c r="AW44" s="4"/>
      <c r="AX44" s="4"/>
    </row>
    <row r="45" spans="1:50" ht="15" x14ac:dyDescent="0.2">
      <c r="A45" s="3">
        <v>7581</v>
      </c>
      <c r="B45" s="1" t="s">
        <v>467</v>
      </c>
      <c r="C45" s="3">
        <v>1</v>
      </c>
      <c r="D45" s="3" t="s">
        <v>465</v>
      </c>
      <c r="E45" s="3">
        <v>3</v>
      </c>
      <c r="F45" s="3" t="s">
        <v>472</v>
      </c>
      <c r="G45" s="7" t="s">
        <v>10</v>
      </c>
      <c r="H45" s="3">
        <v>188</v>
      </c>
      <c r="I45" s="3" t="s">
        <v>1535</v>
      </c>
      <c r="J45" s="3">
        <v>6</v>
      </c>
      <c r="K45" s="3" t="s">
        <v>1525</v>
      </c>
      <c r="L45" s="3">
        <v>4</v>
      </c>
      <c r="M45" s="3" t="s">
        <v>498</v>
      </c>
      <c r="N45" s="3" t="s">
        <v>1541</v>
      </c>
      <c r="O45" s="10">
        <v>32347</v>
      </c>
      <c r="P45" s="10">
        <v>41864</v>
      </c>
      <c r="Q45" s="10"/>
      <c r="R45" s="10">
        <v>45291</v>
      </c>
      <c r="S45" s="23">
        <v>5353.3</v>
      </c>
      <c r="T45" s="3">
        <v>25688402</v>
      </c>
      <c r="U45" s="3">
        <v>28807230300247</v>
      </c>
      <c r="V45" s="4" t="s">
        <v>1619</v>
      </c>
      <c r="W45" s="4"/>
      <c r="X45" s="4" t="s">
        <v>1583</v>
      </c>
      <c r="Y45" s="4">
        <v>2012</v>
      </c>
      <c r="Z45" s="3">
        <f ca="1">DATEDIF(Table1[[#This Row],[تاريخ الميلاد]],TODAY(),"y")</f>
        <v>38</v>
      </c>
      <c r="AA4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0  شهر  28  يوم </v>
      </c>
      <c r="AB4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12عام0  شهر  7  يوم </v>
      </c>
      <c r="AC45" s="10">
        <f>DATE(YEAR(Table1[[#This Row],[تاريخ الميلاد]])+60,MONTH(Table1[[#This Row],[تاريخ الميلاد]]),DAY(Table1[[#This Row],[تاريخ الميلاد]]))</f>
        <v>54262</v>
      </c>
      <c r="AD45" s="14">
        <f>DATE(YEAR(Table1[[#This Row],[معاش 01/01]])-1,MONTH(Table1[[#This Row],[تاريخ بلوغ 60 ]]),DAY(Table1[[#This Row],[تاريخ بلوغ 60 ]]))</f>
        <v>54262</v>
      </c>
      <c r="AE4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54627</v>
      </c>
      <c r="AF45" s="10" t="str">
        <f>IFERROR(IF(ISODD(MID(Table1[[#This Row],[الرقم القومي]],13,1)),"ذكر","انثي"),"")</f>
        <v>انثي</v>
      </c>
      <c r="AG45" s="70" t="s">
        <v>2606</v>
      </c>
      <c r="AH45" s="3">
        <f>IF(MONTH(Table1[[#This Row],[تاريخ بلوغ 60 ]])&lt;&gt;1,1,0)</f>
        <v>1</v>
      </c>
      <c r="AI45" s="3">
        <f>IF(DAY(Table1[[#This Row],[تاريخ بلوغ 60 ]])&lt;&gt;1,1,0)</f>
        <v>1</v>
      </c>
      <c r="AJ45" s="4" t="s">
        <v>465</v>
      </c>
      <c r="AK45" s="4">
        <v>0</v>
      </c>
      <c r="AL45" s="62" t="s">
        <v>2652</v>
      </c>
      <c r="AM45" s="62" t="s">
        <v>2651</v>
      </c>
      <c r="AN45" s="2">
        <v>2</v>
      </c>
      <c r="AO45" s="4" t="s">
        <v>2641</v>
      </c>
      <c r="AP45" s="74">
        <v>951.02</v>
      </c>
      <c r="AQ45" s="4">
        <v>18.75</v>
      </c>
      <c r="AR45" s="4">
        <v>1</v>
      </c>
      <c r="AS45" s="4" t="s">
        <v>2635</v>
      </c>
      <c r="AT45" s="72">
        <v>2</v>
      </c>
      <c r="AU45" s="2">
        <v>4</v>
      </c>
      <c r="AV45" s="4"/>
      <c r="AW45" s="4"/>
      <c r="AX45" s="4"/>
    </row>
    <row r="46" spans="1:50" ht="15" x14ac:dyDescent="0.2">
      <c r="A46" s="3">
        <v>7607</v>
      </c>
      <c r="B46" s="1" t="s">
        <v>467</v>
      </c>
      <c r="C46" s="3">
        <v>1</v>
      </c>
      <c r="D46" s="3" t="s">
        <v>465</v>
      </c>
      <c r="E46" s="3">
        <v>3</v>
      </c>
      <c r="F46" s="3" t="s">
        <v>472</v>
      </c>
      <c r="G46" s="7" t="s">
        <v>1620</v>
      </c>
      <c r="H46" s="3">
        <v>2</v>
      </c>
      <c r="I46" s="3" t="s">
        <v>596</v>
      </c>
      <c r="J46" s="3">
        <v>4</v>
      </c>
      <c r="K46" s="3" t="s">
        <v>1524</v>
      </c>
      <c r="L46" s="3">
        <v>4</v>
      </c>
      <c r="M46" s="3" t="s">
        <v>498</v>
      </c>
      <c r="N46" s="3" t="s">
        <v>600</v>
      </c>
      <c r="O46" s="10">
        <v>30866</v>
      </c>
      <c r="P46" s="10">
        <v>42185</v>
      </c>
      <c r="Q46" s="10"/>
      <c r="R46" s="10">
        <v>45291</v>
      </c>
      <c r="S46" s="23">
        <v>5722.77</v>
      </c>
      <c r="T46" s="3">
        <v>61412780</v>
      </c>
      <c r="U46" s="3">
        <v>28407030300261</v>
      </c>
      <c r="V46" s="4" t="s">
        <v>1622</v>
      </c>
      <c r="W46" s="4"/>
      <c r="X46" s="4" t="s">
        <v>1583</v>
      </c>
      <c r="Y46" s="4">
        <v>2012</v>
      </c>
      <c r="Z46" s="3">
        <f ca="1">DATEDIF(Table1[[#This Row],[تاريخ الميلاد]],TODAY(),"y")</f>
        <v>42</v>
      </c>
      <c r="AA4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42 عام 1  شهر  17  يوم </v>
      </c>
      <c r="AB4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11عام1  شهر  21  يوم </v>
      </c>
      <c r="AC46" s="10">
        <f>DATE(YEAR(Table1[[#This Row],[تاريخ الميلاد]])+60,MONTH(Table1[[#This Row],[تاريخ الميلاد]]),DAY(Table1[[#This Row],[تاريخ الميلاد]]))</f>
        <v>52781</v>
      </c>
      <c r="AD46" s="14">
        <f>DATE(YEAR(Table1[[#This Row],[معاش 01/01]])-1,MONTH(Table1[[#This Row],[تاريخ بلوغ 60 ]]),DAY(Table1[[#This Row],[تاريخ بلوغ 60 ]]))</f>
        <v>52781</v>
      </c>
      <c r="AE4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53146</v>
      </c>
      <c r="AF46" s="10" t="str">
        <f>IFERROR(IF(ISODD(MID(Table1[[#This Row],[الرقم القومي]],13,1)),"ذكر","انثي"),"")</f>
        <v>انثي</v>
      </c>
      <c r="AG46" s="70" t="s">
        <v>2606</v>
      </c>
      <c r="AH46" s="3">
        <f>IF(MONTH(Table1[[#This Row],[تاريخ بلوغ 60 ]])&lt;&gt;1,1,0)</f>
        <v>1</v>
      </c>
      <c r="AI46" s="3">
        <f>IF(DAY(Table1[[#This Row],[تاريخ بلوغ 60 ]])&lt;&gt;1,1,0)</f>
        <v>1</v>
      </c>
      <c r="AJ46" s="4" t="s">
        <v>465</v>
      </c>
      <c r="AK46" s="4" t="s">
        <v>2636</v>
      </c>
      <c r="AL46" s="62" t="s">
        <v>1621</v>
      </c>
      <c r="AM46" s="62" t="s">
        <v>2653</v>
      </c>
      <c r="AN46" s="2">
        <v>2</v>
      </c>
      <c r="AO46" s="4" t="s">
        <v>2641</v>
      </c>
      <c r="AP46" s="74">
        <v>1017.42</v>
      </c>
      <c r="AQ46" s="4">
        <v>18.75</v>
      </c>
      <c r="AR46" s="4">
        <v>1</v>
      </c>
      <c r="AS46" s="4" t="s">
        <v>2635</v>
      </c>
      <c r="AT46" s="72">
        <v>2</v>
      </c>
      <c r="AU46" s="2">
        <v>4</v>
      </c>
      <c r="AV46" s="4"/>
      <c r="AW46" s="4"/>
      <c r="AX46" s="4"/>
    </row>
    <row r="47" spans="1:50" ht="15" x14ac:dyDescent="0.2">
      <c r="A47" s="3">
        <v>7611</v>
      </c>
      <c r="B47" s="1" t="s">
        <v>467</v>
      </c>
      <c r="C47" s="3">
        <v>1</v>
      </c>
      <c r="D47" s="3" t="s">
        <v>465</v>
      </c>
      <c r="E47" s="3">
        <v>3</v>
      </c>
      <c r="F47" s="3" t="s">
        <v>472</v>
      </c>
      <c r="G47" s="7" t="s">
        <v>11</v>
      </c>
      <c r="H47" s="3">
        <v>3</v>
      </c>
      <c r="I47" s="3" t="s">
        <v>604</v>
      </c>
      <c r="J47" s="3">
        <v>5</v>
      </c>
      <c r="K47" s="3" t="s">
        <v>1523</v>
      </c>
      <c r="L47" s="3">
        <v>4</v>
      </c>
      <c r="M47" s="3" t="s">
        <v>498</v>
      </c>
      <c r="N47" s="3" t="s">
        <v>608</v>
      </c>
      <c r="O47" s="10">
        <v>32220</v>
      </c>
      <c r="P47" s="10">
        <v>42185</v>
      </c>
      <c r="Q47" s="10"/>
      <c r="R47" s="10">
        <v>45291</v>
      </c>
      <c r="S47" s="23">
        <v>5637.14</v>
      </c>
      <c r="T47" s="3">
        <v>18989352</v>
      </c>
      <c r="U47" s="3">
        <v>28803180300067</v>
      </c>
      <c r="V47" s="4" t="s">
        <v>1624</v>
      </c>
      <c r="W47" s="4">
        <v>9433</v>
      </c>
      <c r="X47" s="4" t="s">
        <v>1583</v>
      </c>
      <c r="Y47" s="4">
        <v>2016</v>
      </c>
      <c r="Z47" s="3">
        <f ca="1">DATEDIF(Table1[[#This Row],[تاريخ الميلاد]],TODAY(),"y")</f>
        <v>38</v>
      </c>
      <c r="AA4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5  شهر  2  يوم </v>
      </c>
      <c r="AB4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11عام1  شهر  21  يوم </v>
      </c>
      <c r="AC47" s="10">
        <f>DATE(YEAR(Table1[[#This Row],[تاريخ الميلاد]])+60,MONTH(Table1[[#This Row],[تاريخ الميلاد]]),DAY(Table1[[#This Row],[تاريخ الميلاد]]))</f>
        <v>54135</v>
      </c>
      <c r="AD47" s="14">
        <f>DATE(YEAR(Table1[[#This Row],[معاش 01/01]])-1,MONTH(Table1[[#This Row],[تاريخ بلوغ 60 ]]),DAY(Table1[[#This Row],[تاريخ بلوغ 60 ]]))</f>
        <v>54135</v>
      </c>
      <c r="AE4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54500</v>
      </c>
      <c r="AF47" s="10" t="str">
        <f>IFERROR(IF(ISODD(MID(Table1[[#This Row],[الرقم القومي]],13,1)),"ذكر","انثي"),"")</f>
        <v>انثي</v>
      </c>
      <c r="AG47" s="70" t="s">
        <v>2606</v>
      </c>
      <c r="AH47" s="3">
        <f>IF(MONTH(Table1[[#This Row],[تاريخ بلوغ 60 ]])&lt;&gt;1,1,0)</f>
        <v>1</v>
      </c>
      <c r="AI47" s="3">
        <f>IF(DAY(Table1[[#This Row],[تاريخ بلوغ 60 ]])&lt;&gt;1,1,0)</f>
        <v>1</v>
      </c>
      <c r="AJ47" s="4" t="s">
        <v>465</v>
      </c>
      <c r="AK47" s="4">
        <v>0</v>
      </c>
      <c r="AL47" s="62" t="s">
        <v>1623</v>
      </c>
      <c r="AM47" s="62" t="s">
        <v>2654</v>
      </c>
      <c r="AN47" s="2">
        <v>5</v>
      </c>
      <c r="AO47" s="4" t="s">
        <v>2641</v>
      </c>
      <c r="AP47" s="74">
        <v>801.68</v>
      </c>
      <c r="AQ47" s="4">
        <v>15</v>
      </c>
      <c r="AR47" s="4">
        <v>1</v>
      </c>
      <c r="AS47" s="4" t="s">
        <v>2635</v>
      </c>
      <c r="AT47" s="72">
        <v>2</v>
      </c>
      <c r="AU47" s="2">
        <v>4</v>
      </c>
      <c r="AV47" s="4"/>
      <c r="AW47" s="4"/>
      <c r="AX47" s="4"/>
    </row>
    <row r="48" spans="1:50" ht="15" x14ac:dyDescent="0.2">
      <c r="A48" s="3">
        <v>7616</v>
      </c>
      <c r="B48" s="1" t="s">
        <v>467</v>
      </c>
      <c r="C48" s="3">
        <v>1</v>
      </c>
      <c r="D48" s="3" t="s">
        <v>465</v>
      </c>
      <c r="E48" s="3">
        <v>3</v>
      </c>
      <c r="F48" s="3" t="s">
        <v>472</v>
      </c>
      <c r="G48" s="7" t="s">
        <v>12</v>
      </c>
      <c r="H48" s="3">
        <v>2</v>
      </c>
      <c r="I48" s="3" t="s">
        <v>596</v>
      </c>
      <c r="J48" s="3">
        <v>4</v>
      </c>
      <c r="K48" s="3" t="s">
        <v>1524</v>
      </c>
      <c r="L48" s="3">
        <v>4</v>
      </c>
      <c r="M48" s="3" t="s">
        <v>498</v>
      </c>
      <c r="N48" s="3" t="s">
        <v>600</v>
      </c>
      <c r="O48" s="10">
        <v>30941</v>
      </c>
      <c r="P48" s="10">
        <v>42200</v>
      </c>
      <c r="Q48" s="10"/>
      <c r="R48" s="10">
        <v>45291</v>
      </c>
      <c r="S48" s="23">
        <v>5365.35</v>
      </c>
      <c r="T48" s="3">
        <v>62767715</v>
      </c>
      <c r="U48" s="3">
        <v>28409161100341</v>
      </c>
      <c r="V48" s="4" t="s">
        <v>1625</v>
      </c>
      <c r="W48" s="4"/>
      <c r="X48" s="4" t="s">
        <v>1583</v>
      </c>
      <c r="Y48" s="4">
        <v>2015</v>
      </c>
      <c r="Z48" s="3">
        <f ca="1">DATEDIF(Table1[[#This Row],[تاريخ الميلاد]],TODAY(),"y")</f>
        <v>41</v>
      </c>
      <c r="AA4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41 عام 11  شهر  4  يوم </v>
      </c>
      <c r="AB4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11عام1  شهر  5  يوم </v>
      </c>
      <c r="AC48" s="10">
        <f>DATE(YEAR(Table1[[#This Row],[تاريخ الميلاد]])+60,MONTH(Table1[[#This Row],[تاريخ الميلاد]]),DAY(Table1[[#This Row],[تاريخ الميلاد]]))</f>
        <v>52856</v>
      </c>
      <c r="AD48" s="14">
        <f>DATE(YEAR(Table1[[#This Row],[معاش 01/01]])-1,MONTH(Table1[[#This Row],[تاريخ بلوغ 60 ]]),DAY(Table1[[#This Row],[تاريخ بلوغ 60 ]]))</f>
        <v>52856</v>
      </c>
      <c r="AE4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53221</v>
      </c>
      <c r="AF48" s="10" t="str">
        <f>IFERROR(IF(ISODD(MID(Table1[[#This Row],[الرقم القومي]],13,1)),"ذكر","انثي"),"")</f>
        <v>انثي</v>
      </c>
      <c r="AG48" s="70" t="s">
        <v>2609</v>
      </c>
      <c r="AH48" s="3">
        <f>IF(MONTH(Table1[[#This Row],[تاريخ بلوغ 60 ]])&lt;&gt;1,1,0)</f>
        <v>1</v>
      </c>
      <c r="AI48" s="3">
        <f>IF(DAY(Table1[[#This Row],[تاريخ بلوغ 60 ]])&lt;&gt;1,1,0)</f>
        <v>1</v>
      </c>
      <c r="AJ48" s="4" t="s">
        <v>465</v>
      </c>
      <c r="AK48" s="4" t="s">
        <v>2636</v>
      </c>
      <c r="AL48" s="62" t="s">
        <v>3203</v>
      </c>
      <c r="AM48" s="62" t="s">
        <v>2655</v>
      </c>
      <c r="AN48" s="2">
        <v>2</v>
      </c>
      <c r="AO48" s="4" t="s">
        <v>2641</v>
      </c>
      <c r="AP48" s="74">
        <v>952.67</v>
      </c>
      <c r="AQ48" s="4">
        <v>18.75</v>
      </c>
      <c r="AR48" s="4">
        <v>1</v>
      </c>
      <c r="AS48" s="4" t="s">
        <v>2635</v>
      </c>
      <c r="AT48" s="72">
        <v>2</v>
      </c>
      <c r="AU48" s="2">
        <v>4</v>
      </c>
      <c r="AV48" s="4"/>
      <c r="AW48" s="4"/>
      <c r="AX48" s="4"/>
    </row>
    <row r="49" spans="1:50" ht="15" x14ac:dyDescent="0.2">
      <c r="A49" s="3">
        <v>7622</v>
      </c>
      <c r="B49" s="1" t="s">
        <v>467</v>
      </c>
      <c r="C49" s="3">
        <v>1</v>
      </c>
      <c r="D49" s="3" t="s">
        <v>465</v>
      </c>
      <c r="E49" s="3">
        <v>3</v>
      </c>
      <c r="F49" s="3" t="s">
        <v>472</v>
      </c>
      <c r="G49" s="7" t="s">
        <v>13</v>
      </c>
      <c r="H49" s="3">
        <v>2</v>
      </c>
      <c r="I49" s="3" t="s">
        <v>596</v>
      </c>
      <c r="J49" s="3">
        <v>4</v>
      </c>
      <c r="K49" s="3" t="s">
        <v>1524</v>
      </c>
      <c r="L49" s="3">
        <v>4</v>
      </c>
      <c r="M49" s="3" t="s">
        <v>498</v>
      </c>
      <c r="N49" s="3" t="s">
        <v>600</v>
      </c>
      <c r="O49" s="10">
        <v>31465</v>
      </c>
      <c r="P49" s="10">
        <v>42219</v>
      </c>
      <c r="Q49" s="10"/>
      <c r="R49" s="10">
        <v>45291</v>
      </c>
      <c r="S49" s="23">
        <v>5160.57</v>
      </c>
      <c r="T49" s="3">
        <v>4937495</v>
      </c>
      <c r="U49" s="3">
        <v>28602221603481</v>
      </c>
      <c r="V49" s="4" t="s">
        <v>1626</v>
      </c>
      <c r="W49" s="4"/>
      <c r="X49" s="4" t="s">
        <v>1583</v>
      </c>
      <c r="Y49" s="4">
        <v>2008</v>
      </c>
      <c r="Z49" s="3">
        <f ca="1">DATEDIF(Table1[[#This Row],[تاريخ الميلاد]],TODAY(),"y")</f>
        <v>40</v>
      </c>
      <c r="AA4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40 عام 5  شهر  29  يوم </v>
      </c>
      <c r="AB4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11عام0  شهر  17  يوم </v>
      </c>
      <c r="AC49" s="10">
        <f>DATE(YEAR(Table1[[#This Row],[تاريخ الميلاد]])+60,MONTH(Table1[[#This Row],[تاريخ الميلاد]]),DAY(Table1[[#This Row],[تاريخ الميلاد]]))</f>
        <v>53380</v>
      </c>
      <c r="AD49" s="14">
        <f>DATE(YEAR(Table1[[#This Row],[معاش 01/01]])-1,MONTH(Table1[[#This Row],[تاريخ بلوغ 60 ]]),DAY(Table1[[#This Row],[تاريخ بلوغ 60 ]]))</f>
        <v>53380</v>
      </c>
      <c r="AE4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53745</v>
      </c>
      <c r="AF49" s="10" t="str">
        <f>IFERROR(IF(ISODD(MID(Table1[[#This Row],[الرقم القومي]],13,1)),"ذكر","انثي"),"")</f>
        <v>انثي</v>
      </c>
      <c r="AG49" s="70" t="s">
        <v>2613</v>
      </c>
      <c r="AH49" s="3">
        <f>IF(MONTH(Table1[[#This Row],[تاريخ بلوغ 60 ]])&lt;&gt;1,1,0)</f>
        <v>1</v>
      </c>
      <c r="AI49" s="3">
        <f>IF(DAY(Table1[[#This Row],[تاريخ بلوغ 60 ]])&lt;&gt;1,1,0)</f>
        <v>1</v>
      </c>
      <c r="AJ49" s="4" t="s">
        <v>465</v>
      </c>
      <c r="AK49" s="4" t="s">
        <v>2636</v>
      </c>
      <c r="AL49" s="4" t="s">
        <v>2657</v>
      </c>
      <c r="AM49" s="62" t="s">
        <v>2656</v>
      </c>
      <c r="AN49" s="2">
        <v>2</v>
      </c>
      <c r="AO49" s="4" t="s">
        <v>2641</v>
      </c>
      <c r="AP49" s="74">
        <v>917.06</v>
      </c>
      <c r="AQ49" s="4">
        <v>18.75</v>
      </c>
      <c r="AR49" s="4">
        <v>1</v>
      </c>
      <c r="AS49" s="4" t="s">
        <v>2635</v>
      </c>
      <c r="AT49" s="72">
        <v>2</v>
      </c>
      <c r="AU49" s="2">
        <v>4</v>
      </c>
      <c r="AV49" s="4"/>
      <c r="AW49" s="4"/>
      <c r="AX49" s="4"/>
    </row>
    <row r="50" spans="1:50" ht="15" x14ac:dyDescent="0.2">
      <c r="A50" s="3">
        <v>7702</v>
      </c>
      <c r="B50" s="1" t="s">
        <v>467</v>
      </c>
      <c r="C50" s="3">
        <v>1</v>
      </c>
      <c r="D50" s="3" t="s">
        <v>465</v>
      </c>
      <c r="E50" s="3">
        <v>3</v>
      </c>
      <c r="F50" s="3" t="s">
        <v>472</v>
      </c>
      <c r="G50" s="7" t="s">
        <v>14</v>
      </c>
      <c r="H50" s="3">
        <v>206</v>
      </c>
      <c r="I50" s="3" t="s">
        <v>1501</v>
      </c>
      <c r="J50" s="3">
        <v>5</v>
      </c>
      <c r="K50" s="3" t="s">
        <v>1523</v>
      </c>
      <c r="L50" s="3">
        <v>5</v>
      </c>
      <c r="M50" s="3" t="s">
        <v>500</v>
      </c>
      <c r="N50" s="3" t="s">
        <v>609</v>
      </c>
      <c r="O50" s="10">
        <v>33139</v>
      </c>
      <c r="P50" s="10">
        <v>43132</v>
      </c>
      <c r="Q50" s="10"/>
      <c r="R50" s="10">
        <v>44926</v>
      </c>
      <c r="S50" s="23">
        <v>4299.6099999999997</v>
      </c>
      <c r="T50" s="3">
        <v>68463659</v>
      </c>
      <c r="U50" s="3">
        <v>29009230300123</v>
      </c>
      <c r="V50" s="4" t="s">
        <v>1628</v>
      </c>
      <c r="W50" s="4"/>
      <c r="X50" s="4" t="s">
        <v>1583</v>
      </c>
      <c r="Y50" s="4">
        <v>2018</v>
      </c>
      <c r="Z50" s="3">
        <f ca="1">DATEDIF(Table1[[#This Row],[تاريخ الميلاد]],TODAY(),"y")</f>
        <v>35</v>
      </c>
      <c r="AA5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35 عام 10  شهر  28  يوم </v>
      </c>
      <c r="AB5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8عام6  شهر  19  يوم </v>
      </c>
      <c r="AC50" s="10">
        <f>DATE(YEAR(Table1[[#This Row],[تاريخ الميلاد]])+60,MONTH(Table1[[#This Row],[تاريخ الميلاد]]),DAY(Table1[[#This Row],[تاريخ الميلاد]]))</f>
        <v>55054</v>
      </c>
      <c r="AD50" s="14">
        <f>DATE(YEAR(Table1[[#This Row],[معاش 01/01]])-1,MONTH(Table1[[#This Row],[تاريخ بلوغ 60 ]]),DAY(Table1[[#This Row],[تاريخ بلوغ 60 ]]))</f>
        <v>55054</v>
      </c>
      <c r="AE5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55419</v>
      </c>
      <c r="AF50" s="10" t="str">
        <f>IFERROR(IF(ISODD(MID(Table1[[#This Row],[الرقم القومي]],13,1)),"ذكر","انثي"),"")</f>
        <v>انثي</v>
      </c>
      <c r="AG50" s="70" t="s">
        <v>2606</v>
      </c>
      <c r="AH50" s="3">
        <f>IF(MONTH(Table1[[#This Row],[تاريخ بلوغ 60 ]])&lt;&gt;1,1,0)</f>
        <v>1</v>
      </c>
      <c r="AI50" s="3">
        <f>IF(DAY(Table1[[#This Row],[تاريخ بلوغ 60 ]])&lt;&gt;1,1,0)</f>
        <v>1</v>
      </c>
      <c r="AJ50" s="4" t="s">
        <v>465</v>
      </c>
      <c r="AK50" s="4">
        <v>0</v>
      </c>
      <c r="AL50" s="62" t="s">
        <v>1627</v>
      </c>
      <c r="AM50" s="62" t="s">
        <v>2658</v>
      </c>
      <c r="AN50" s="2">
        <v>5</v>
      </c>
      <c r="AO50" s="4" t="s">
        <v>2641</v>
      </c>
      <c r="AP50" s="74">
        <v>609.25</v>
      </c>
      <c r="AQ50" s="4">
        <v>15</v>
      </c>
      <c r="AR50" s="4">
        <v>1</v>
      </c>
      <c r="AS50" s="4" t="s">
        <v>2635</v>
      </c>
      <c r="AT50" s="72">
        <v>2</v>
      </c>
      <c r="AU50" s="2">
        <v>5</v>
      </c>
      <c r="AV50" s="4"/>
      <c r="AW50" s="4"/>
      <c r="AX50" s="4"/>
    </row>
    <row r="51" spans="1:50" ht="15" x14ac:dyDescent="0.2">
      <c r="A51" s="3">
        <v>7705</v>
      </c>
      <c r="B51" s="1" t="s">
        <v>467</v>
      </c>
      <c r="C51" s="3">
        <v>1</v>
      </c>
      <c r="D51" s="3" t="s">
        <v>465</v>
      </c>
      <c r="E51" s="3">
        <v>3</v>
      </c>
      <c r="F51" s="3" t="s">
        <v>472</v>
      </c>
      <c r="G51" s="7" t="s">
        <v>15</v>
      </c>
      <c r="H51" s="3">
        <v>2</v>
      </c>
      <c r="I51" s="3" t="s">
        <v>596</v>
      </c>
      <c r="J51" s="3">
        <v>4</v>
      </c>
      <c r="K51" s="3" t="s">
        <v>1524</v>
      </c>
      <c r="L51" s="3">
        <v>5</v>
      </c>
      <c r="M51" s="3" t="s">
        <v>500</v>
      </c>
      <c r="N51" s="3" t="s">
        <v>601</v>
      </c>
      <c r="O51" s="10">
        <v>32497</v>
      </c>
      <c r="P51" s="10">
        <v>43149</v>
      </c>
      <c r="Q51" s="10"/>
      <c r="R51" s="10">
        <v>44926</v>
      </c>
      <c r="S51" s="23">
        <v>4124.07</v>
      </c>
      <c r="T51" s="3">
        <v>67756205</v>
      </c>
      <c r="U51" s="3">
        <v>28812201900441</v>
      </c>
      <c r="V51" s="4" t="s">
        <v>1630</v>
      </c>
      <c r="W51" s="4"/>
      <c r="X51" s="4" t="s">
        <v>1583</v>
      </c>
      <c r="Y51" s="4">
        <v>2012</v>
      </c>
      <c r="Z51" s="3">
        <f ca="1">DATEDIF(Table1[[#This Row],[تاريخ الميلاد]],TODAY(),"y")</f>
        <v>37</v>
      </c>
      <c r="AA5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8  شهر  0  يوم </v>
      </c>
      <c r="AB5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8عام6  شهر  2  يوم </v>
      </c>
      <c r="AC51" s="10">
        <f>DATE(YEAR(Table1[[#This Row],[تاريخ الميلاد]])+60,MONTH(Table1[[#This Row],[تاريخ الميلاد]]),DAY(Table1[[#This Row],[تاريخ الميلاد]]))</f>
        <v>54412</v>
      </c>
      <c r="AD51" s="14">
        <f>DATE(YEAR(Table1[[#This Row],[معاش 01/01]])-1,MONTH(Table1[[#This Row],[تاريخ بلوغ 60 ]]),DAY(Table1[[#This Row],[تاريخ بلوغ 60 ]]))</f>
        <v>54412</v>
      </c>
      <c r="AE5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54777</v>
      </c>
      <c r="AF51" s="10" t="str">
        <f>IFERROR(IF(ISODD(MID(Table1[[#This Row],[الرقم القومي]],13,1)),"ذكر","انثي"),"")</f>
        <v>انثي</v>
      </c>
      <c r="AG51" s="70" t="s">
        <v>2616</v>
      </c>
      <c r="AH51" s="3">
        <f>IF(MONTH(Table1[[#This Row],[تاريخ بلوغ 60 ]])&lt;&gt;1,1,0)</f>
        <v>1</v>
      </c>
      <c r="AI51" s="3">
        <f>IF(DAY(Table1[[#This Row],[تاريخ بلوغ 60 ]])&lt;&gt;1,1,0)</f>
        <v>1</v>
      </c>
      <c r="AJ51" s="4" t="s">
        <v>465</v>
      </c>
      <c r="AK51" s="4" t="s">
        <v>2636</v>
      </c>
      <c r="AL51" s="62" t="s">
        <v>1629</v>
      </c>
      <c r="AM51" s="62" t="s">
        <v>2659</v>
      </c>
      <c r="AN51" s="2">
        <v>2</v>
      </c>
      <c r="AO51" s="4" t="s">
        <v>2641</v>
      </c>
      <c r="AP51" s="74">
        <v>729.97</v>
      </c>
      <c r="AQ51" s="4">
        <v>18.75</v>
      </c>
      <c r="AR51" s="4">
        <v>1</v>
      </c>
      <c r="AS51" s="4" t="s">
        <v>2635</v>
      </c>
      <c r="AT51" s="72">
        <v>2</v>
      </c>
      <c r="AU51" s="2">
        <v>5</v>
      </c>
      <c r="AV51" s="4"/>
      <c r="AW51" s="4"/>
      <c r="AX51" s="4"/>
    </row>
    <row r="52" spans="1:50" ht="15" x14ac:dyDescent="0.2">
      <c r="A52" s="3">
        <v>7716</v>
      </c>
      <c r="B52" s="1" t="s">
        <v>467</v>
      </c>
      <c r="C52" s="3">
        <v>1</v>
      </c>
      <c r="D52" s="3" t="s">
        <v>465</v>
      </c>
      <c r="E52" s="3">
        <v>3</v>
      </c>
      <c r="F52" s="3" t="s">
        <v>472</v>
      </c>
      <c r="G52" s="7" t="s">
        <v>16</v>
      </c>
      <c r="H52" s="3">
        <v>5</v>
      </c>
      <c r="I52" s="3" t="s">
        <v>621</v>
      </c>
      <c r="J52" s="3">
        <v>6</v>
      </c>
      <c r="K52" s="3" t="s">
        <v>1525</v>
      </c>
      <c r="L52" s="3">
        <v>5</v>
      </c>
      <c r="M52" s="3" t="s">
        <v>500</v>
      </c>
      <c r="N52" s="3" t="s">
        <v>626</v>
      </c>
      <c r="O52" s="10">
        <v>30526</v>
      </c>
      <c r="P52" s="10">
        <v>43313</v>
      </c>
      <c r="Q52" s="10"/>
      <c r="R52" s="10">
        <v>44926</v>
      </c>
      <c r="S52" s="23">
        <v>3944.94</v>
      </c>
      <c r="T52" s="3">
        <v>32861104</v>
      </c>
      <c r="U52" s="3">
        <v>28307290300367</v>
      </c>
      <c r="V52" s="4" t="s">
        <v>1632</v>
      </c>
      <c r="W52" s="4"/>
      <c r="X52" s="4" t="s">
        <v>1583</v>
      </c>
      <c r="Y52" s="4">
        <v>2016</v>
      </c>
      <c r="Z52" s="3">
        <f ca="1">DATEDIF(Table1[[#This Row],[تاريخ الميلاد]],TODAY(),"y")</f>
        <v>43</v>
      </c>
      <c r="AA5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43 عام 0  شهر  22  يوم </v>
      </c>
      <c r="AB5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8عام0  شهر  19  يوم </v>
      </c>
      <c r="AC52" s="10">
        <f>DATE(YEAR(Table1[[#This Row],[تاريخ الميلاد]])+60,MONTH(Table1[[#This Row],[تاريخ الميلاد]]),DAY(Table1[[#This Row],[تاريخ الميلاد]]))</f>
        <v>52441</v>
      </c>
      <c r="AD52" s="14">
        <f>DATE(YEAR(Table1[[#This Row],[معاش 01/01]])-1,MONTH(Table1[[#This Row],[تاريخ بلوغ 60 ]]),DAY(Table1[[#This Row],[تاريخ بلوغ 60 ]]))</f>
        <v>52441</v>
      </c>
      <c r="AE5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52807</v>
      </c>
      <c r="AF52" s="10" t="str">
        <f>IFERROR(IF(ISODD(MID(Table1[[#This Row],[الرقم القومي]],13,1)),"ذكر","انثي"),"")</f>
        <v>انثي</v>
      </c>
      <c r="AG52" s="70" t="s">
        <v>2606</v>
      </c>
      <c r="AH52" s="3">
        <f>IF(MONTH(Table1[[#This Row],[تاريخ بلوغ 60 ]])&lt;&gt;1,1,0)</f>
        <v>1</v>
      </c>
      <c r="AI52" s="3">
        <f>IF(DAY(Table1[[#This Row],[تاريخ بلوغ 60 ]])&lt;&gt;1,1,0)</f>
        <v>1</v>
      </c>
      <c r="AJ52" s="4" t="s">
        <v>465</v>
      </c>
      <c r="AK52" s="4" t="s">
        <v>2636</v>
      </c>
      <c r="AL52" s="62" t="s">
        <v>1631</v>
      </c>
      <c r="AM52" s="62" t="s">
        <v>2660</v>
      </c>
      <c r="AN52" s="2">
        <v>2</v>
      </c>
      <c r="AO52" s="4" t="s">
        <v>2641</v>
      </c>
      <c r="AP52" s="74">
        <v>697.73</v>
      </c>
      <c r="AQ52" s="4">
        <v>18.75</v>
      </c>
      <c r="AR52" s="4">
        <v>1</v>
      </c>
      <c r="AS52" s="4" t="s">
        <v>2635</v>
      </c>
      <c r="AT52" s="72">
        <v>2</v>
      </c>
      <c r="AU52" s="2">
        <v>5</v>
      </c>
      <c r="AV52" s="4"/>
      <c r="AW52" s="4"/>
      <c r="AX52" s="4"/>
    </row>
    <row r="53" spans="1:50" ht="15" x14ac:dyDescent="0.2">
      <c r="A53" s="3">
        <v>7717</v>
      </c>
      <c r="B53" s="1" t="s">
        <v>467</v>
      </c>
      <c r="C53" s="3">
        <v>1</v>
      </c>
      <c r="D53" s="3" t="s">
        <v>465</v>
      </c>
      <c r="E53" s="3">
        <v>3</v>
      </c>
      <c r="F53" s="3" t="s">
        <v>472</v>
      </c>
      <c r="G53" s="7" t="s">
        <v>17</v>
      </c>
      <c r="H53" s="3">
        <v>5</v>
      </c>
      <c r="I53" s="3" t="s">
        <v>621</v>
      </c>
      <c r="J53" s="3">
        <v>6</v>
      </c>
      <c r="K53" s="3" t="s">
        <v>1525</v>
      </c>
      <c r="L53" s="3">
        <v>5</v>
      </c>
      <c r="M53" s="3" t="s">
        <v>500</v>
      </c>
      <c r="N53" s="3" t="s">
        <v>626</v>
      </c>
      <c r="O53" s="10">
        <v>32271</v>
      </c>
      <c r="P53" s="10">
        <v>43313</v>
      </c>
      <c r="Q53" s="10"/>
      <c r="R53" s="10">
        <v>44926</v>
      </c>
      <c r="S53" s="23">
        <v>3944.94</v>
      </c>
      <c r="T53" s="3">
        <v>12470501</v>
      </c>
      <c r="U53" s="3">
        <v>28805080300208</v>
      </c>
      <c r="V53" s="4" t="s">
        <v>1634</v>
      </c>
      <c r="W53" s="4"/>
      <c r="X53" s="4" t="s">
        <v>1583</v>
      </c>
      <c r="Y53" s="4">
        <v>2017</v>
      </c>
      <c r="Z53" s="3">
        <f ca="1">DATEDIF(Table1[[#This Row],[تاريخ الميلاد]],TODAY(),"y")</f>
        <v>38</v>
      </c>
      <c r="AA5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3  شهر  12  يوم </v>
      </c>
      <c r="AB5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8عام0  شهر  19  يوم </v>
      </c>
      <c r="AC53" s="10">
        <f>DATE(YEAR(Table1[[#This Row],[تاريخ الميلاد]])+60,MONTH(Table1[[#This Row],[تاريخ الميلاد]]),DAY(Table1[[#This Row],[تاريخ الميلاد]]))</f>
        <v>54186</v>
      </c>
      <c r="AD53" s="14">
        <f>DATE(YEAR(Table1[[#This Row],[معاش 01/01]])-1,MONTH(Table1[[#This Row],[تاريخ بلوغ 60 ]]),DAY(Table1[[#This Row],[تاريخ بلوغ 60 ]]))</f>
        <v>54186</v>
      </c>
      <c r="AE5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54551</v>
      </c>
      <c r="AF53" s="10" t="str">
        <f>IFERROR(IF(ISODD(MID(Table1[[#This Row],[الرقم القومي]],13,1)),"ذكر","انثي"),"")</f>
        <v>انثي</v>
      </c>
      <c r="AG53" s="70" t="s">
        <v>2606</v>
      </c>
      <c r="AH53" s="3">
        <f>IF(MONTH(Table1[[#This Row],[تاريخ بلوغ 60 ]])&lt;&gt;1,1,0)</f>
        <v>1</v>
      </c>
      <c r="AI53" s="3">
        <f>IF(DAY(Table1[[#This Row],[تاريخ بلوغ 60 ]])&lt;&gt;1,1,0)</f>
        <v>1</v>
      </c>
      <c r="AJ53" s="4" t="s">
        <v>465</v>
      </c>
      <c r="AK53" s="4" t="s">
        <v>2636</v>
      </c>
      <c r="AL53" s="62" t="s">
        <v>1633</v>
      </c>
      <c r="AM53" s="62" t="s">
        <v>2661</v>
      </c>
      <c r="AN53" s="2">
        <v>2</v>
      </c>
      <c r="AO53" s="4" t="s">
        <v>2641</v>
      </c>
      <c r="AP53" s="74">
        <v>697.73</v>
      </c>
      <c r="AQ53" s="4">
        <v>18.75</v>
      </c>
      <c r="AR53" s="4">
        <v>1</v>
      </c>
      <c r="AS53" s="4" t="s">
        <v>2635</v>
      </c>
      <c r="AT53" s="72">
        <v>2</v>
      </c>
      <c r="AU53" s="2">
        <v>5</v>
      </c>
      <c r="AV53" s="4"/>
      <c r="AW53" s="4"/>
      <c r="AX53" s="4"/>
    </row>
    <row r="54" spans="1:50" ht="15" x14ac:dyDescent="0.2">
      <c r="A54" s="3">
        <v>7718</v>
      </c>
      <c r="B54" s="1" t="s">
        <v>467</v>
      </c>
      <c r="C54" s="3">
        <v>1</v>
      </c>
      <c r="D54" s="3" t="s">
        <v>465</v>
      </c>
      <c r="E54" s="3">
        <v>3</v>
      </c>
      <c r="F54" s="3" t="s">
        <v>472</v>
      </c>
      <c r="G54" s="7" t="s">
        <v>18</v>
      </c>
      <c r="H54" s="3">
        <v>2</v>
      </c>
      <c r="I54" s="3" t="s">
        <v>596</v>
      </c>
      <c r="J54" s="3">
        <v>4</v>
      </c>
      <c r="K54" s="3" t="s">
        <v>1524</v>
      </c>
      <c r="L54" s="3">
        <v>5</v>
      </c>
      <c r="M54" s="3" t="s">
        <v>500</v>
      </c>
      <c r="N54" s="3" t="s">
        <v>601</v>
      </c>
      <c r="O54" s="10">
        <v>31694</v>
      </c>
      <c r="P54" s="10">
        <v>43345</v>
      </c>
      <c r="Q54" s="10"/>
      <c r="R54" s="10">
        <v>44926</v>
      </c>
      <c r="S54" s="23">
        <v>3890.63</v>
      </c>
      <c r="T54" s="3">
        <v>56165154</v>
      </c>
      <c r="U54" s="3">
        <v>28610091202041</v>
      </c>
      <c r="V54" s="4" t="s">
        <v>1637</v>
      </c>
      <c r="W54" s="4"/>
      <c r="X54" s="4" t="s">
        <v>1583</v>
      </c>
      <c r="Y54" s="4">
        <v>2021</v>
      </c>
      <c r="Z54" s="3">
        <f ca="1">DATEDIF(Table1[[#This Row],[تاريخ الميلاد]],TODAY(),"y")</f>
        <v>39</v>
      </c>
      <c r="AA5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39 عام 10  شهر  11  يوم </v>
      </c>
      <c r="AB5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7عام11  شهر  18  يوم </v>
      </c>
      <c r="AC54" s="10">
        <f>DATE(YEAR(Table1[[#This Row],[تاريخ الميلاد]])+60,MONTH(Table1[[#This Row],[تاريخ الميلاد]]),DAY(Table1[[#This Row],[تاريخ الميلاد]]))</f>
        <v>53609</v>
      </c>
      <c r="AD54" s="14">
        <f>DATE(YEAR(Table1[[#This Row],[معاش 01/01]])-1,MONTH(Table1[[#This Row],[تاريخ بلوغ 60 ]]),DAY(Table1[[#This Row],[تاريخ بلوغ 60 ]]))</f>
        <v>53609</v>
      </c>
      <c r="AE5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53974</v>
      </c>
      <c r="AF54" s="10" t="str">
        <f>IFERROR(IF(ISODD(MID(Table1[[#This Row],[الرقم القومي]],13,1)),"ذكر","انثي"),"")</f>
        <v>انثي</v>
      </c>
      <c r="AG54" s="70" t="s">
        <v>1635</v>
      </c>
      <c r="AH54" s="3">
        <f>IF(MONTH(Table1[[#This Row],[تاريخ بلوغ 60 ]])&lt;&gt;1,1,0)</f>
        <v>1</v>
      </c>
      <c r="AI54" s="3">
        <f>IF(DAY(Table1[[#This Row],[تاريخ بلوغ 60 ]])&lt;&gt;1,1,0)</f>
        <v>1</v>
      </c>
      <c r="AJ54" s="4" t="s">
        <v>1635</v>
      </c>
      <c r="AK54" s="4" t="s">
        <v>2663</v>
      </c>
      <c r="AL54" s="62" t="s">
        <v>1636</v>
      </c>
      <c r="AM54" s="62" t="s">
        <v>2662</v>
      </c>
      <c r="AN54" s="2">
        <v>2</v>
      </c>
      <c r="AO54" s="4" t="s">
        <v>2641</v>
      </c>
      <c r="AP54" s="74">
        <v>688.78</v>
      </c>
      <c r="AQ54" s="4">
        <v>18.75</v>
      </c>
      <c r="AR54" s="4">
        <v>1</v>
      </c>
      <c r="AS54" s="4" t="s">
        <v>2635</v>
      </c>
      <c r="AT54" s="72">
        <v>2</v>
      </c>
      <c r="AU54" s="2">
        <v>5</v>
      </c>
      <c r="AV54" s="4"/>
      <c r="AW54" s="4"/>
      <c r="AX54" s="4"/>
    </row>
    <row r="55" spans="1:50" ht="15" x14ac:dyDescent="0.2">
      <c r="A55" s="3">
        <v>7719</v>
      </c>
      <c r="B55" s="1" t="s">
        <v>467</v>
      </c>
      <c r="C55" s="3">
        <v>1</v>
      </c>
      <c r="D55" s="3" t="s">
        <v>465</v>
      </c>
      <c r="E55" s="3">
        <v>3</v>
      </c>
      <c r="F55" s="3" t="s">
        <v>472</v>
      </c>
      <c r="G55" s="7" t="s">
        <v>19</v>
      </c>
      <c r="H55" s="3">
        <v>2</v>
      </c>
      <c r="I55" s="3" t="s">
        <v>596</v>
      </c>
      <c r="J55" s="3">
        <v>4</v>
      </c>
      <c r="K55" s="3" t="s">
        <v>1524</v>
      </c>
      <c r="L55" s="3">
        <v>5</v>
      </c>
      <c r="M55" s="3" t="s">
        <v>500</v>
      </c>
      <c r="N55" s="3" t="s">
        <v>601</v>
      </c>
      <c r="O55" s="10">
        <v>32739</v>
      </c>
      <c r="P55" s="10">
        <v>43345</v>
      </c>
      <c r="Q55" s="10"/>
      <c r="R55" s="10">
        <v>44926</v>
      </c>
      <c r="S55" s="23">
        <v>3780.93</v>
      </c>
      <c r="T55" s="3">
        <v>69926059</v>
      </c>
      <c r="U55" s="3">
        <v>28908191500226</v>
      </c>
      <c r="V55" s="4" t="s">
        <v>1639</v>
      </c>
      <c r="W55" s="4"/>
      <c r="X55" s="4" t="s">
        <v>1583</v>
      </c>
      <c r="Y55" s="4">
        <v>2011</v>
      </c>
      <c r="Z55" s="3">
        <f ca="1">DATEDIF(Table1[[#This Row],[تاريخ الميلاد]],TODAY(),"y")</f>
        <v>37</v>
      </c>
      <c r="AA5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0  شهر  1  يوم </v>
      </c>
      <c r="AB5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7عام11  شهر  18  يوم </v>
      </c>
      <c r="AC55" s="10">
        <f>DATE(YEAR(Table1[[#This Row],[تاريخ الميلاد]])+60,MONTH(Table1[[#This Row],[تاريخ الميلاد]]),DAY(Table1[[#This Row],[تاريخ الميلاد]]))</f>
        <v>54654</v>
      </c>
      <c r="AD55" s="14">
        <f>DATE(YEAR(Table1[[#This Row],[معاش 01/01]])-1,MONTH(Table1[[#This Row],[تاريخ بلوغ 60 ]]),DAY(Table1[[#This Row],[تاريخ بلوغ 60 ]]))</f>
        <v>54654</v>
      </c>
      <c r="AE5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55019</v>
      </c>
      <c r="AF55" s="10" t="str">
        <f>IFERROR(IF(ISODD(MID(Table1[[#This Row],[الرقم القومي]],13,1)),"ذكر","انثي"),"")</f>
        <v>انثي</v>
      </c>
      <c r="AG55" s="70" t="s">
        <v>2612</v>
      </c>
      <c r="AH55" s="3">
        <f>IF(MONTH(Table1[[#This Row],[تاريخ بلوغ 60 ]])&lt;&gt;1,1,0)</f>
        <v>1</v>
      </c>
      <c r="AI55" s="3">
        <f>IF(DAY(Table1[[#This Row],[تاريخ بلوغ 60 ]])&lt;&gt;1,1,0)</f>
        <v>1</v>
      </c>
      <c r="AJ55" s="4" t="s">
        <v>465</v>
      </c>
      <c r="AK55" s="4">
        <v>0</v>
      </c>
      <c r="AL55" s="62" t="s">
        <v>1638</v>
      </c>
      <c r="AM55" s="62" t="s">
        <v>2664</v>
      </c>
      <c r="AN55" s="2">
        <v>2</v>
      </c>
      <c r="AO55" s="4" t="s">
        <v>2641</v>
      </c>
      <c r="AP55" s="74">
        <v>668.21</v>
      </c>
      <c r="AQ55" s="4">
        <v>18.75</v>
      </c>
      <c r="AR55" s="4">
        <v>1</v>
      </c>
      <c r="AS55" s="4" t="s">
        <v>2635</v>
      </c>
      <c r="AT55" s="72">
        <v>2</v>
      </c>
      <c r="AU55" s="2">
        <v>5</v>
      </c>
      <c r="AV55" s="4"/>
      <c r="AW55" s="4"/>
      <c r="AX55" s="4"/>
    </row>
    <row r="56" spans="1:50" ht="15" x14ac:dyDescent="0.2">
      <c r="A56" s="3">
        <v>7764</v>
      </c>
      <c r="B56" s="1" t="s">
        <v>467</v>
      </c>
      <c r="C56" s="3">
        <v>1</v>
      </c>
      <c r="D56" s="3" t="s">
        <v>465</v>
      </c>
      <c r="E56" s="3">
        <v>3</v>
      </c>
      <c r="F56" s="3" t="s">
        <v>472</v>
      </c>
      <c r="G56" s="7" t="s">
        <v>20</v>
      </c>
      <c r="H56" s="3">
        <v>2</v>
      </c>
      <c r="I56" s="3" t="s">
        <v>596</v>
      </c>
      <c r="J56" s="3">
        <v>4</v>
      </c>
      <c r="K56" s="3" t="s">
        <v>1524</v>
      </c>
      <c r="L56" s="3">
        <v>5</v>
      </c>
      <c r="M56" s="3" t="s">
        <v>500</v>
      </c>
      <c r="N56" s="3" t="s">
        <v>601</v>
      </c>
      <c r="O56" s="10">
        <v>32338</v>
      </c>
      <c r="P56" s="10">
        <v>43450</v>
      </c>
      <c r="Q56" s="10"/>
      <c r="R56" s="10">
        <v>44926</v>
      </c>
      <c r="S56" s="23">
        <v>3905.38</v>
      </c>
      <c r="T56" s="3">
        <v>67671086</v>
      </c>
      <c r="U56" s="3">
        <v>28807140300205</v>
      </c>
      <c r="V56" s="4" t="s">
        <v>1641</v>
      </c>
      <c r="W56" s="4"/>
      <c r="X56" s="4" t="s">
        <v>1583</v>
      </c>
      <c r="Y56" s="4">
        <v>2020</v>
      </c>
      <c r="Z56" s="3">
        <f ca="1">DATEDIF(Table1[[#This Row],[تاريخ الميلاد]],TODAY(),"y")</f>
        <v>38</v>
      </c>
      <c r="AA5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1  شهر  6  يوم </v>
      </c>
      <c r="AB5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7عام8  شهر  4  يوم </v>
      </c>
      <c r="AC56" s="10">
        <f>DATE(YEAR(Table1[[#This Row],[تاريخ الميلاد]])+60,MONTH(Table1[[#This Row],[تاريخ الميلاد]]),DAY(Table1[[#This Row],[تاريخ الميلاد]]))</f>
        <v>54253</v>
      </c>
      <c r="AD56" s="14">
        <f>DATE(YEAR(Table1[[#This Row],[معاش 01/01]])-1,MONTH(Table1[[#This Row],[تاريخ بلوغ 60 ]]),DAY(Table1[[#This Row],[تاريخ بلوغ 60 ]]))</f>
        <v>54253</v>
      </c>
      <c r="AE5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54618</v>
      </c>
      <c r="AF56" s="10" t="str">
        <f>IFERROR(IF(ISODD(MID(Table1[[#This Row],[الرقم القومي]],13,1)),"ذكر","انثي"),"")</f>
        <v>انثي</v>
      </c>
      <c r="AG56" s="70" t="s">
        <v>2606</v>
      </c>
      <c r="AH56" s="3">
        <f>IF(MONTH(Table1[[#This Row],[تاريخ بلوغ 60 ]])&lt;&gt;1,1,0)</f>
        <v>1</v>
      </c>
      <c r="AI56" s="3">
        <f>IF(DAY(Table1[[#This Row],[تاريخ بلوغ 60 ]])&lt;&gt;1,1,0)</f>
        <v>1</v>
      </c>
      <c r="AJ56" s="4" t="s">
        <v>465</v>
      </c>
      <c r="AK56" s="4" t="s">
        <v>2666</v>
      </c>
      <c r="AL56" s="62" t="s">
        <v>1640</v>
      </c>
      <c r="AM56" s="62" t="s">
        <v>2665</v>
      </c>
      <c r="AN56" s="2">
        <v>2</v>
      </c>
      <c r="AO56" s="4" t="s">
        <v>2641</v>
      </c>
      <c r="AP56" s="74">
        <v>691.55</v>
      </c>
      <c r="AQ56" s="4">
        <v>18.75</v>
      </c>
      <c r="AR56" s="4">
        <v>1</v>
      </c>
      <c r="AS56" s="4" t="s">
        <v>2635</v>
      </c>
      <c r="AT56" s="72">
        <v>2</v>
      </c>
      <c r="AU56" s="2">
        <v>5</v>
      </c>
      <c r="AV56" s="4"/>
      <c r="AW56" s="4"/>
      <c r="AX56" s="4"/>
    </row>
    <row r="57" spans="1:50" ht="15" x14ac:dyDescent="0.2">
      <c r="A57" s="3">
        <v>9417</v>
      </c>
      <c r="B57" s="1" t="s">
        <v>467</v>
      </c>
      <c r="C57" s="3">
        <v>1</v>
      </c>
      <c r="D57" s="3" t="s">
        <v>465</v>
      </c>
      <c r="E57" s="3">
        <v>21</v>
      </c>
      <c r="F57" s="3" t="s">
        <v>474</v>
      </c>
      <c r="G57" s="7" t="s">
        <v>21</v>
      </c>
      <c r="H57" s="3">
        <v>1</v>
      </c>
      <c r="I57" s="3" t="s">
        <v>587</v>
      </c>
      <c r="J57" s="3">
        <v>2</v>
      </c>
      <c r="K57" s="3" t="s">
        <v>594</v>
      </c>
      <c r="L57" s="3">
        <v>12</v>
      </c>
      <c r="M57" s="3" t="s">
        <v>594</v>
      </c>
      <c r="N57" s="3" t="s">
        <v>595</v>
      </c>
      <c r="O57" s="10">
        <v>25068</v>
      </c>
      <c r="P57" s="10">
        <v>34608</v>
      </c>
      <c r="Q57" s="10"/>
      <c r="R57" s="10">
        <v>45474</v>
      </c>
      <c r="S57" s="23">
        <v>16932.98</v>
      </c>
      <c r="T57" s="3">
        <v>9513569</v>
      </c>
      <c r="U57" s="3">
        <v>26808181801056</v>
      </c>
      <c r="V57" s="4" t="s">
        <v>1582</v>
      </c>
      <c r="W57" s="4"/>
      <c r="X57" s="4" t="s">
        <v>1583</v>
      </c>
      <c r="Y57" s="4">
        <v>2004</v>
      </c>
      <c r="Z57" s="3">
        <f ca="1">DATEDIF(Table1[[#This Row],[تاريخ الميلاد]],TODAY(),"y")</f>
        <v>58</v>
      </c>
      <c r="AA5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58 عام 0  شهر  2  يوم </v>
      </c>
      <c r="AB5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31عام10  شهر  19  يوم </v>
      </c>
      <c r="AC57" s="10">
        <f>DATE(YEAR(Table1[[#This Row],[تاريخ الميلاد]])+60,MONTH(Table1[[#This Row],[تاريخ الميلاد]]),DAY(Table1[[#This Row],[تاريخ الميلاد]]))</f>
        <v>46983</v>
      </c>
      <c r="AD57" s="14">
        <f>DATE(YEAR(Table1[[#This Row],[معاش 01/01]])-1,MONTH(Table1[[#This Row],[تاريخ بلوغ 60 ]]),DAY(Table1[[#This Row],[تاريخ بلوغ 60 ]]))</f>
        <v>46983</v>
      </c>
      <c r="AE5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47348</v>
      </c>
      <c r="AF57" s="10" t="str">
        <f>IFERROR(IF(ISODD(MID(Table1[[#This Row],[الرقم القومي]],13,1)),"ذكر","انثي"),"")</f>
        <v>ذكر</v>
      </c>
      <c r="AG57" s="70" t="s">
        <v>2615</v>
      </c>
      <c r="AH57" s="3">
        <f>IF(MONTH(Table1[[#This Row],[تاريخ بلوغ 60 ]])&lt;&gt;1,1,0)</f>
        <v>1</v>
      </c>
      <c r="AI57" s="3">
        <f>IF(DAY(Table1[[#This Row],[تاريخ بلوغ 60 ]])&lt;&gt;1,1,0)</f>
        <v>1</v>
      </c>
      <c r="AJ57" s="4" t="s">
        <v>465</v>
      </c>
      <c r="AK57" s="4" t="s">
        <v>2636</v>
      </c>
      <c r="AL57" s="62" t="s">
        <v>1581</v>
      </c>
      <c r="AM57" s="62" t="s">
        <v>2667</v>
      </c>
      <c r="AN57" s="2">
        <v>0</v>
      </c>
      <c r="AO57" s="4" t="s">
        <v>2634</v>
      </c>
      <c r="AP57" s="74">
        <v>0</v>
      </c>
      <c r="AQ57" s="4">
        <v>0</v>
      </c>
      <c r="AR57" s="4">
        <v>3</v>
      </c>
      <c r="AS57" s="4" t="s">
        <v>2668</v>
      </c>
      <c r="AT57" s="72">
        <v>6</v>
      </c>
      <c r="AU57" s="2">
        <v>12</v>
      </c>
      <c r="AV57" s="4"/>
      <c r="AW57" s="4"/>
      <c r="AX57" s="4"/>
    </row>
    <row r="58" spans="1:50" ht="15" x14ac:dyDescent="0.2">
      <c r="A58" s="3">
        <v>9552</v>
      </c>
      <c r="B58" s="1" t="s">
        <v>467</v>
      </c>
      <c r="C58" s="3">
        <v>1</v>
      </c>
      <c r="D58" s="3" t="s">
        <v>465</v>
      </c>
      <c r="E58" s="3">
        <v>3</v>
      </c>
      <c r="F58" s="3" t="s">
        <v>472</v>
      </c>
      <c r="G58" s="7" t="s">
        <v>22</v>
      </c>
      <c r="H58" s="3">
        <v>2</v>
      </c>
      <c r="I58" s="3" t="s">
        <v>596</v>
      </c>
      <c r="J58" s="3">
        <v>4</v>
      </c>
      <c r="K58" s="3" t="s">
        <v>1524</v>
      </c>
      <c r="L58" s="3">
        <v>11</v>
      </c>
      <c r="M58" s="3" t="s">
        <v>521</v>
      </c>
      <c r="N58" s="3" t="s">
        <v>602</v>
      </c>
      <c r="O58" s="10">
        <v>24741</v>
      </c>
      <c r="P58" s="10">
        <v>35200</v>
      </c>
      <c r="Q58" s="10"/>
      <c r="R58" s="10">
        <v>45108</v>
      </c>
      <c r="S58" s="23">
        <v>15561.32</v>
      </c>
      <c r="T58" s="3">
        <v>23756392</v>
      </c>
      <c r="U58" s="3">
        <v>26709260300196</v>
      </c>
      <c r="V58" s="4" t="s">
        <v>1643</v>
      </c>
      <c r="W58" s="4"/>
      <c r="X58" s="4" t="s">
        <v>1583</v>
      </c>
      <c r="Y58" s="4">
        <v>1990</v>
      </c>
      <c r="Z58" s="3">
        <f ca="1">DATEDIF(Table1[[#This Row],[تاريخ الميلاد]],TODAY(),"y")</f>
        <v>58</v>
      </c>
      <c r="AA5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58 عام 10  شهر  25  يوم </v>
      </c>
      <c r="AB5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30عام3  شهر  5  يوم </v>
      </c>
      <c r="AC58" s="10">
        <f>DATE(YEAR(Table1[[#This Row],[تاريخ الميلاد]])+60,MONTH(Table1[[#This Row],[تاريخ الميلاد]]),DAY(Table1[[#This Row],[تاريخ الميلاد]]))</f>
        <v>46656</v>
      </c>
      <c r="AD58" s="14">
        <f>DATE(YEAR(Table1[[#This Row],[معاش 01/01]])-1,MONTH(Table1[[#This Row],[تاريخ بلوغ 60 ]]),DAY(Table1[[#This Row],[تاريخ بلوغ 60 ]]))</f>
        <v>46656</v>
      </c>
      <c r="AE5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47022</v>
      </c>
      <c r="AF58" s="10" t="str">
        <f>IFERROR(IF(ISODD(MID(Table1[[#This Row],[الرقم القومي]],13,1)),"ذكر","انثي"),"")</f>
        <v>ذكر</v>
      </c>
      <c r="AG58" s="70" t="s">
        <v>2606</v>
      </c>
      <c r="AH58" s="3">
        <f>IF(MONTH(Table1[[#This Row],[تاريخ بلوغ 60 ]])&lt;&gt;1,1,0)</f>
        <v>1</v>
      </c>
      <c r="AI58" s="3">
        <f>IF(DAY(Table1[[#This Row],[تاريخ بلوغ 60 ]])&lt;&gt;1,1,0)</f>
        <v>1</v>
      </c>
      <c r="AJ58" s="4" t="s">
        <v>465</v>
      </c>
      <c r="AK58" s="4">
        <v>0</v>
      </c>
      <c r="AL58" s="62" t="s">
        <v>1642</v>
      </c>
      <c r="AM58" s="62" t="s">
        <v>2669</v>
      </c>
      <c r="AN58" s="2">
        <v>0</v>
      </c>
      <c r="AO58" s="4" t="s">
        <v>2634</v>
      </c>
      <c r="AP58" s="74">
        <v>0</v>
      </c>
      <c r="AQ58" s="4">
        <v>0</v>
      </c>
      <c r="AR58" s="4">
        <v>3</v>
      </c>
      <c r="AS58" s="4" t="s">
        <v>2668</v>
      </c>
      <c r="AT58" s="72">
        <v>6</v>
      </c>
      <c r="AU58" s="2">
        <v>11</v>
      </c>
      <c r="AV58" s="4"/>
      <c r="AW58" s="4"/>
      <c r="AX58" s="4"/>
    </row>
    <row r="59" spans="1:50" ht="15" x14ac:dyDescent="0.2">
      <c r="A59" s="3">
        <v>9587</v>
      </c>
      <c r="B59" s="1" t="s">
        <v>467</v>
      </c>
      <c r="C59" s="3">
        <v>1</v>
      </c>
      <c r="D59" s="3" t="s">
        <v>465</v>
      </c>
      <c r="E59" s="3">
        <v>3</v>
      </c>
      <c r="F59" s="3" t="s">
        <v>472</v>
      </c>
      <c r="G59" s="7" t="s">
        <v>23</v>
      </c>
      <c r="H59" s="3">
        <v>5</v>
      </c>
      <c r="I59" s="3" t="s">
        <v>621</v>
      </c>
      <c r="J59" s="3">
        <v>6</v>
      </c>
      <c r="K59" s="3" t="s">
        <v>1525</v>
      </c>
      <c r="L59" s="3">
        <v>11</v>
      </c>
      <c r="M59" s="3" t="s">
        <v>521</v>
      </c>
      <c r="N59" s="3" t="s">
        <v>627</v>
      </c>
      <c r="O59" s="10">
        <v>26064</v>
      </c>
      <c r="P59" s="10">
        <v>36100</v>
      </c>
      <c r="Q59" s="10"/>
      <c r="R59" s="10">
        <v>45474</v>
      </c>
      <c r="S59" s="23">
        <v>13959.31</v>
      </c>
      <c r="T59" s="3">
        <v>6936417</v>
      </c>
      <c r="U59" s="3">
        <v>27105112402258</v>
      </c>
      <c r="V59" s="4" t="s">
        <v>1645</v>
      </c>
      <c r="W59" s="4"/>
      <c r="X59" s="4" t="s">
        <v>1583</v>
      </c>
      <c r="Y59" s="4">
        <v>2008</v>
      </c>
      <c r="Z59" s="3">
        <f ca="1">DATEDIF(Table1[[#This Row],[تاريخ الميلاد]],TODAY(),"y")</f>
        <v>55</v>
      </c>
      <c r="AA5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55 عام 3  شهر  9  يوم </v>
      </c>
      <c r="AB5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27عام9  شهر  19  يوم </v>
      </c>
      <c r="AC59" s="10">
        <f>DATE(YEAR(Table1[[#This Row],[تاريخ الميلاد]])+60,MONTH(Table1[[#This Row],[تاريخ الميلاد]]),DAY(Table1[[#This Row],[تاريخ الميلاد]]))</f>
        <v>47979</v>
      </c>
      <c r="AD59" s="14">
        <f>DATE(YEAR(Table1[[#This Row],[معاش 01/01]])-1,MONTH(Table1[[#This Row],[تاريخ بلوغ 60 ]]),DAY(Table1[[#This Row],[تاريخ بلوغ 60 ]]))</f>
        <v>47979</v>
      </c>
      <c r="AE5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48345</v>
      </c>
      <c r="AF59" s="10" t="str">
        <f>IFERROR(IF(ISODD(MID(Table1[[#This Row],[الرقم القومي]],13,1)),"ذكر","انثي"),"")</f>
        <v>ذكر</v>
      </c>
      <c r="AG59" s="70" t="s">
        <v>2009</v>
      </c>
      <c r="AH59" s="3">
        <f>IF(MONTH(Table1[[#This Row],[تاريخ بلوغ 60 ]])&lt;&gt;1,1,0)</f>
        <v>1</v>
      </c>
      <c r="AI59" s="3">
        <f>IF(DAY(Table1[[#This Row],[تاريخ بلوغ 60 ]])&lt;&gt;1,1,0)</f>
        <v>1</v>
      </c>
      <c r="AJ59" s="4" t="s">
        <v>465</v>
      </c>
      <c r="AK59" s="4" t="s">
        <v>2636</v>
      </c>
      <c r="AL59" s="62" t="s">
        <v>1644</v>
      </c>
      <c r="AM59" s="62" t="s">
        <v>2670</v>
      </c>
      <c r="AN59" s="2">
        <v>0</v>
      </c>
      <c r="AO59" s="4" t="s">
        <v>2634</v>
      </c>
      <c r="AP59" s="74">
        <v>0</v>
      </c>
      <c r="AQ59" s="4">
        <v>0</v>
      </c>
      <c r="AR59" s="4">
        <v>3</v>
      </c>
      <c r="AS59" s="4" t="s">
        <v>2668</v>
      </c>
      <c r="AT59" s="72">
        <v>6</v>
      </c>
      <c r="AU59" s="2">
        <v>11</v>
      </c>
      <c r="AV59" s="4"/>
      <c r="AW59" s="4"/>
      <c r="AX59" s="4"/>
    </row>
    <row r="60" spans="1:50" ht="15" x14ac:dyDescent="0.2">
      <c r="A60" s="3">
        <v>9854</v>
      </c>
      <c r="B60" s="1" t="s">
        <v>467</v>
      </c>
      <c r="C60" s="3">
        <v>1</v>
      </c>
      <c r="D60" s="3" t="s">
        <v>465</v>
      </c>
      <c r="E60" s="3">
        <v>6</v>
      </c>
      <c r="F60" s="3" t="s">
        <v>473</v>
      </c>
      <c r="G60" s="7" t="s">
        <v>1646</v>
      </c>
      <c r="H60" s="3">
        <v>6</v>
      </c>
      <c r="I60" s="3" t="s">
        <v>629</v>
      </c>
      <c r="J60" s="3">
        <v>7</v>
      </c>
      <c r="K60" s="3" t="s">
        <v>1526</v>
      </c>
      <c r="L60" s="3">
        <v>2</v>
      </c>
      <c r="M60" s="3" t="s">
        <v>493</v>
      </c>
      <c r="N60" s="3" t="s">
        <v>631</v>
      </c>
      <c r="O60" s="10">
        <v>26370</v>
      </c>
      <c r="P60" s="10">
        <v>39600</v>
      </c>
      <c r="Q60" s="10"/>
      <c r="R60" s="10">
        <v>45657</v>
      </c>
      <c r="S60" s="23">
        <v>12705.34</v>
      </c>
      <c r="T60" s="3">
        <v>61913028</v>
      </c>
      <c r="U60" s="3">
        <v>27203121202433</v>
      </c>
      <c r="V60" s="4" t="s">
        <v>1648</v>
      </c>
      <c r="W60" s="4"/>
      <c r="X60" s="4" t="s">
        <v>1583</v>
      </c>
      <c r="Y60" s="4">
        <v>2015</v>
      </c>
      <c r="Z60" s="3">
        <f ca="1">DATEDIF(Table1[[#This Row],[تاريخ الميلاد]],TODAY(),"y")</f>
        <v>54</v>
      </c>
      <c r="AA6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54 عام 5  شهر  8  يوم </v>
      </c>
      <c r="AB6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18عام2  شهر  19  يوم </v>
      </c>
      <c r="AC60" s="10">
        <f>DATE(YEAR(Table1[[#This Row],[تاريخ الميلاد]])+60,MONTH(Table1[[#This Row],[تاريخ الميلاد]]),DAY(Table1[[#This Row],[تاريخ الميلاد]]))</f>
        <v>48285</v>
      </c>
      <c r="AD60" s="14">
        <f>DATE(YEAR(Table1[[#This Row],[معاش 01/01]])-1,MONTH(Table1[[#This Row],[تاريخ بلوغ 60 ]]),DAY(Table1[[#This Row],[تاريخ بلوغ 60 ]]))</f>
        <v>48285</v>
      </c>
      <c r="AE6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48650</v>
      </c>
      <c r="AF60" s="10" t="str">
        <f>IFERROR(IF(ISODD(MID(Table1[[#This Row],[الرقم القومي]],13,1)),"ذكر","انثي"),"")</f>
        <v>ذكر</v>
      </c>
      <c r="AG60" s="70" t="s">
        <v>1635</v>
      </c>
      <c r="AH60" s="3">
        <f>IF(MONTH(Table1[[#This Row],[تاريخ بلوغ 60 ]])&lt;&gt;1,1,0)</f>
        <v>1</v>
      </c>
      <c r="AI60" s="3">
        <f>IF(DAY(Table1[[#This Row],[تاريخ بلوغ 60 ]])&lt;&gt;1,1,0)</f>
        <v>1</v>
      </c>
      <c r="AJ60" s="4" t="s">
        <v>465</v>
      </c>
      <c r="AK60" s="4" t="s">
        <v>2636</v>
      </c>
      <c r="AL60" s="62" t="s">
        <v>1647</v>
      </c>
      <c r="AM60" s="62" t="s">
        <v>2671</v>
      </c>
      <c r="AN60" s="2">
        <v>1</v>
      </c>
      <c r="AO60" s="4" t="s">
        <v>2641</v>
      </c>
      <c r="AP60" s="74">
        <v>1513.45</v>
      </c>
      <c r="AQ60" s="4">
        <v>12.5</v>
      </c>
      <c r="AR60" s="4">
        <v>3</v>
      </c>
      <c r="AS60" s="4" t="s">
        <v>2668</v>
      </c>
      <c r="AT60" s="72">
        <v>6</v>
      </c>
      <c r="AU60" s="2">
        <v>2</v>
      </c>
      <c r="AV60" s="4"/>
      <c r="AW60" s="4"/>
      <c r="AX60" s="4"/>
    </row>
    <row r="61" spans="1:50" ht="15" x14ac:dyDescent="0.2">
      <c r="A61" s="3">
        <v>10096</v>
      </c>
      <c r="B61" s="1" t="s">
        <v>467</v>
      </c>
      <c r="C61" s="3">
        <v>1</v>
      </c>
      <c r="D61" s="3" t="s">
        <v>465</v>
      </c>
      <c r="E61" s="3">
        <v>3</v>
      </c>
      <c r="F61" s="3" t="s">
        <v>472</v>
      </c>
      <c r="G61" s="7" t="s">
        <v>24</v>
      </c>
      <c r="H61" s="3">
        <v>2</v>
      </c>
      <c r="I61" s="3" t="s">
        <v>596</v>
      </c>
      <c r="J61" s="3">
        <v>4</v>
      </c>
      <c r="K61" s="3" t="s">
        <v>1524</v>
      </c>
      <c r="L61" s="3">
        <v>2</v>
      </c>
      <c r="M61" s="3" t="s">
        <v>493</v>
      </c>
      <c r="N61" s="3" t="s">
        <v>598</v>
      </c>
      <c r="O61" s="10">
        <v>28588</v>
      </c>
      <c r="P61" s="10">
        <v>41640</v>
      </c>
      <c r="Q61" s="10"/>
      <c r="R61" s="10">
        <v>46022</v>
      </c>
      <c r="S61" s="23">
        <v>7198.38</v>
      </c>
      <c r="T61" s="3">
        <v>17143097</v>
      </c>
      <c r="U61" s="3">
        <v>27804080300119</v>
      </c>
      <c r="V61" s="4" t="s">
        <v>1650</v>
      </c>
      <c r="W61" s="4"/>
      <c r="X61" s="4" t="s">
        <v>1583</v>
      </c>
      <c r="Y61" s="4">
        <v>2021</v>
      </c>
      <c r="Z61" s="3">
        <f ca="1">DATEDIF(Table1[[#This Row],[تاريخ الميلاد]],TODAY(),"y")</f>
        <v>48</v>
      </c>
      <c r="AA6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48 عام 4  شهر  12  يوم </v>
      </c>
      <c r="AB6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12عام7  شهر  19  يوم </v>
      </c>
      <c r="AC61" s="10">
        <f>DATE(YEAR(Table1[[#This Row],[تاريخ الميلاد]])+60,MONTH(Table1[[#This Row],[تاريخ الميلاد]]),DAY(Table1[[#This Row],[تاريخ الميلاد]]))</f>
        <v>50503</v>
      </c>
      <c r="AD61" s="14">
        <f>DATE(YEAR(Table1[[#This Row],[معاش 01/01]])-1,MONTH(Table1[[#This Row],[تاريخ بلوغ 60 ]]),DAY(Table1[[#This Row],[تاريخ بلوغ 60 ]]))</f>
        <v>50503</v>
      </c>
      <c r="AE6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50868</v>
      </c>
      <c r="AF61" s="10" t="str">
        <f>IFERROR(IF(ISODD(MID(Table1[[#This Row],[الرقم القومي]],13,1)),"ذكر","انثي"),"")</f>
        <v>ذكر</v>
      </c>
      <c r="AG61" s="70" t="s">
        <v>2606</v>
      </c>
      <c r="AH61" s="3">
        <f>IF(MONTH(Table1[[#This Row],[تاريخ بلوغ 60 ]])&lt;&gt;1,1,0)</f>
        <v>1</v>
      </c>
      <c r="AI61" s="3">
        <f>IF(DAY(Table1[[#This Row],[تاريخ بلوغ 60 ]])&lt;&gt;1,1,0)</f>
        <v>1</v>
      </c>
      <c r="AJ61" s="4" t="s">
        <v>465</v>
      </c>
      <c r="AK61" s="4" t="s">
        <v>2636</v>
      </c>
      <c r="AL61" s="62" t="s">
        <v>1649</v>
      </c>
      <c r="AM61" s="62" t="s">
        <v>2672</v>
      </c>
      <c r="AN61" s="2">
        <v>2</v>
      </c>
      <c r="AO61" s="4" t="s">
        <v>2641</v>
      </c>
      <c r="AP61" s="74">
        <v>1283.83</v>
      </c>
      <c r="AQ61" s="4">
        <v>18.75</v>
      </c>
      <c r="AR61" s="4">
        <v>3</v>
      </c>
      <c r="AS61" s="4" t="s">
        <v>2668</v>
      </c>
      <c r="AT61" s="72">
        <v>6</v>
      </c>
      <c r="AU61" s="2">
        <v>2</v>
      </c>
      <c r="AV61" s="4"/>
      <c r="AW61" s="4"/>
      <c r="AX61" s="4"/>
    </row>
    <row r="62" spans="1:50" ht="15" x14ac:dyDescent="0.2">
      <c r="A62" s="3">
        <v>10110</v>
      </c>
      <c r="B62" s="1" t="s">
        <v>467</v>
      </c>
      <c r="C62" s="3">
        <v>1</v>
      </c>
      <c r="D62" s="3" t="s">
        <v>465</v>
      </c>
      <c r="E62" s="3">
        <v>3</v>
      </c>
      <c r="F62" s="3" t="s">
        <v>472</v>
      </c>
      <c r="G62" s="7" t="s">
        <v>25</v>
      </c>
      <c r="H62" s="3">
        <v>3</v>
      </c>
      <c r="I62" s="3" t="s">
        <v>604</v>
      </c>
      <c r="J62" s="3">
        <v>5</v>
      </c>
      <c r="K62" s="3" t="s">
        <v>1523</v>
      </c>
      <c r="L62" s="3">
        <v>4</v>
      </c>
      <c r="M62" s="3" t="s">
        <v>498</v>
      </c>
      <c r="N62" s="3" t="s">
        <v>608</v>
      </c>
      <c r="O62" s="10">
        <v>31413</v>
      </c>
      <c r="P62" s="10">
        <v>41708</v>
      </c>
      <c r="Q62" s="10"/>
      <c r="R62" s="10">
        <v>44926</v>
      </c>
      <c r="S62" s="23">
        <v>5641.66</v>
      </c>
      <c r="T62" s="3">
        <v>4793147</v>
      </c>
      <c r="U62" s="3">
        <v>28601010302578</v>
      </c>
      <c r="V62" s="4" t="s">
        <v>1651</v>
      </c>
      <c r="W62" s="4"/>
      <c r="X62" s="4" t="s">
        <v>1583</v>
      </c>
      <c r="Y62" s="4">
        <v>2008</v>
      </c>
      <c r="Z62" s="3">
        <f ca="1">DATEDIF(Table1[[#This Row],[تاريخ الميلاد]],TODAY(),"y")</f>
        <v>40</v>
      </c>
      <c r="AA6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40 عام 7  شهر  19  يوم </v>
      </c>
      <c r="AB6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12عام5  شهر  10  يوم </v>
      </c>
      <c r="AC62" s="10">
        <f>DATE(YEAR(Table1[[#This Row],[تاريخ الميلاد]])+60,MONTH(Table1[[#This Row],[تاريخ الميلاد]]),DAY(Table1[[#This Row],[تاريخ الميلاد]]))</f>
        <v>53328</v>
      </c>
      <c r="AD62" s="14">
        <f>DATE(YEAR(Table1[[#This Row],[معاش 01/01]])-1,MONTH(Table1[[#This Row],[تاريخ بلوغ 60 ]]),DAY(Table1[[#This Row],[تاريخ بلوغ 60 ]]))</f>
        <v>52963</v>
      </c>
      <c r="AE6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53328</v>
      </c>
      <c r="AF62" s="10" t="str">
        <f>IFERROR(IF(ISODD(MID(Table1[[#This Row],[الرقم القومي]],13,1)),"ذكر","انثي"),"")</f>
        <v>ذكر</v>
      </c>
      <c r="AG62" s="70" t="s">
        <v>2606</v>
      </c>
      <c r="AH62" s="3">
        <f>IF(MONTH(Table1[[#This Row],[تاريخ بلوغ 60 ]])&lt;&gt;1,1,0)</f>
        <v>0</v>
      </c>
      <c r="AI62" s="3">
        <f>IF(DAY(Table1[[#This Row],[تاريخ بلوغ 60 ]])&lt;&gt;1,1,0)</f>
        <v>0</v>
      </c>
      <c r="AJ62" s="4" t="s">
        <v>465</v>
      </c>
      <c r="AK62" s="4">
        <v>0</v>
      </c>
      <c r="AL62" s="62" t="s">
        <v>2674</v>
      </c>
      <c r="AM62" s="62" t="s">
        <v>2673</v>
      </c>
      <c r="AN62" s="2">
        <v>5</v>
      </c>
      <c r="AO62" s="4" t="s">
        <v>2641</v>
      </c>
      <c r="AP62" s="74">
        <v>801.68</v>
      </c>
      <c r="AQ62" s="4">
        <v>15</v>
      </c>
      <c r="AR62" s="4">
        <v>3</v>
      </c>
      <c r="AS62" s="4" t="s">
        <v>2668</v>
      </c>
      <c r="AT62" s="72">
        <v>6</v>
      </c>
      <c r="AU62" s="2">
        <v>4</v>
      </c>
      <c r="AV62" s="4"/>
      <c r="AW62" s="4"/>
      <c r="AX62" s="4"/>
    </row>
    <row r="63" spans="1:50" ht="15" x14ac:dyDescent="0.2">
      <c r="A63" s="3">
        <v>10113</v>
      </c>
      <c r="B63" s="1" t="s">
        <v>467</v>
      </c>
      <c r="C63" s="3">
        <v>1</v>
      </c>
      <c r="D63" s="3" t="s">
        <v>465</v>
      </c>
      <c r="E63" s="3">
        <v>3</v>
      </c>
      <c r="F63" s="3" t="s">
        <v>472</v>
      </c>
      <c r="G63" s="7" t="s">
        <v>26</v>
      </c>
      <c r="H63" s="3">
        <v>3</v>
      </c>
      <c r="I63" s="3" t="s">
        <v>604</v>
      </c>
      <c r="J63" s="3">
        <v>5</v>
      </c>
      <c r="K63" s="3" t="s">
        <v>1523</v>
      </c>
      <c r="L63" s="3">
        <v>4</v>
      </c>
      <c r="M63" s="3" t="s">
        <v>498</v>
      </c>
      <c r="N63" s="3" t="s">
        <v>608</v>
      </c>
      <c r="O63" s="10">
        <v>32051</v>
      </c>
      <c r="P63" s="10">
        <v>41708</v>
      </c>
      <c r="Q63" s="10"/>
      <c r="R63" s="10">
        <v>44926</v>
      </c>
      <c r="S63" s="23">
        <v>5817.21</v>
      </c>
      <c r="T63" s="3">
        <v>14744128</v>
      </c>
      <c r="U63" s="3">
        <v>28710010300218</v>
      </c>
      <c r="V63" s="4" t="s">
        <v>1653</v>
      </c>
      <c r="W63" s="4"/>
      <c r="X63" s="4" t="s">
        <v>1583</v>
      </c>
      <c r="Y63" s="4">
        <v>2019</v>
      </c>
      <c r="Z63" s="3">
        <f ca="1">DATEDIF(Table1[[#This Row],[تاريخ الميلاد]],TODAY(),"y")</f>
        <v>38</v>
      </c>
      <c r="AA6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10  شهر  19  يوم </v>
      </c>
      <c r="AB6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12عام5  شهر  10  يوم </v>
      </c>
      <c r="AC63" s="10">
        <f>DATE(YEAR(Table1[[#This Row],[تاريخ الميلاد]])+60,MONTH(Table1[[#This Row],[تاريخ الميلاد]]),DAY(Table1[[#This Row],[تاريخ الميلاد]]))</f>
        <v>53966</v>
      </c>
      <c r="AD63" s="14">
        <f>DATE(YEAR(Table1[[#This Row],[معاش 01/01]])-1,MONTH(Table1[[#This Row],[تاريخ بلوغ 60 ]]),DAY(Table1[[#This Row],[تاريخ بلوغ 60 ]]))</f>
        <v>53966</v>
      </c>
      <c r="AE6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54332</v>
      </c>
      <c r="AF63" s="10" t="str">
        <f>IFERROR(IF(ISODD(MID(Table1[[#This Row],[الرقم القومي]],13,1)),"ذكر","انثي"),"")</f>
        <v>ذكر</v>
      </c>
      <c r="AG63" s="70" t="s">
        <v>2606</v>
      </c>
      <c r="AH63" s="3">
        <f>IF(MONTH(Table1[[#This Row],[تاريخ بلوغ 60 ]])&lt;&gt;1,1,0)</f>
        <v>1</v>
      </c>
      <c r="AI63" s="3">
        <f>IF(DAY(Table1[[#This Row],[تاريخ بلوغ 60 ]])&lt;&gt;1,1,0)</f>
        <v>0</v>
      </c>
      <c r="AJ63" s="4" t="s">
        <v>465</v>
      </c>
      <c r="AK63" s="4" t="s">
        <v>2666</v>
      </c>
      <c r="AL63" s="62" t="s">
        <v>1652</v>
      </c>
      <c r="AM63" s="62" t="s">
        <v>2675</v>
      </c>
      <c r="AN63" s="2">
        <v>5</v>
      </c>
      <c r="AO63" s="4" t="s">
        <v>2641</v>
      </c>
      <c r="AP63" s="74">
        <v>826.96</v>
      </c>
      <c r="AQ63" s="4">
        <v>15</v>
      </c>
      <c r="AR63" s="4">
        <v>3</v>
      </c>
      <c r="AS63" s="4" t="s">
        <v>2668</v>
      </c>
      <c r="AT63" s="72">
        <v>6</v>
      </c>
      <c r="AU63" s="2">
        <v>4</v>
      </c>
      <c r="AV63" s="4"/>
      <c r="AW63" s="4"/>
      <c r="AX63" s="4"/>
    </row>
    <row r="64" spans="1:50" ht="15" x14ac:dyDescent="0.2">
      <c r="A64" s="3">
        <v>10121</v>
      </c>
      <c r="B64" s="1" t="s">
        <v>467</v>
      </c>
      <c r="C64" s="3">
        <v>1</v>
      </c>
      <c r="D64" s="3" t="s">
        <v>465</v>
      </c>
      <c r="E64" s="3">
        <v>3</v>
      </c>
      <c r="F64" s="3" t="s">
        <v>472</v>
      </c>
      <c r="G64" s="7" t="s">
        <v>27</v>
      </c>
      <c r="H64" s="3">
        <v>2</v>
      </c>
      <c r="I64" s="3" t="s">
        <v>596</v>
      </c>
      <c r="J64" s="3">
        <v>4</v>
      </c>
      <c r="K64" s="3" t="s">
        <v>1524</v>
      </c>
      <c r="L64" s="3">
        <v>3</v>
      </c>
      <c r="M64" s="3" t="s">
        <v>496</v>
      </c>
      <c r="N64" s="3" t="s">
        <v>599</v>
      </c>
      <c r="O64" s="10">
        <v>30263</v>
      </c>
      <c r="P64" s="10">
        <v>41708</v>
      </c>
      <c r="Q64" s="10"/>
      <c r="R64" s="10">
        <v>44926</v>
      </c>
      <c r="S64" s="23">
        <v>6741.31</v>
      </c>
      <c r="T64" s="3">
        <v>53055498</v>
      </c>
      <c r="U64" s="3">
        <v>28211081202172</v>
      </c>
      <c r="V64" s="4" t="s">
        <v>1655</v>
      </c>
      <c r="W64" s="4"/>
      <c r="X64" s="4" t="s">
        <v>1583</v>
      </c>
      <c r="Y64" s="4">
        <v>2011</v>
      </c>
      <c r="Z64" s="3">
        <f ca="1">DATEDIF(Table1[[#This Row],[تاريخ الميلاد]],TODAY(),"y")</f>
        <v>43</v>
      </c>
      <c r="AA6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43 عام 9  شهر  12  يوم </v>
      </c>
      <c r="AB6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12عام5  شهر  10  يوم </v>
      </c>
      <c r="AC64" s="10">
        <f>DATE(YEAR(Table1[[#This Row],[تاريخ الميلاد]])+60,MONTH(Table1[[#This Row],[تاريخ الميلاد]]),DAY(Table1[[#This Row],[تاريخ الميلاد]]))</f>
        <v>52178</v>
      </c>
      <c r="AD64" s="14">
        <f>DATE(YEAR(Table1[[#This Row],[معاش 01/01]])-1,MONTH(Table1[[#This Row],[تاريخ بلوغ 60 ]]),DAY(Table1[[#This Row],[تاريخ بلوغ 60 ]]))</f>
        <v>52178</v>
      </c>
      <c r="AE6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52543</v>
      </c>
      <c r="AF64" s="10" t="str">
        <f>IFERROR(IF(ISODD(MID(Table1[[#This Row],[الرقم القومي]],13,1)),"ذكر","انثي"),"")</f>
        <v>ذكر</v>
      </c>
      <c r="AG64" s="70" t="s">
        <v>1635</v>
      </c>
      <c r="AH64" s="3">
        <f>IF(MONTH(Table1[[#This Row],[تاريخ بلوغ 60 ]])&lt;&gt;1,1,0)</f>
        <v>1</v>
      </c>
      <c r="AI64" s="3">
        <f>IF(DAY(Table1[[#This Row],[تاريخ بلوغ 60 ]])&lt;&gt;1,1,0)</f>
        <v>1</v>
      </c>
      <c r="AJ64" s="4" t="s">
        <v>465</v>
      </c>
      <c r="AK64" s="4" t="s">
        <v>2666</v>
      </c>
      <c r="AL64" s="62" t="s">
        <v>1654</v>
      </c>
      <c r="AM64" s="62" t="s">
        <v>2676</v>
      </c>
      <c r="AN64" s="2">
        <v>2</v>
      </c>
      <c r="AO64" s="4" t="s">
        <v>2641</v>
      </c>
      <c r="AP64" s="74">
        <v>1197.7</v>
      </c>
      <c r="AQ64" s="4">
        <v>18.75</v>
      </c>
      <c r="AR64" s="4">
        <v>3</v>
      </c>
      <c r="AS64" s="4" t="s">
        <v>2668</v>
      </c>
      <c r="AT64" s="72">
        <v>6</v>
      </c>
      <c r="AU64" s="2">
        <v>3</v>
      </c>
      <c r="AV64" s="4"/>
      <c r="AW64" s="4"/>
      <c r="AX64" s="4"/>
    </row>
    <row r="65" spans="1:50" ht="15" x14ac:dyDescent="0.2">
      <c r="A65" s="3">
        <v>10123</v>
      </c>
      <c r="B65" s="1" t="s">
        <v>467</v>
      </c>
      <c r="C65" s="3">
        <v>1</v>
      </c>
      <c r="D65" s="3" t="s">
        <v>465</v>
      </c>
      <c r="E65" s="3">
        <v>3</v>
      </c>
      <c r="F65" s="3" t="s">
        <v>472</v>
      </c>
      <c r="G65" s="7" t="s">
        <v>28</v>
      </c>
      <c r="H65" s="3">
        <v>2</v>
      </c>
      <c r="I65" s="3" t="s">
        <v>596</v>
      </c>
      <c r="J65" s="3">
        <v>4</v>
      </c>
      <c r="K65" s="3" t="s">
        <v>1524</v>
      </c>
      <c r="L65" s="3">
        <v>3</v>
      </c>
      <c r="M65" s="3" t="s">
        <v>496</v>
      </c>
      <c r="N65" s="3" t="s">
        <v>599</v>
      </c>
      <c r="O65" s="10">
        <v>29876</v>
      </c>
      <c r="P65" s="10">
        <v>41735</v>
      </c>
      <c r="Q65" s="10"/>
      <c r="R65" s="10">
        <v>44926</v>
      </c>
      <c r="S65" s="23">
        <v>6674.87</v>
      </c>
      <c r="T65" s="3">
        <v>5232446</v>
      </c>
      <c r="U65" s="3">
        <v>28110170300152</v>
      </c>
      <c r="V65" s="4" t="s">
        <v>1657</v>
      </c>
      <c r="W65" s="4"/>
      <c r="X65" s="4" t="s">
        <v>1583</v>
      </c>
      <c r="Y65" s="4">
        <v>2012</v>
      </c>
      <c r="Z65" s="3">
        <f ca="1">DATEDIF(Table1[[#This Row],[تاريخ الميلاد]],TODAY(),"y")</f>
        <v>44</v>
      </c>
      <c r="AA6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44 عام 10  شهر  3  يوم </v>
      </c>
      <c r="AB6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12عام4  شهر  14  يوم </v>
      </c>
      <c r="AC65" s="10">
        <f>DATE(YEAR(Table1[[#This Row],[تاريخ الميلاد]])+60,MONTH(Table1[[#This Row],[تاريخ الميلاد]]),DAY(Table1[[#This Row],[تاريخ الميلاد]]))</f>
        <v>51791</v>
      </c>
      <c r="AD65" s="14">
        <f>DATE(YEAR(Table1[[#This Row],[معاش 01/01]])-1,MONTH(Table1[[#This Row],[تاريخ بلوغ 60 ]]),DAY(Table1[[#This Row],[تاريخ بلوغ 60 ]]))</f>
        <v>51791</v>
      </c>
      <c r="AE6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52156</v>
      </c>
      <c r="AF65" s="10" t="str">
        <f>IFERROR(IF(ISODD(MID(Table1[[#This Row],[الرقم القومي]],13,1)),"ذكر","انثي"),"")</f>
        <v>ذكر</v>
      </c>
      <c r="AG65" s="70" t="s">
        <v>2606</v>
      </c>
      <c r="AH65" s="3">
        <f>IF(MONTH(Table1[[#This Row],[تاريخ بلوغ 60 ]])&lt;&gt;1,1,0)</f>
        <v>1</v>
      </c>
      <c r="AI65" s="3">
        <f>IF(DAY(Table1[[#This Row],[تاريخ بلوغ 60 ]])&lt;&gt;1,1,0)</f>
        <v>1</v>
      </c>
      <c r="AJ65" s="4" t="s">
        <v>465</v>
      </c>
      <c r="AK65" s="4">
        <v>0</v>
      </c>
      <c r="AL65" s="62" t="s">
        <v>1656</v>
      </c>
      <c r="AM65" s="62" t="s">
        <v>2677</v>
      </c>
      <c r="AN65" s="2">
        <v>2</v>
      </c>
      <c r="AO65" s="4" t="s">
        <v>2641</v>
      </c>
      <c r="AP65" s="74">
        <v>1185.24</v>
      </c>
      <c r="AQ65" s="4">
        <v>18.75</v>
      </c>
      <c r="AR65" s="4">
        <v>3</v>
      </c>
      <c r="AS65" s="4" t="s">
        <v>2668</v>
      </c>
      <c r="AT65" s="72">
        <v>6</v>
      </c>
      <c r="AU65" s="2">
        <v>3</v>
      </c>
      <c r="AV65" s="4"/>
      <c r="AW65" s="4"/>
      <c r="AX65" s="4"/>
    </row>
    <row r="66" spans="1:50" ht="15" x14ac:dyDescent="0.2">
      <c r="A66" s="3">
        <v>10143</v>
      </c>
      <c r="B66" s="1" t="s">
        <v>467</v>
      </c>
      <c r="C66" s="3">
        <v>1</v>
      </c>
      <c r="D66" s="3" t="s">
        <v>465</v>
      </c>
      <c r="E66" s="3">
        <v>3</v>
      </c>
      <c r="F66" s="3" t="s">
        <v>472</v>
      </c>
      <c r="G66" s="7" t="s">
        <v>29</v>
      </c>
      <c r="H66" s="3">
        <v>6</v>
      </c>
      <c r="I66" s="3" t="s">
        <v>629</v>
      </c>
      <c r="J66" s="3">
        <v>7</v>
      </c>
      <c r="K66" s="3" t="s">
        <v>1526</v>
      </c>
      <c r="L66" s="3">
        <v>4</v>
      </c>
      <c r="M66" s="3" t="s">
        <v>498</v>
      </c>
      <c r="N66" s="3" t="s">
        <v>633</v>
      </c>
      <c r="O66" s="10">
        <v>29419</v>
      </c>
      <c r="P66" s="10">
        <v>41837</v>
      </c>
      <c r="Q66" s="10"/>
      <c r="R66" s="10">
        <v>44926</v>
      </c>
      <c r="S66" s="23">
        <v>9552.16</v>
      </c>
      <c r="T66" s="3">
        <v>53278541</v>
      </c>
      <c r="U66" s="3">
        <v>28007170300351</v>
      </c>
      <c r="V66" s="4" t="s">
        <v>1659</v>
      </c>
      <c r="W66" s="4"/>
      <c r="X66" s="4" t="s">
        <v>1583</v>
      </c>
      <c r="Y66" s="4">
        <v>2017</v>
      </c>
      <c r="Z66" s="3">
        <f ca="1">DATEDIF(Table1[[#This Row],[تاريخ الميلاد]],TODAY(),"y")</f>
        <v>46</v>
      </c>
      <c r="AA6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46 عام 1  شهر  3  يوم </v>
      </c>
      <c r="AB6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12عام1  شهر  3  يوم </v>
      </c>
      <c r="AC66" s="10">
        <f>DATE(YEAR(Table1[[#This Row],[تاريخ الميلاد]])+60,MONTH(Table1[[#This Row],[تاريخ الميلاد]]),DAY(Table1[[#This Row],[تاريخ الميلاد]]))</f>
        <v>51334</v>
      </c>
      <c r="AD66" s="14">
        <f>DATE(YEAR(Table1[[#This Row],[معاش 01/01]])-1,MONTH(Table1[[#This Row],[تاريخ بلوغ 60 ]]),DAY(Table1[[#This Row],[تاريخ بلوغ 60 ]]))</f>
        <v>51334</v>
      </c>
      <c r="AE6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51699</v>
      </c>
      <c r="AF66" s="10" t="str">
        <f>IFERROR(IF(ISODD(MID(Table1[[#This Row],[الرقم القومي]],13,1)),"ذكر","انثي"),"")</f>
        <v>ذكر</v>
      </c>
      <c r="AG66" s="70" t="s">
        <v>2606</v>
      </c>
      <c r="AH66" s="3">
        <f>IF(MONTH(Table1[[#This Row],[تاريخ بلوغ 60 ]])&lt;&gt;1,1,0)</f>
        <v>1</v>
      </c>
      <c r="AI66" s="3">
        <f>IF(DAY(Table1[[#This Row],[تاريخ بلوغ 60 ]])&lt;&gt;1,1,0)</f>
        <v>1</v>
      </c>
      <c r="AJ66" s="4" t="s">
        <v>465</v>
      </c>
      <c r="AK66" s="4" t="s">
        <v>2636</v>
      </c>
      <c r="AL66" s="62" t="s">
        <v>1658</v>
      </c>
      <c r="AM66" s="62" t="s">
        <v>2678</v>
      </c>
      <c r="AN66" s="2">
        <v>5</v>
      </c>
      <c r="AO66" s="4" t="s">
        <v>2641</v>
      </c>
      <c r="AP66" s="74">
        <v>1357.68</v>
      </c>
      <c r="AQ66" s="4">
        <v>15</v>
      </c>
      <c r="AR66" s="4">
        <v>3</v>
      </c>
      <c r="AS66" s="4" t="s">
        <v>2668</v>
      </c>
      <c r="AT66" s="72">
        <v>6</v>
      </c>
      <c r="AU66" s="2">
        <v>4</v>
      </c>
      <c r="AV66" s="4"/>
      <c r="AW66" s="4"/>
      <c r="AX66" s="4"/>
    </row>
    <row r="67" spans="1:50" ht="15" x14ac:dyDescent="0.2">
      <c r="A67" s="3">
        <v>10162</v>
      </c>
      <c r="B67" s="1" t="s">
        <v>467</v>
      </c>
      <c r="C67" s="3">
        <v>1</v>
      </c>
      <c r="D67" s="3" t="s">
        <v>465</v>
      </c>
      <c r="E67" s="3">
        <v>6</v>
      </c>
      <c r="F67" s="3" t="s">
        <v>473</v>
      </c>
      <c r="G67" s="7" t="s">
        <v>30</v>
      </c>
      <c r="H67" s="3">
        <v>10</v>
      </c>
      <c r="I67" s="3" t="s">
        <v>655</v>
      </c>
      <c r="J67" s="3">
        <v>8</v>
      </c>
      <c r="K67" s="3" t="s">
        <v>1527</v>
      </c>
      <c r="L67" s="3">
        <v>4</v>
      </c>
      <c r="M67" s="3" t="s">
        <v>498</v>
      </c>
      <c r="N67" s="3" t="s">
        <v>641</v>
      </c>
      <c r="O67" s="10">
        <v>26489</v>
      </c>
      <c r="P67" s="10">
        <v>41837</v>
      </c>
      <c r="Q67" s="10"/>
      <c r="R67" s="10">
        <v>44926</v>
      </c>
      <c r="S67" s="23">
        <v>11511.76</v>
      </c>
      <c r="T67" s="3">
        <v>46434569</v>
      </c>
      <c r="U67" s="3">
        <v>27207091200291</v>
      </c>
      <c r="V67" s="4" t="s">
        <v>1661</v>
      </c>
      <c r="W67" s="4"/>
      <c r="X67" s="4" t="s">
        <v>1583</v>
      </c>
      <c r="Y67" s="4">
        <v>2019</v>
      </c>
      <c r="Z67" s="3">
        <f ca="1">DATEDIF(Table1[[#This Row],[تاريخ الميلاد]],TODAY(),"y")</f>
        <v>54</v>
      </c>
      <c r="AA6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54 عام 1  شهر  11  يوم </v>
      </c>
      <c r="AB6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12عام1  شهر  3  يوم </v>
      </c>
      <c r="AC67" s="10">
        <f>DATE(YEAR(Table1[[#This Row],[تاريخ الميلاد]])+60,MONTH(Table1[[#This Row],[تاريخ الميلاد]]),DAY(Table1[[#This Row],[تاريخ الميلاد]]))</f>
        <v>48404</v>
      </c>
      <c r="AD67" s="14">
        <f>DATE(YEAR(Table1[[#This Row],[معاش 01/01]])-1,MONTH(Table1[[#This Row],[تاريخ بلوغ 60 ]]),DAY(Table1[[#This Row],[تاريخ بلوغ 60 ]]))</f>
        <v>48404</v>
      </c>
      <c r="AE6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48769</v>
      </c>
      <c r="AF67" s="10" t="str">
        <f>IFERROR(IF(ISODD(MID(Table1[[#This Row],[الرقم القومي]],13,1)),"ذكر","انثي"),"")</f>
        <v>ذكر</v>
      </c>
      <c r="AG67" s="70" t="s">
        <v>1635</v>
      </c>
      <c r="AH67" s="3">
        <f>IF(MONTH(Table1[[#This Row],[تاريخ بلوغ 60 ]])&lt;&gt;1,1,0)</f>
        <v>1</v>
      </c>
      <c r="AI67" s="3">
        <f>IF(DAY(Table1[[#This Row],[تاريخ بلوغ 60 ]])&lt;&gt;1,1,0)</f>
        <v>1</v>
      </c>
      <c r="AJ67" s="4" t="s">
        <v>465</v>
      </c>
      <c r="AK67" s="4" t="s">
        <v>2636</v>
      </c>
      <c r="AL67" s="62" t="s">
        <v>1660</v>
      </c>
      <c r="AM67" s="62" t="s">
        <v>2679</v>
      </c>
      <c r="AN67" s="2">
        <v>5</v>
      </c>
      <c r="AO67" s="4" t="s">
        <v>2641</v>
      </c>
      <c r="AP67" s="74">
        <v>1639.29</v>
      </c>
      <c r="AQ67" s="4">
        <v>15</v>
      </c>
      <c r="AR67" s="4">
        <v>3</v>
      </c>
      <c r="AS67" s="4" t="s">
        <v>2668</v>
      </c>
      <c r="AT67" s="72">
        <v>6</v>
      </c>
      <c r="AU67" s="2">
        <v>4</v>
      </c>
      <c r="AV67" s="4"/>
      <c r="AW67" s="4"/>
      <c r="AX67" s="4"/>
    </row>
    <row r="68" spans="1:50" ht="15" x14ac:dyDescent="0.2">
      <c r="A68" s="3">
        <v>10188</v>
      </c>
      <c r="B68" s="1" t="s">
        <v>467</v>
      </c>
      <c r="C68" s="3">
        <v>1</v>
      </c>
      <c r="D68" s="3" t="s">
        <v>465</v>
      </c>
      <c r="E68" s="3">
        <v>3</v>
      </c>
      <c r="F68" s="3" t="s">
        <v>472</v>
      </c>
      <c r="G68" s="7" t="s">
        <v>31</v>
      </c>
      <c r="H68" s="3">
        <v>2</v>
      </c>
      <c r="I68" s="3" t="s">
        <v>596</v>
      </c>
      <c r="J68" s="3">
        <v>4</v>
      </c>
      <c r="K68" s="3" t="s">
        <v>1524</v>
      </c>
      <c r="L68" s="3">
        <v>3</v>
      </c>
      <c r="M68" s="3" t="s">
        <v>496</v>
      </c>
      <c r="N68" s="3" t="s">
        <v>599</v>
      </c>
      <c r="O68" s="10">
        <v>29869</v>
      </c>
      <c r="P68" s="10">
        <v>41863</v>
      </c>
      <c r="Q68" s="10"/>
      <c r="R68" s="10">
        <v>44926</v>
      </c>
      <c r="S68" s="23">
        <v>6324.76</v>
      </c>
      <c r="T68" s="3">
        <v>17142506</v>
      </c>
      <c r="U68" s="3">
        <v>28110100300333</v>
      </c>
      <c r="V68" s="4" t="s">
        <v>1663</v>
      </c>
      <c r="W68" s="4"/>
      <c r="X68" s="4" t="s">
        <v>1583</v>
      </c>
      <c r="Y68" s="4">
        <v>2013</v>
      </c>
      <c r="Z68" s="3">
        <f ca="1">DATEDIF(Table1[[#This Row],[تاريخ الميلاد]],TODAY(),"y")</f>
        <v>44</v>
      </c>
      <c r="AA6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44 عام 10  شهر  10  يوم </v>
      </c>
      <c r="AB6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12عام0  شهر  8  يوم </v>
      </c>
      <c r="AC68" s="10">
        <f>DATE(YEAR(Table1[[#This Row],[تاريخ الميلاد]])+60,MONTH(Table1[[#This Row],[تاريخ الميلاد]]),DAY(Table1[[#This Row],[تاريخ الميلاد]]))</f>
        <v>51784</v>
      </c>
      <c r="AD68" s="14">
        <f>DATE(YEAR(Table1[[#This Row],[معاش 01/01]])-1,MONTH(Table1[[#This Row],[تاريخ بلوغ 60 ]]),DAY(Table1[[#This Row],[تاريخ بلوغ 60 ]]))</f>
        <v>51784</v>
      </c>
      <c r="AE6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52149</v>
      </c>
      <c r="AF68" s="10" t="str">
        <f>IFERROR(IF(ISODD(MID(Table1[[#This Row],[الرقم القومي]],13,1)),"ذكر","انثي"),"")</f>
        <v>ذكر</v>
      </c>
      <c r="AG68" s="70" t="s">
        <v>2606</v>
      </c>
      <c r="AH68" s="3">
        <f>IF(MONTH(Table1[[#This Row],[تاريخ بلوغ 60 ]])&lt;&gt;1,1,0)</f>
        <v>1</v>
      </c>
      <c r="AI68" s="3">
        <f>IF(DAY(Table1[[#This Row],[تاريخ بلوغ 60 ]])&lt;&gt;1,1,0)</f>
        <v>1</v>
      </c>
      <c r="AJ68" s="4" t="s">
        <v>465</v>
      </c>
      <c r="AK68" s="4" t="s">
        <v>2636</v>
      </c>
      <c r="AL68" s="62" t="s">
        <v>1662</v>
      </c>
      <c r="AM68" s="62" t="s">
        <v>2680</v>
      </c>
      <c r="AN68" s="2">
        <v>2</v>
      </c>
      <c r="AO68" s="4" t="s">
        <v>2641</v>
      </c>
      <c r="AP68" s="74">
        <v>1123.22</v>
      </c>
      <c r="AQ68" s="4">
        <v>18.75</v>
      </c>
      <c r="AR68" s="4">
        <v>3</v>
      </c>
      <c r="AS68" s="4" t="s">
        <v>2668</v>
      </c>
      <c r="AT68" s="72">
        <v>6</v>
      </c>
      <c r="AU68" s="2">
        <v>3</v>
      </c>
      <c r="AV68" s="4"/>
      <c r="AW68" s="4"/>
      <c r="AX68" s="4"/>
    </row>
    <row r="69" spans="1:50" ht="15" x14ac:dyDescent="0.2">
      <c r="A69" s="3">
        <v>10192</v>
      </c>
      <c r="B69" s="1" t="s">
        <v>467</v>
      </c>
      <c r="C69" s="3">
        <v>1</v>
      </c>
      <c r="D69" s="3" t="s">
        <v>465</v>
      </c>
      <c r="E69" s="3">
        <v>3</v>
      </c>
      <c r="F69" s="3" t="s">
        <v>472</v>
      </c>
      <c r="G69" s="7" t="s">
        <v>32</v>
      </c>
      <c r="H69" s="3">
        <v>2</v>
      </c>
      <c r="I69" s="3" t="s">
        <v>596</v>
      </c>
      <c r="J69" s="3">
        <v>4</v>
      </c>
      <c r="K69" s="3" t="s">
        <v>1524</v>
      </c>
      <c r="L69" s="3">
        <v>3</v>
      </c>
      <c r="M69" s="3" t="s">
        <v>496</v>
      </c>
      <c r="N69" s="3" t="s">
        <v>599</v>
      </c>
      <c r="O69" s="10">
        <v>29928</v>
      </c>
      <c r="P69" s="10">
        <v>41863</v>
      </c>
      <c r="Q69" s="10"/>
      <c r="R69" s="10">
        <v>44926</v>
      </c>
      <c r="S69" s="23">
        <v>6324.76</v>
      </c>
      <c r="T69" s="3">
        <v>13309545</v>
      </c>
      <c r="U69" s="3">
        <v>28112081200074</v>
      </c>
      <c r="V69" s="4" t="s">
        <v>1665</v>
      </c>
      <c r="W69" s="4"/>
      <c r="X69" s="4" t="s">
        <v>1583</v>
      </c>
      <c r="Y69" s="4">
        <v>2011</v>
      </c>
      <c r="Z69" s="3">
        <f ca="1">DATEDIF(Table1[[#This Row],[تاريخ الميلاد]],TODAY(),"y")</f>
        <v>44</v>
      </c>
      <c r="AA6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44 عام 8  شهر  12  يوم </v>
      </c>
      <c r="AB6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12عام0  شهر  8  يوم </v>
      </c>
      <c r="AC69" s="10">
        <f>DATE(YEAR(Table1[[#This Row],[تاريخ الميلاد]])+60,MONTH(Table1[[#This Row],[تاريخ الميلاد]]),DAY(Table1[[#This Row],[تاريخ الميلاد]]))</f>
        <v>51843</v>
      </c>
      <c r="AD69" s="14">
        <f>DATE(YEAR(Table1[[#This Row],[معاش 01/01]])-1,MONTH(Table1[[#This Row],[تاريخ بلوغ 60 ]]),DAY(Table1[[#This Row],[تاريخ بلوغ 60 ]]))</f>
        <v>51843</v>
      </c>
      <c r="AE6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52208</v>
      </c>
      <c r="AF69" s="10" t="str">
        <f>IFERROR(IF(ISODD(MID(Table1[[#This Row],[الرقم القومي]],13,1)),"ذكر","انثي"),"")</f>
        <v>ذكر</v>
      </c>
      <c r="AG69" s="70" t="s">
        <v>1635</v>
      </c>
      <c r="AH69" s="3">
        <f>IF(MONTH(Table1[[#This Row],[تاريخ بلوغ 60 ]])&lt;&gt;1,1,0)</f>
        <v>1</v>
      </c>
      <c r="AI69" s="3">
        <f>IF(DAY(Table1[[#This Row],[تاريخ بلوغ 60 ]])&lt;&gt;1,1,0)</f>
        <v>1</v>
      </c>
      <c r="AJ69" s="4" t="s">
        <v>1635</v>
      </c>
      <c r="AK69" s="4" t="s">
        <v>2682</v>
      </c>
      <c r="AL69" s="62" t="s">
        <v>1664</v>
      </c>
      <c r="AM69" s="62" t="s">
        <v>2681</v>
      </c>
      <c r="AN69" s="2">
        <v>2</v>
      </c>
      <c r="AO69" s="4" t="s">
        <v>2641</v>
      </c>
      <c r="AP69" s="74">
        <v>1123.22</v>
      </c>
      <c r="AQ69" s="4">
        <v>18.75</v>
      </c>
      <c r="AR69" s="4">
        <v>3</v>
      </c>
      <c r="AS69" s="4" t="s">
        <v>2668</v>
      </c>
      <c r="AT69" s="72">
        <v>6</v>
      </c>
      <c r="AU69" s="2">
        <v>3</v>
      </c>
      <c r="AV69" s="4"/>
      <c r="AW69" s="4"/>
      <c r="AX69" s="4"/>
    </row>
    <row r="70" spans="1:50" ht="15" x14ac:dyDescent="0.2">
      <c r="A70" s="3">
        <v>10194</v>
      </c>
      <c r="B70" s="1" t="s">
        <v>467</v>
      </c>
      <c r="C70" s="3">
        <v>1</v>
      </c>
      <c r="D70" s="3" t="s">
        <v>465</v>
      </c>
      <c r="E70" s="3">
        <v>3</v>
      </c>
      <c r="F70" s="3" t="s">
        <v>472</v>
      </c>
      <c r="G70" s="7" t="s">
        <v>1666</v>
      </c>
      <c r="H70" s="3">
        <v>2</v>
      </c>
      <c r="I70" s="3" t="s">
        <v>596</v>
      </c>
      <c r="J70" s="3">
        <v>4</v>
      </c>
      <c r="K70" s="3" t="s">
        <v>1524</v>
      </c>
      <c r="L70" s="3">
        <v>3</v>
      </c>
      <c r="M70" s="3" t="s">
        <v>496</v>
      </c>
      <c r="N70" s="3" t="s">
        <v>599</v>
      </c>
      <c r="O70" s="10">
        <v>30590</v>
      </c>
      <c r="P70" s="10">
        <v>41863</v>
      </c>
      <c r="Q70" s="10"/>
      <c r="R70" s="10">
        <v>45657</v>
      </c>
      <c r="S70" s="23">
        <v>5524.36</v>
      </c>
      <c r="T70" s="3">
        <v>63123721</v>
      </c>
      <c r="U70" s="3">
        <v>28310010123938</v>
      </c>
      <c r="V70" s="4" t="s">
        <v>1669</v>
      </c>
      <c r="W70" s="4"/>
      <c r="X70" s="4" t="s">
        <v>1583</v>
      </c>
      <c r="Y70" s="4">
        <v>2012</v>
      </c>
      <c r="Z70" s="3">
        <f ca="1">DATEDIF(Table1[[#This Row],[تاريخ الميلاد]],TODAY(),"y")</f>
        <v>42</v>
      </c>
      <c r="AA7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42 عام 10  شهر  19  يوم </v>
      </c>
      <c r="AB7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12عام0  شهر  8  يوم </v>
      </c>
      <c r="AC70" s="10">
        <f>DATE(YEAR(Table1[[#This Row],[تاريخ الميلاد]])+60,MONTH(Table1[[#This Row],[تاريخ الميلاد]]),DAY(Table1[[#This Row],[تاريخ الميلاد]]))</f>
        <v>52505</v>
      </c>
      <c r="AD70" s="14">
        <f>DATE(YEAR(Table1[[#This Row],[معاش 01/01]])-1,MONTH(Table1[[#This Row],[تاريخ بلوغ 60 ]]),DAY(Table1[[#This Row],[تاريخ بلوغ 60 ]]))</f>
        <v>52505</v>
      </c>
      <c r="AE7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52871</v>
      </c>
      <c r="AF70" s="10" t="str">
        <f>IFERROR(IF(ISODD(MID(Table1[[#This Row],[الرقم القومي]],13,1)),"ذكر","انثي"),"")</f>
        <v>ذكر</v>
      </c>
      <c r="AG70" s="70" t="s">
        <v>1667</v>
      </c>
      <c r="AH70" s="3">
        <f>IF(MONTH(Table1[[#This Row],[تاريخ بلوغ 60 ]])&lt;&gt;1,1,0)</f>
        <v>1</v>
      </c>
      <c r="AI70" s="3">
        <f>IF(DAY(Table1[[#This Row],[تاريخ بلوغ 60 ]])&lt;&gt;1,1,0)</f>
        <v>0</v>
      </c>
      <c r="AJ70" s="4" t="s">
        <v>1667</v>
      </c>
      <c r="AK70" s="4">
        <v>0</v>
      </c>
      <c r="AL70" s="62" t="s">
        <v>1668</v>
      </c>
      <c r="AM70" s="62" t="s">
        <v>2683</v>
      </c>
      <c r="AN70" s="2">
        <v>2</v>
      </c>
      <c r="AO70" s="4" t="s">
        <v>2641</v>
      </c>
      <c r="AP70" s="74">
        <v>981.91</v>
      </c>
      <c r="AQ70" s="4">
        <v>18.75</v>
      </c>
      <c r="AR70" s="4">
        <v>3</v>
      </c>
      <c r="AS70" s="4" t="s">
        <v>2668</v>
      </c>
      <c r="AT70" s="72">
        <v>6</v>
      </c>
      <c r="AU70" s="2">
        <v>3</v>
      </c>
      <c r="AV70" s="4"/>
      <c r="AW70" s="4"/>
      <c r="AX70" s="4"/>
    </row>
    <row r="71" spans="1:50" ht="15" x14ac:dyDescent="0.2">
      <c r="A71" s="3">
        <v>10196</v>
      </c>
      <c r="B71" s="1" t="s">
        <v>467</v>
      </c>
      <c r="C71" s="3">
        <v>1</v>
      </c>
      <c r="D71" s="3" t="s">
        <v>465</v>
      </c>
      <c r="E71" s="3">
        <v>3</v>
      </c>
      <c r="F71" s="3" t="s">
        <v>472</v>
      </c>
      <c r="G71" s="7" t="s">
        <v>1670</v>
      </c>
      <c r="H71" s="3">
        <v>2</v>
      </c>
      <c r="I71" s="3" t="s">
        <v>596</v>
      </c>
      <c r="J71" s="3">
        <v>4</v>
      </c>
      <c r="K71" s="3" t="s">
        <v>1524</v>
      </c>
      <c r="L71" s="3">
        <v>3</v>
      </c>
      <c r="M71" s="3" t="s">
        <v>496</v>
      </c>
      <c r="N71" s="3" t="s">
        <v>599</v>
      </c>
      <c r="O71" s="10">
        <v>29491</v>
      </c>
      <c r="P71" s="10">
        <v>41864</v>
      </c>
      <c r="Q71" s="10"/>
      <c r="R71" s="10">
        <v>44926</v>
      </c>
      <c r="S71" s="23">
        <v>6324.76</v>
      </c>
      <c r="T71" s="3">
        <v>58952244</v>
      </c>
      <c r="U71" s="3">
        <v>28009271202914</v>
      </c>
      <c r="V71" s="4" t="s">
        <v>1672</v>
      </c>
      <c r="W71" s="4"/>
      <c r="X71" s="4" t="s">
        <v>1583</v>
      </c>
      <c r="Y71" s="4">
        <v>2011</v>
      </c>
      <c r="Z71" s="3">
        <f ca="1">DATEDIF(Table1[[#This Row],[تاريخ الميلاد]],TODAY(),"y")</f>
        <v>45</v>
      </c>
      <c r="AA7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45 عام 10  شهر  24  يوم </v>
      </c>
      <c r="AB7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12عام0  شهر  7  يوم </v>
      </c>
      <c r="AC71" s="10">
        <f>DATE(YEAR(Table1[[#This Row],[تاريخ الميلاد]])+60,MONTH(Table1[[#This Row],[تاريخ الميلاد]]),DAY(Table1[[#This Row],[تاريخ الميلاد]]))</f>
        <v>51406</v>
      </c>
      <c r="AD71" s="14">
        <f>DATE(YEAR(Table1[[#This Row],[معاش 01/01]])-1,MONTH(Table1[[#This Row],[تاريخ بلوغ 60 ]]),DAY(Table1[[#This Row],[تاريخ بلوغ 60 ]]))</f>
        <v>51406</v>
      </c>
      <c r="AE7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51771</v>
      </c>
      <c r="AF71" s="10" t="str">
        <f>IFERROR(IF(ISODD(MID(Table1[[#This Row],[الرقم القومي]],13,1)),"ذكر","انثي"),"")</f>
        <v>ذكر</v>
      </c>
      <c r="AG71" s="70" t="s">
        <v>1635</v>
      </c>
      <c r="AH71" s="3">
        <f>IF(MONTH(Table1[[#This Row],[تاريخ بلوغ 60 ]])&lt;&gt;1,1,0)</f>
        <v>1</v>
      </c>
      <c r="AI71" s="3">
        <f>IF(DAY(Table1[[#This Row],[تاريخ بلوغ 60 ]])&lt;&gt;1,1,0)</f>
        <v>1</v>
      </c>
      <c r="AJ71" s="4" t="s">
        <v>465</v>
      </c>
      <c r="AK71" s="4" t="s">
        <v>2636</v>
      </c>
      <c r="AL71" s="62" t="s">
        <v>1671</v>
      </c>
      <c r="AM71" s="62" t="s">
        <v>2684</v>
      </c>
      <c r="AN71" s="2">
        <v>2</v>
      </c>
      <c r="AO71" s="4" t="s">
        <v>2641</v>
      </c>
      <c r="AP71" s="74">
        <v>1123.22</v>
      </c>
      <c r="AQ71" s="4">
        <v>18.75</v>
      </c>
      <c r="AR71" s="4">
        <v>3</v>
      </c>
      <c r="AS71" s="4" t="s">
        <v>2668</v>
      </c>
      <c r="AT71" s="72">
        <v>6</v>
      </c>
      <c r="AU71" s="2">
        <v>3</v>
      </c>
      <c r="AV71" s="4"/>
      <c r="AW71" s="4"/>
      <c r="AX71" s="4"/>
    </row>
    <row r="72" spans="1:50" ht="15" x14ac:dyDescent="0.2">
      <c r="A72" s="3">
        <v>10210</v>
      </c>
      <c r="B72" s="1" t="s">
        <v>467</v>
      </c>
      <c r="C72" s="3">
        <v>1</v>
      </c>
      <c r="D72" s="3" t="s">
        <v>465</v>
      </c>
      <c r="E72" s="3">
        <v>3</v>
      </c>
      <c r="F72" s="3" t="s">
        <v>472</v>
      </c>
      <c r="G72" s="7" t="s">
        <v>33</v>
      </c>
      <c r="H72" s="3">
        <v>5</v>
      </c>
      <c r="I72" s="3" t="s">
        <v>621</v>
      </c>
      <c r="J72" s="3">
        <v>8</v>
      </c>
      <c r="K72" s="3" t="s">
        <v>1527</v>
      </c>
      <c r="L72" s="3">
        <v>4</v>
      </c>
      <c r="M72" s="3" t="s">
        <v>498</v>
      </c>
      <c r="N72" s="3" t="s">
        <v>625</v>
      </c>
      <c r="O72" s="10">
        <v>32118</v>
      </c>
      <c r="P72" s="10">
        <v>41864</v>
      </c>
      <c r="Q72" s="10"/>
      <c r="R72" s="10">
        <v>44926</v>
      </c>
      <c r="S72" s="23">
        <v>5637.14</v>
      </c>
      <c r="T72" s="3">
        <v>54930104</v>
      </c>
      <c r="U72" s="3">
        <v>28712070300171</v>
      </c>
      <c r="V72" s="4" t="s">
        <v>1674</v>
      </c>
      <c r="W72" s="4"/>
      <c r="X72" s="4" t="s">
        <v>1583</v>
      </c>
      <c r="Y72" s="4">
        <v>2016</v>
      </c>
      <c r="Z72" s="3">
        <f ca="1">DATEDIF(Table1[[#This Row],[تاريخ الميلاد]],TODAY(),"y")</f>
        <v>38</v>
      </c>
      <c r="AA7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8  شهر  13  يوم </v>
      </c>
      <c r="AB7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12عام0  شهر  7  يوم </v>
      </c>
      <c r="AC72" s="10">
        <f>DATE(YEAR(Table1[[#This Row],[تاريخ الميلاد]])+60,MONTH(Table1[[#This Row],[تاريخ الميلاد]]),DAY(Table1[[#This Row],[تاريخ الميلاد]]))</f>
        <v>54033</v>
      </c>
      <c r="AD72" s="14">
        <f>DATE(YEAR(Table1[[#This Row],[معاش 01/01]])-1,MONTH(Table1[[#This Row],[تاريخ بلوغ 60 ]]),DAY(Table1[[#This Row],[تاريخ بلوغ 60 ]]))</f>
        <v>54033</v>
      </c>
      <c r="AE7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54399</v>
      </c>
      <c r="AF72" s="10" t="str">
        <f>IFERROR(IF(ISODD(MID(Table1[[#This Row],[الرقم القومي]],13,1)),"ذكر","انثي"),"")</f>
        <v>ذكر</v>
      </c>
      <c r="AG72" s="70" t="s">
        <v>2606</v>
      </c>
      <c r="AH72" s="3">
        <f>IF(MONTH(Table1[[#This Row],[تاريخ بلوغ 60 ]])&lt;&gt;1,1,0)</f>
        <v>1</v>
      </c>
      <c r="AI72" s="3">
        <f>IF(DAY(Table1[[#This Row],[تاريخ بلوغ 60 ]])&lt;&gt;1,1,0)</f>
        <v>1</v>
      </c>
      <c r="AJ72" s="4" t="s">
        <v>465</v>
      </c>
      <c r="AK72" s="4" t="s">
        <v>2636</v>
      </c>
      <c r="AL72" s="62" t="s">
        <v>1673</v>
      </c>
      <c r="AM72" s="62" t="s">
        <v>2685</v>
      </c>
      <c r="AN72" s="2">
        <v>2</v>
      </c>
      <c r="AO72" s="4" t="s">
        <v>2641</v>
      </c>
      <c r="AP72" s="74">
        <v>1002.1</v>
      </c>
      <c r="AQ72" s="4">
        <v>18.75</v>
      </c>
      <c r="AR72" s="4">
        <v>3</v>
      </c>
      <c r="AS72" s="4" t="s">
        <v>2668</v>
      </c>
      <c r="AT72" s="72">
        <v>6</v>
      </c>
      <c r="AU72" s="2">
        <v>4</v>
      </c>
      <c r="AV72" s="4"/>
      <c r="AW72" s="4"/>
      <c r="AX72" s="4"/>
    </row>
    <row r="73" spans="1:50" ht="15" x14ac:dyDescent="0.2">
      <c r="A73" s="3">
        <v>10216</v>
      </c>
      <c r="B73" s="1" t="s">
        <v>467</v>
      </c>
      <c r="C73" s="3">
        <v>1</v>
      </c>
      <c r="D73" s="3" t="s">
        <v>465</v>
      </c>
      <c r="E73" s="3">
        <v>3</v>
      </c>
      <c r="F73" s="3" t="s">
        <v>472</v>
      </c>
      <c r="G73" s="7" t="s">
        <v>34</v>
      </c>
      <c r="H73" s="3">
        <v>2</v>
      </c>
      <c r="I73" s="3" t="s">
        <v>596</v>
      </c>
      <c r="J73" s="3">
        <v>4</v>
      </c>
      <c r="K73" s="3" t="s">
        <v>1524</v>
      </c>
      <c r="L73" s="3">
        <v>4</v>
      </c>
      <c r="M73" s="3" t="s">
        <v>498</v>
      </c>
      <c r="N73" s="3" t="s">
        <v>600</v>
      </c>
      <c r="O73" s="10">
        <v>32101</v>
      </c>
      <c r="P73" s="10">
        <v>41864</v>
      </c>
      <c r="Q73" s="10"/>
      <c r="R73" s="10">
        <v>44926</v>
      </c>
      <c r="S73" s="23">
        <v>5353.3</v>
      </c>
      <c r="T73" s="3">
        <v>70209482</v>
      </c>
      <c r="U73" s="3">
        <v>28711208800255</v>
      </c>
      <c r="V73" s="4" t="s">
        <v>1676</v>
      </c>
      <c r="W73" s="4"/>
      <c r="X73" s="4" t="s">
        <v>1583</v>
      </c>
      <c r="Y73" s="4">
        <v>2009</v>
      </c>
      <c r="Z73" s="3">
        <f ca="1">DATEDIF(Table1[[#This Row],[تاريخ الميلاد]],TODAY(),"y")</f>
        <v>38</v>
      </c>
      <c r="AA7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9  شهر  0  يوم </v>
      </c>
      <c r="AB7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12عام0  شهر  7  يوم </v>
      </c>
      <c r="AC73" s="10">
        <f>DATE(YEAR(Table1[[#This Row],[تاريخ الميلاد]])+60,MONTH(Table1[[#This Row],[تاريخ الميلاد]]),DAY(Table1[[#This Row],[تاريخ الميلاد]]))</f>
        <v>54016</v>
      </c>
      <c r="AD73" s="14">
        <f>DATE(YEAR(Table1[[#This Row],[معاش 01/01]])-1,MONTH(Table1[[#This Row],[تاريخ بلوغ 60 ]]),DAY(Table1[[#This Row],[تاريخ بلوغ 60 ]]))</f>
        <v>54016</v>
      </c>
      <c r="AE7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54382</v>
      </c>
      <c r="AF73" s="10" t="str">
        <f>IFERROR(IF(ISODD(MID(Table1[[#This Row],[الرقم القومي]],13,1)),"ذكر","انثي"),"")</f>
        <v>ذكر</v>
      </c>
      <c r="AG73" s="70"/>
      <c r="AH73" s="3">
        <f>IF(MONTH(Table1[[#This Row],[تاريخ بلوغ 60 ]])&lt;&gt;1,1,0)</f>
        <v>1</v>
      </c>
      <c r="AI73" s="3">
        <f>IF(DAY(Table1[[#This Row],[تاريخ بلوغ 60 ]])&lt;&gt;1,1,0)</f>
        <v>1</v>
      </c>
      <c r="AJ73" s="4" t="s">
        <v>1675</v>
      </c>
      <c r="AK73" s="4">
        <v>0</v>
      </c>
      <c r="AL73" s="4" t="s">
        <v>3204</v>
      </c>
      <c r="AM73" s="62" t="s">
        <v>2686</v>
      </c>
      <c r="AN73" s="2">
        <v>2</v>
      </c>
      <c r="AO73" s="4" t="s">
        <v>2641</v>
      </c>
      <c r="AP73" s="74">
        <v>951.02</v>
      </c>
      <c r="AQ73" s="4">
        <v>18.75</v>
      </c>
      <c r="AR73" s="4">
        <v>3</v>
      </c>
      <c r="AS73" s="4" t="s">
        <v>2668</v>
      </c>
      <c r="AT73" s="72">
        <v>6</v>
      </c>
      <c r="AU73" s="2">
        <v>4</v>
      </c>
      <c r="AV73" s="4"/>
      <c r="AW73" s="4"/>
      <c r="AX73" s="4"/>
    </row>
    <row r="74" spans="1:50" ht="15" x14ac:dyDescent="0.2">
      <c r="A74" s="3">
        <v>10222</v>
      </c>
      <c r="B74" s="1" t="s">
        <v>467</v>
      </c>
      <c r="C74" s="3">
        <v>1</v>
      </c>
      <c r="D74" s="3" t="s">
        <v>465</v>
      </c>
      <c r="E74" s="3">
        <v>3</v>
      </c>
      <c r="F74" s="3" t="s">
        <v>472</v>
      </c>
      <c r="G74" s="7" t="s">
        <v>1677</v>
      </c>
      <c r="H74" s="3">
        <v>188</v>
      </c>
      <c r="I74" s="3" t="s">
        <v>1535</v>
      </c>
      <c r="J74" s="3">
        <v>6</v>
      </c>
      <c r="K74" s="3" t="s">
        <v>1525</v>
      </c>
      <c r="L74" s="3">
        <v>4</v>
      </c>
      <c r="M74" s="3" t="s">
        <v>498</v>
      </c>
      <c r="N74" s="3" t="s">
        <v>1541</v>
      </c>
      <c r="O74" s="10">
        <v>32389</v>
      </c>
      <c r="P74" s="10">
        <v>41452</v>
      </c>
      <c r="Q74" s="10"/>
      <c r="R74" s="10">
        <v>44926</v>
      </c>
      <c r="S74" s="23">
        <v>6403.68</v>
      </c>
      <c r="T74" s="3">
        <v>67112209</v>
      </c>
      <c r="U74" s="3">
        <v>28809030300334</v>
      </c>
      <c r="V74" s="4" t="s">
        <v>1679</v>
      </c>
      <c r="W74" s="4"/>
      <c r="X74" s="4" t="s">
        <v>1583</v>
      </c>
      <c r="Y74" s="4">
        <v>2018</v>
      </c>
      <c r="Z74" s="3">
        <f ca="1">DATEDIF(Table1[[#This Row],[تاريخ الميلاد]],TODAY(),"y")</f>
        <v>37</v>
      </c>
      <c r="AA7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11  شهر  17  يوم </v>
      </c>
      <c r="AB7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13عام1  شهر  24  يوم </v>
      </c>
      <c r="AC74" s="10">
        <f>DATE(YEAR(Table1[[#This Row],[تاريخ الميلاد]])+60,MONTH(Table1[[#This Row],[تاريخ الميلاد]]),DAY(Table1[[#This Row],[تاريخ الميلاد]]))</f>
        <v>54304</v>
      </c>
      <c r="AD74" s="14">
        <f>DATE(YEAR(Table1[[#This Row],[معاش 01/01]])-1,MONTH(Table1[[#This Row],[تاريخ بلوغ 60 ]]),DAY(Table1[[#This Row],[تاريخ بلوغ 60 ]]))</f>
        <v>54304</v>
      </c>
      <c r="AE7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54669</v>
      </c>
      <c r="AF74" s="10" t="str">
        <f>IFERROR(IF(ISODD(MID(Table1[[#This Row],[الرقم القومي]],13,1)),"ذكر","انثي"),"")</f>
        <v>ذكر</v>
      </c>
      <c r="AG74" s="70" t="s">
        <v>2606</v>
      </c>
      <c r="AH74" s="3">
        <f>IF(MONTH(Table1[[#This Row],[تاريخ بلوغ 60 ]])&lt;&gt;1,1,0)</f>
        <v>1</v>
      </c>
      <c r="AI74" s="3">
        <f>IF(DAY(Table1[[#This Row],[تاريخ بلوغ 60 ]])&lt;&gt;1,1,0)</f>
        <v>1</v>
      </c>
      <c r="AJ74" s="4" t="s">
        <v>465</v>
      </c>
      <c r="AK74" s="4">
        <v>0</v>
      </c>
      <c r="AL74" s="62" t="s">
        <v>1678</v>
      </c>
      <c r="AM74" s="62" t="s">
        <v>2687</v>
      </c>
      <c r="AN74" s="2">
        <v>2</v>
      </c>
      <c r="AO74" s="4" t="s">
        <v>2641</v>
      </c>
      <c r="AP74" s="74">
        <v>1138.8900000000001</v>
      </c>
      <c r="AQ74" s="4">
        <v>18.75</v>
      </c>
      <c r="AR74" s="4">
        <v>3</v>
      </c>
      <c r="AS74" s="4" t="s">
        <v>2668</v>
      </c>
      <c r="AT74" s="72">
        <v>6</v>
      </c>
      <c r="AU74" s="2">
        <v>4</v>
      </c>
      <c r="AV74" s="4"/>
      <c r="AW74" s="4"/>
      <c r="AX74" s="4"/>
    </row>
    <row r="75" spans="1:50" ht="15" x14ac:dyDescent="0.2">
      <c r="A75" s="3">
        <v>10224</v>
      </c>
      <c r="B75" s="1" t="s">
        <v>467</v>
      </c>
      <c r="C75" s="3">
        <v>1</v>
      </c>
      <c r="D75" s="3" t="s">
        <v>465</v>
      </c>
      <c r="E75" s="3">
        <v>3</v>
      </c>
      <c r="F75" s="3" t="s">
        <v>472</v>
      </c>
      <c r="G75" s="7" t="s">
        <v>35</v>
      </c>
      <c r="H75" s="3">
        <v>2</v>
      </c>
      <c r="I75" s="3" t="s">
        <v>596</v>
      </c>
      <c r="J75" s="3">
        <v>4</v>
      </c>
      <c r="K75" s="3" t="s">
        <v>1524</v>
      </c>
      <c r="L75" s="3">
        <v>4</v>
      </c>
      <c r="M75" s="3" t="s">
        <v>498</v>
      </c>
      <c r="N75" s="3" t="s">
        <v>600</v>
      </c>
      <c r="O75" s="10">
        <v>31231</v>
      </c>
      <c r="P75" s="10">
        <v>41864</v>
      </c>
      <c r="Q75" s="10"/>
      <c r="R75" s="10">
        <v>44926</v>
      </c>
      <c r="S75" s="23">
        <v>5353.3</v>
      </c>
      <c r="T75" s="3">
        <v>4584273</v>
      </c>
      <c r="U75" s="3">
        <v>28507030300036</v>
      </c>
      <c r="V75" s="4" t="s">
        <v>1681</v>
      </c>
      <c r="W75" s="4"/>
      <c r="X75" s="4" t="s">
        <v>1583</v>
      </c>
      <c r="Y75" s="4">
        <v>2010</v>
      </c>
      <c r="Z75" s="3">
        <f ca="1">DATEDIF(Table1[[#This Row],[تاريخ الميلاد]],TODAY(),"y")</f>
        <v>41</v>
      </c>
      <c r="AA7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41 عام 1  شهر  17  يوم </v>
      </c>
      <c r="AB7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12عام0  شهر  7  يوم </v>
      </c>
      <c r="AC75" s="10">
        <f>DATE(YEAR(Table1[[#This Row],[تاريخ الميلاد]])+60,MONTH(Table1[[#This Row],[تاريخ الميلاد]]),DAY(Table1[[#This Row],[تاريخ الميلاد]]))</f>
        <v>53146</v>
      </c>
      <c r="AD75" s="14">
        <f>DATE(YEAR(Table1[[#This Row],[معاش 01/01]])-1,MONTH(Table1[[#This Row],[تاريخ بلوغ 60 ]]),DAY(Table1[[#This Row],[تاريخ بلوغ 60 ]]))</f>
        <v>53146</v>
      </c>
      <c r="AE7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53511</v>
      </c>
      <c r="AF75" s="10" t="str">
        <f>IFERROR(IF(ISODD(MID(Table1[[#This Row],[الرقم القومي]],13,1)),"ذكر","انثي"),"")</f>
        <v>ذكر</v>
      </c>
      <c r="AG75" s="70" t="s">
        <v>2606</v>
      </c>
      <c r="AH75" s="3">
        <f>IF(MONTH(Table1[[#This Row],[تاريخ بلوغ 60 ]])&lt;&gt;1,1,0)</f>
        <v>1</v>
      </c>
      <c r="AI75" s="3">
        <f>IF(DAY(Table1[[#This Row],[تاريخ بلوغ 60 ]])&lt;&gt;1,1,0)</f>
        <v>1</v>
      </c>
      <c r="AJ75" s="4" t="s">
        <v>465</v>
      </c>
      <c r="AK75" s="4" t="s">
        <v>2689</v>
      </c>
      <c r="AL75" s="62" t="s">
        <v>1680</v>
      </c>
      <c r="AM75" s="62" t="s">
        <v>2688</v>
      </c>
      <c r="AN75" s="2">
        <v>2</v>
      </c>
      <c r="AO75" s="4" t="s">
        <v>2641</v>
      </c>
      <c r="AP75" s="74">
        <v>951.02</v>
      </c>
      <c r="AQ75" s="4">
        <v>18.75</v>
      </c>
      <c r="AR75" s="4">
        <v>0</v>
      </c>
      <c r="AS75" s="4" t="s">
        <v>2645</v>
      </c>
      <c r="AT75" s="72">
        <v>0</v>
      </c>
      <c r="AU75" s="2">
        <v>4</v>
      </c>
      <c r="AV75" s="4"/>
      <c r="AW75" s="4"/>
      <c r="AX75" s="4"/>
    </row>
    <row r="76" spans="1:50" ht="15" x14ac:dyDescent="0.2">
      <c r="A76" s="3">
        <v>10232</v>
      </c>
      <c r="B76" s="1" t="s">
        <v>467</v>
      </c>
      <c r="C76" s="3">
        <v>1</v>
      </c>
      <c r="D76" s="3" t="s">
        <v>465</v>
      </c>
      <c r="E76" s="3">
        <v>3</v>
      </c>
      <c r="F76" s="3" t="s">
        <v>472</v>
      </c>
      <c r="G76" s="7" t="s">
        <v>36</v>
      </c>
      <c r="H76" s="3">
        <v>2</v>
      </c>
      <c r="I76" s="3" t="s">
        <v>596</v>
      </c>
      <c r="J76" s="3">
        <v>4</v>
      </c>
      <c r="K76" s="3" t="s">
        <v>1524</v>
      </c>
      <c r="L76" s="3">
        <v>3</v>
      </c>
      <c r="M76" s="3" t="s">
        <v>496</v>
      </c>
      <c r="N76" s="3" t="s">
        <v>599</v>
      </c>
      <c r="O76" s="10">
        <v>29746</v>
      </c>
      <c r="P76" s="10">
        <v>41882</v>
      </c>
      <c r="Q76" s="10"/>
      <c r="R76" s="10">
        <v>44926</v>
      </c>
      <c r="S76" s="23">
        <v>6324.76</v>
      </c>
      <c r="T76" s="3">
        <v>70209113</v>
      </c>
      <c r="U76" s="3">
        <v>28106098800351</v>
      </c>
      <c r="V76" s="4" t="s">
        <v>1683</v>
      </c>
      <c r="W76" s="4"/>
      <c r="X76" s="4" t="s">
        <v>1583</v>
      </c>
      <c r="Y76" s="4">
        <v>2013</v>
      </c>
      <c r="Z76" s="3">
        <f ca="1">DATEDIF(Table1[[#This Row],[تاريخ الميلاد]],TODAY(),"y")</f>
        <v>45</v>
      </c>
      <c r="AA7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45 عام 2  شهر  11  يوم </v>
      </c>
      <c r="AB7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11عام11  شهر  20  يوم </v>
      </c>
      <c r="AC76" s="10">
        <f>DATE(YEAR(Table1[[#This Row],[تاريخ الميلاد]])+60,MONTH(Table1[[#This Row],[تاريخ الميلاد]]),DAY(Table1[[#This Row],[تاريخ الميلاد]]))</f>
        <v>51661</v>
      </c>
      <c r="AD76" s="14">
        <f>DATE(YEAR(Table1[[#This Row],[معاش 01/01]])-1,MONTH(Table1[[#This Row],[تاريخ بلوغ 60 ]]),DAY(Table1[[#This Row],[تاريخ بلوغ 60 ]]))</f>
        <v>51661</v>
      </c>
      <c r="AE7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52026</v>
      </c>
      <c r="AF76" s="10" t="str">
        <f>IFERROR(IF(ISODD(MID(Table1[[#This Row],[الرقم القومي]],13,1)),"ذكر","انثي"),"")</f>
        <v>ذكر</v>
      </c>
      <c r="AG76" s="70"/>
      <c r="AH76" s="3">
        <f>IF(MONTH(Table1[[#This Row],[تاريخ بلوغ 60 ]])&lt;&gt;1,1,0)</f>
        <v>1</v>
      </c>
      <c r="AI76" s="3">
        <f>IF(DAY(Table1[[#This Row],[تاريخ بلوغ 60 ]])&lt;&gt;1,1,0)</f>
        <v>1</v>
      </c>
      <c r="AJ76" s="4" t="s">
        <v>465</v>
      </c>
      <c r="AK76" s="4" t="s">
        <v>2636</v>
      </c>
      <c r="AL76" s="62" t="s">
        <v>1682</v>
      </c>
      <c r="AM76" s="62" t="s">
        <v>2690</v>
      </c>
      <c r="AN76" s="2">
        <v>2</v>
      </c>
      <c r="AO76" s="4" t="s">
        <v>2641</v>
      </c>
      <c r="AP76" s="74">
        <v>1123.22</v>
      </c>
      <c r="AQ76" s="4">
        <v>18.75</v>
      </c>
      <c r="AR76" s="4">
        <v>0</v>
      </c>
      <c r="AS76" s="4" t="s">
        <v>2645</v>
      </c>
      <c r="AT76" s="72">
        <v>0</v>
      </c>
      <c r="AU76" s="2">
        <v>3</v>
      </c>
      <c r="AV76" s="4"/>
      <c r="AW76" s="4"/>
      <c r="AX76" s="4"/>
    </row>
    <row r="77" spans="1:50" ht="15" x14ac:dyDescent="0.2">
      <c r="A77" s="3">
        <v>10419</v>
      </c>
      <c r="B77" s="1" t="s">
        <v>467</v>
      </c>
      <c r="C77" s="3">
        <v>1</v>
      </c>
      <c r="D77" s="3" t="s">
        <v>465</v>
      </c>
      <c r="E77" s="3">
        <v>3</v>
      </c>
      <c r="F77" s="3" t="s">
        <v>472</v>
      </c>
      <c r="G77" s="7" t="s">
        <v>39</v>
      </c>
      <c r="H77" s="3">
        <v>2</v>
      </c>
      <c r="I77" s="3" t="s">
        <v>596</v>
      </c>
      <c r="J77" s="3">
        <v>4</v>
      </c>
      <c r="K77" s="3" t="s">
        <v>1524</v>
      </c>
      <c r="L77" s="3">
        <v>4</v>
      </c>
      <c r="M77" s="3" t="s">
        <v>498</v>
      </c>
      <c r="N77" s="3" t="s">
        <v>600</v>
      </c>
      <c r="O77" s="10">
        <v>30133</v>
      </c>
      <c r="P77" s="10">
        <v>42201</v>
      </c>
      <c r="Q77" s="10"/>
      <c r="R77" s="10">
        <v>45291</v>
      </c>
      <c r="S77" s="23">
        <v>5365.35</v>
      </c>
      <c r="T77" s="3">
        <v>44452087</v>
      </c>
      <c r="U77" s="3">
        <v>28207011207498</v>
      </c>
      <c r="V77" s="4" t="s">
        <v>1687</v>
      </c>
      <c r="W77" s="4"/>
      <c r="X77" s="4" t="s">
        <v>1583</v>
      </c>
      <c r="Y77" s="4">
        <v>2013</v>
      </c>
      <c r="Z77" s="3">
        <f ca="1">DATEDIF(Table1[[#This Row],[تاريخ الميلاد]],TODAY(),"y")</f>
        <v>44</v>
      </c>
      <c r="AA7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44 عام 1  شهر  19  يوم </v>
      </c>
      <c r="AB7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11عام1  شهر  4  يوم </v>
      </c>
      <c r="AC77" s="10">
        <f>DATE(YEAR(Table1[[#This Row],[تاريخ الميلاد]])+60,MONTH(Table1[[#This Row],[تاريخ الميلاد]]),DAY(Table1[[#This Row],[تاريخ الميلاد]]))</f>
        <v>52048</v>
      </c>
      <c r="AD77" s="14">
        <f>DATE(YEAR(Table1[[#This Row],[معاش 01/01]])-1,MONTH(Table1[[#This Row],[تاريخ بلوغ 60 ]]),DAY(Table1[[#This Row],[تاريخ بلوغ 60 ]]))</f>
        <v>52048</v>
      </c>
      <c r="AE7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52413</v>
      </c>
      <c r="AF77" s="10" t="str">
        <f>IFERROR(IF(ISODD(MID(Table1[[#This Row],[الرقم القومي]],13,1)),"ذكر","انثي"),"")</f>
        <v>ذكر</v>
      </c>
      <c r="AG77" s="70" t="s">
        <v>1635</v>
      </c>
      <c r="AH77" s="3">
        <f>IF(MONTH(Table1[[#This Row],[تاريخ بلوغ 60 ]])&lt;&gt;1,1,0)</f>
        <v>1</v>
      </c>
      <c r="AI77" s="3">
        <f>IF(DAY(Table1[[#This Row],[تاريخ بلوغ 60 ]])&lt;&gt;1,1,0)</f>
        <v>0</v>
      </c>
      <c r="AJ77" s="4" t="s">
        <v>465</v>
      </c>
      <c r="AK77" s="4" t="s">
        <v>2636</v>
      </c>
      <c r="AL77" s="62" t="s">
        <v>1686</v>
      </c>
      <c r="AM77" s="62" t="s">
        <v>2695</v>
      </c>
      <c r="AN77" s="2">
        <v>2</v>
      </c>
      <c r="AO77" s="4" t="s">
        <v>2641</v>
      </c>
      <c r="AP77" s="74">
        <v>952.67</v>
      </c>
      <c r="AQ77" s="4">
        <v>18.75</v>
      </c>
      <c r="AR77" s="4">
        <v>2</v>
      </c>
      <c r="AS77" s="4" t="s">
        <v>2696</v>
      </c>
      <c r="AT77" s="72">
        <v>4</v>
      </c>
      <c r="AU77" s="2">
        <v>4</v>
      </c>
      <c r="AV77" s="4"/>
      <c r="AW77" s="4"/>
      <c r="AX77" s="4"/>
    </row>
    <row r="78" spans="1:50" ht="15" x14ac:dyDescent="0.2">
      <c r="A78" s="3">
        <v>10422</v>
      </c>
      <c r="B78" s="1" t="s">
        <v>467</v>
      </c>
      <c r="C78" s="3">
        <v>1</v>
      </c>
      <c r="D78" s="3" t="s">
        <v>465</v>
      </c>
      <c r="E78" s="3">
        <v>3</v>
      </c>
      <c r="F78" s="3" t="s">
        <v>472</v>
      </c>
      <c r="G78" s="7" t="s">
        <v>40</v>
      </c>
      <c r="H78" s="3">
        <v>2</v>
      </c>
      <c r="I78" s="3" t="s">
        <v>596</v>
      </c>
      <c r="J78" s="3">
        <v>4</v>
      </c>
      <c r="K78" s="3" t="s">
        <v>1524</v>
      </c>
      <c r="L78" s="3">
        <v>4</v>
      </c>
      <c r="M78" s="3" t="s">
        <v>498</v>
      </c>
      <c r="N78" s="3" t="s">
        <v>600</v>
      </c>
      <c r="O78" s="10">
        <v>31193</v>
      </c>
      <c r="P78" s="10">
        <v>42201</v>
      </c>
      <c r="Q78" s="10"/>
      <c r="R78" s="10">
        <v>45291</v>
      </c>
      <c r="S78" s="23">
        <v>5286.71</v>
      </c>
      <c r="T78" s="3">
        <v>46746161</v>
      </c>
      <c r="U78" s="3">
        <v>28505260300199</v>
      </c>
      <c r="V78" s="4" t="s">
        <v>1689</v>
      </c>
      <c r="W78" s="4"/>
      <c r="X78" s="4" t="s">
        <v>1583</v>
      </c>
      <c r="Y78" s="4">
        <v>2017</v>
      </c>
      <c r="Z78" s="3">
        <f ca="1">DATEDIF(Table1[[#This Row],[تاريخ الميلاد]],TODAY(),"y")</f>
        <v>41</v>
      </c>
      <c r="AA7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41 عام 2  شهر  25  يوم </v>
      </c>
      <c r="AB7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11عام1  شهر  4  يوم </v>
      </c>
      <c r="AC78" s="10">
        <f>DATE(YEAR(Table1[[#This Row],[تاريخ الميلاد]])+60,MONTH(Table1[[#This Row],[تاريخ الميلاد]]),DAY(Table1[[#This Row],[تاريخ الميلاد]]))</f>
        <v>53108</v>
      </c>
      <c r="AD78" s="14">
        <f>DATE(YEAR(Table1[[#This Row],[معاش 01/01]])-1,MONTH(Table1[[#This Row],[تاريخ بلوغ 60 ]]),DAY(Table1[[#This Row],[تاريخ بلوغ 60 ]]))</f>
        <v>53108</v>
      </c>
      <c r="AE7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53473</v>
      </c>
      <c r="AF78" s="10" t="str">
        <f>IFERROR(IF(ISODD(MID(Table1[[#This Row],[الرقم القومي]],13,1)),"ذكر","انثي"),"")</f>
        <v>ذكر</v>
      </c>
      <c r="AG78" s="70" t="s">
        <v>2606</v>
      </c>
      <c r="AH78" s="3">
        <f>IF(MONTH(Table1[[#This Row],[تاريخ بلوغ 60 ]])&lt;&gt;1,1,0)</f>
        <v>1</v>
      </c>
      <c r="AI78" s="3">
        <f>IF(DAY(Table1[[#This Row],[تاريخ بلوغ 60 ]])&lt;&gt;1,1,0)</f>
        <v>1</v>
      </c>
      <c r="AJ78" s="4" t="s">
        <v>465</v>
      </c>
      <c r="AK78" s="4" t="s">
        <v>2636</v>
      </c>
      <c r="AL78" s="62" t="s">
        <v>1688</v>
      </c>
      <c r="AM78" s="62" t="s">
        <v>2697</v>
      </c>
      <c r="AN78" s="2">
        <v>2</v>
      </c>
      <c r="AO78" s="4" t="s">
        <v>2641</v>
      </c>
      <c r="AP78" s="74">
        <v>939.04</v>
      </c>
      <c r="AQ78" s="4">
        <v>18.75</v>
      </c>
      <c r="AR78" s="4">
        <v>3</v>
      </c>
      <c r="AS78" s="4" t="s">
        <v>2668</v>
      </c>
      <c r="AT78" s="72">
        <v>6</v>
      </c>
      <c r="AU78" s="2">
        <v>4</v>
      </c>
      <c r="AV78" s="4"/>
      <c r="AW78" s="4"/>
      <c r="AX78" s="4"/>
    </row>
    <row r="79" spans="1:50" ht="15" x14ac:dyDescent="0.2">
      <c r="A79" s="3">
        <v>10439</v>
      </c>
      <c r="B79" s="1" t="s">
        <v>467</v>
      </c>
      <c r="C79" s="3">
        <v>1</v>
      </c>
      <c r="D79" s="3" t="s">
        <v>465</v>
      </c>
      <c r="E79" s="3">
        <v>3</v>
      </c>
      <c r="F79" s="3" t="s">
        <v>472</v>
      </c>
      <c r="G79" s="7" t="s">
        <v>41</v>
      </c>
      <c r="H79" s="3">
        <v>2</v>
      </c>
      <c r="I79" s="3" t="s">
        <v>596</v>
      </c>
      <c r="J79" s="3">
        <v>4</v>
      </c>
      <c r="K79" s="3" t="s">
        <v>1524</v>
      </c>
      <c r="L79" s="3">
        <v>4</v>
      </c>
      <c r="M79" s="3" t="s">
        <v>498</v>
      </c>
      <c r="N79" s="3" t="s">
        <v>600</v>
      </c>
      <c r="O79" s="10">
        <v>30796</v>
      </c>
      <c r="P79" s="10">
        <v>42222</v>
      </c>
      <c r="Q79" s="10"/>
      <c r="R79" s="10">
        <v>45291</v>
      </c>
      <c r="S79" s="23">
        <v>5365.35</v>
      </c>
      <c r="T79" s="3">
        <v>22841505</v>
      </c>
      <c r="U79" s="3">
        <v>28404242400398</v>
      </c>
      <c r="V79" s="4" t="s">
        <v>1691</v>
      </c>
      <c r="W79" s="4"/>
      <c r="X79" s="4" t="s">
        <v>1583</v>
      </c>
      <c r="Y79" s="4">
        <v>2014</v>
      </c>
      <c r="Z79" s="3">
        <f ca="1">DATEDIF(Table1[[#This Row],[تاريخ الميلاد]],TODAY(),"y")</f>
        <v>42</v>
      </c>
      <c r="AA7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42 عام 3  شهر  27  يوم </v>
      </c>
      <c r="AB7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11عام0  شهر  14  يوم </v>
      </c>
      <c r="AC79" s="10">
        <f>DATE(YEAR(Table1[[#This Row],[تاريخ الميلاد]])+60,MONTH(Table1[[#This Row],[تاريخ الميلاد]]),DAY(Table1[[#This Row],[تاريخ الميلاد]]))</f>
        <v>52711</v>
      </c>
      <c r="AD79" s="14">
        <f>DATE(YEAR(Table1[[#This Row],[معاش 01/01]])-1,MONTH(Table1[[#This Row],[تاريخ بلوغ 60 ]]),DAY(Table1[[#This Row],[تاريخ بلوغ 60 ]]))</f>
        <v>52711</v>
      </c>
      <c r="AE7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53076</v>
      </c>
      <c r="AF79" s="10" t="str">
        <f>IFERROR(IF(ISODD(MID(Table1[[#This Row],[الرقم القومي]],13,1)),"ذكر","انثي"),"")</f>
        <v>ذكر</v>
      </c>
      <c r="AG79" s="70" t="s">
        <v>2009</v>
      </c>
      <c r="AH79" s="3">
        <f>IF(MONTH(Table1[[#This Row],[تاريخ بلوغ 60 ]])&lt;&gt;1,1,0)</f>
        <v>1</v>
      </c>
      <c r="AI79" s="3">
        <f>IF(DAY(Table1[[#This Row],[تاريخ بلوغ 60 ]])&lt;&gt;1,1,0)</f>
        <v>1</v>
      </c>
      <c r="AJ79" s="4" t="s">
        <v>465</v>
      </c>
      <c r="AK79" s="4" t="s">
        <v>2636</v>
      </c>
      <c r="AL79" s="62" t="s">
        <v>1690</v>
      </c>
      <c r="AM79" s="62" t="s">
        <v>2698</v>
      </c>
      <c r="AN79" s="2">
        <v>2</v>
      </c>
      <c r="AO79" s="4" t="s">
        <v>2641</v>
      </c>
      <c r="AP79" s="74">
        <v>952.67</v>
      </c>
      <c r="AQ79" s="4">
        <v>18.75</v>
      </c>
      <c r="AR79" s="4">
        <v>3</v>
      </c>
      <c r="AS79" s="4" t="s">
        <v>2668</v>
      </c>
      <c r="AT79" s="72">
        <v>6</v>
      </c>
      <c r="AU79" s="2">
        <v>4</v>
      </c>
      <c r="AV79" s="4"/>
      <c r="AW79" s="4"/>
      <c r="AX79" s="4"/>
    </row>
    <row r="80" spans="1:50" ht="15" x14ac:dyDescent="0.2">
      <c r="A80" s="3">
        <v>10443</v>
      </c>
      <c r="B80" s="1" t="s">
        <v>467</v>
      </c>
      <c r="C80" s="3">
        <v>1</v>
      </c>
      <c r="D80" s="3" t="s">
        <v>465</v>
      </c>
      <c r="E80" s="3">
        <v>3</v>
      </c>
      <c r="F80" s="3" t="s">
        <v>472</v>
      </c>
      <c r="G80" s="7" t="s">
        <v>42</v>
      </c>
      <c r="H80" s="3">
        <v>2</v>
      </c>
      <c r="I80" s="3" t="s">
        <v>596</v>
      </c>
      <c r="J80" s="3">
        <v>4</v>
      </c>
      <c r="K80" s="3" t="s">
        <v>1524</v>
      </c>
      <c r="L80" s="3">
        <v>4</v>
      </c>
      <c r="M80" s="3" t="s">
        <v>498</v>
      </c>
      <c r="N80" s="3" t="s">
        <v>600</v>
      </c>
      <c r="O80" s="10">
        <v>31104</v>
      </c>
      <c r="P80" s="10">
        <v>42226</v>
      </c>
      <c r="Q80" s="10"/>
      <c r="R80" s="10">
        <v>45291</v>
      </c>
      <c r="S80" s="23">
        <v>5175.34</v>
      </c>
      <c r="T80" s="3">
        <v>26817510</v>
      </c>
      <c r="U80" s="3">
        <v>28502261100275</v>
      </c>
      <c r="V80" s="4" t="s">
        <v>1692</v>
      </c>
      <c r="W80" s="4">
        <v>9405</v>
      </c>
      <c r="X80" s="4" t="s">
        <v>1583</v>
      </c>
      <c r="Y80" s="4">
        <v>2021</v>
      </c>
      <c r="Z80" s="3">
        <f ca="1">DATEDIF(Table1[[#This Row],[تاريخ الميلاد]],TODAY(),"y")</f>
        <v>41</v>
      </c>
      <c r="AA8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41 عام 5  شهر  25  يوم </v>
      </c>
      <c r="AB8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11عام0  شهر  10  يوم </v>
      </c>
      <c r="AC80" s="10">
        <f>DATE(YEAR(Table1[[#This Row],[تاريخ الميلاد]])+60,MONTH(Table1[[#This Row],[تاريخ الميلاد]]),DAY(Table1[[#This Row],[تاريخ الميلاد]]))</f>
        <v>53019</v>
      </c>
      <c r="AD80" s="14">
        <f>DATE(YEAR(Table1[[#This Row],[معاش 01/01]])-1,MONTH(Table1[[#This Row],[تاريخ بلوغ 60 ]]),DAY(Table1[[#This Row],[تاريخ بلوغ 60 ]]))</f>
        <v>53019</v>
      </c>
      <c r="AE8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53384</v>
      </c>
      <c r="AF80" s="10" t="str">
        <f>IFERROR(IF(ISODD(MID(Table1[[#This Row],[الرقم القومي]],13,1)),"ذكر","انثي"),"")</f>
        <v>ذكر</v>
      </c>
      <c r="AG80" s="70" t="s">
        <v>2609</v>
      </c>
      <c r="AH80" s="3">
        <f>IF(MONTH(Table1[[#This Row],[تاريخ بلوغ 60 ]])&lt;&gt;1,1,0)</f>
        <v>1</v>
      </c>
      <c r="AI80" s="3">
        <f>IF(DAY(Table1[[#This Row],[تاريخ بلوغ 60 ]])&lt;&gt;1,1,0)</f>
        <v>1</v>
      </c>
      <c r="AJ80" s="4" t="s">
        <v>465</v>
      </c>
      <c r="AK80" s="4">
        <v>0</v>
      </c>
      <c r="AL80" s="4" t="s">
        <v>2657</v>
      </c>
      <c r="AM80" s="62" t="s">
        <v>2699</v>
      </c>
      <c r="AN80" s="2">
        <v>2</v>
      </c>
      <c r="AO80" s="4" t="s">
        <v>2641</v>
      </c>
      <c r="AP80" s="74">
        <v>919.83</v>
      </c>
      <c r="AQ80" s="4">
        <v>18.75</v>
      </c>
      <c r="AR80" s="4">
        <v>3</v>
      </c>
      <c r="AS80" s="4" t="s">
        <v>2668</v>
      </c>
      <c r="AT80" s="72">
        <v>6</v>
      </c>
      <c r="AU80" s="2">
        <v>4</v>
      </c>
      <c r="AV80" s="4"/>
      <c r="AW80" s="4"/>
      <c r="AX80" s="4"/>
    </row>
    <row r="81" spans="1:50" ht="15" x14ac:dyDescent="0.2">
      <c r="A81" s="3">
        <v>10445</v>
      </c>
      <c r="B81" s="1" t="s">
        <v>467</v>
      </c>
      <c r="C81" s="3">
        <v>1</v>
      </c>
      <c r="D81" s="3" t="s">
        <v>465</v>
      </c>
      <c r="E81" s="3">
        <v>3</v>
      </c>
      <c r="F81" s="3" t="s">
        <v>472</v>
      </c>
      <c r="G81" s="7" t="s">
        <v>43</v>
      </c>
      <c r="H81" s="3">
        <v>2</v>
      </c>
      <c r="I81" s="3" t="s">
        <v>596</v>
      </c>
      <c r="J81" s="3">
        <v>4</v>
      </c>
      <c r="K81" s="3" t="s">
        <v>1524</v>
      </c>
      <c r="L81" s="3">
        <v>4</v>
      </c>
      <c r="M81" s="3" t="s">
        <v>498</v>
      </c>
      <c r="N81" s="3" t="s">
        <v>600</v>
      </c>
      <c r="O81" s="10">
        <v>30178</v>
      </c>
      <c r="P81" s="10">
        <v>42230</v>
      </c>
      <c r="Q81" s="10"/>
      <c r="R81" s="10">
        <v>45291</v>
      </c>
      <c r="S81" s="23">
        <v>5365.35</v>
      </c>
      <c r="T81" s="3">
        <v>20483123</v>
      </c>
      <c r="U81" s="3">
        <v>28208150300075</v>
      </c>
      <c r="V81" s="4" t="s">
        <v>1694</v>
      </c>
      <c r="W81" s="4"/>
      <c r="X81" s="4" t="s">
        <v>1583</v>
      </c>
      <c r="Y81" s="4">
        <v>2016</v>
      </c>
      <c r="Z81" s="3">
        <f ca="1">DATEDIF(Table1[[#This Row],[تاريخ الميلاد]],TODAY(),"y")</f>
        <v>44</v>
      </c>
      <c r="AA8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44 عام 0  شهر  5  يوم </v>
      </c>
      <c r="AB8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11عام0  شهر  6  يوم </v>
      </c>
      <c r="AC81" s="10">
        <f>DATE(YEAR(Table1[[#This Row],[تاريخ الميلاد]])+60,MONTH(Table1[[#This Row],[تاريخ الميلاد]]),DAY(Table1[[#This Row],[تاريخ الميلاد]]))</f>
        <v>52093</v>
      </c>
      <c r="AD81" s="14">
        <f>DATE(YEAR(Table1[[#This Row],[معاش 01/01]])-1,MONTH(Table1[[#This Row],[تاريخ بلوغ 60 ]]),DAY(Table1[[#This Row],[تاريخ بلوغ 60 ]]))</f>
        <v>52093</v>
      </c>
      <c r="AE8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52458</v>
      </c>
      <c r="AF81" s="10" t="str">
        <f>IFERROR(IF(ISODD(MID(Table1[[#This Row],[الرقم القومي]],13,1)),"ذكر","انثي"),"")</f>
        <v>ذكر</v>
      </c>
      <c r="AG81" s="70" t="s">
        <v>2606</v>
      </c>
      <c r="AH81" s="3">
        <f>IF(MONTH(Table1[[#This Row],[تاريخ بلوغ 60 ]])&lt;&gt;1,1,0)</f>
        <v>1</v>
      </c>
      <c r="AI81" s="3">
        <f>IF(DAY(Table1[[#This Row],[تاريخ بلوغ 60 ]])&lt;&gt;1,1,0)</f>
        <v>1</v>
      </c>
      <c r="AJ81" s="4" t="s">
        <v>465</v>
      </c>
      <c r="AK81" s="4" t="s">
        <v>2636</v>
      </c>
      <c r="AL81" s="62" t="s">
        <v>1693</v>
      </c>
      <c r="AM81" s="62" t="s">
        <v>2700</v>
      </c>
      <c r="AN81" s="2">
        <v>2</v>
      </c>
      <c r="AO81" s="4" t="s">
        <v>2641</v>
      </c>
      <c r="AP81" s="74">
        <v>952.67</v>
      </c>
      <c r="AQ81" s="4">
        <v>18.75</v>
      </c>
      <c r="AR81" s="4">
        <v>3</v>
      </c>
      <c r="AS81" s="4" t="s">
        <v>2668</v>
      </c>
      <c r="AT81" s="72">
        <v>6</v>
      </c>
      <c r="AU81" s="2">
        <v>4</v>
      </c>
      <c r="AV81" s="4"/>
      <c r="AW81" s="4"/>
      <c r="AX81" s="4"/>
    </row>
    <row r="82" spans="1:50" ht="15" x14ac:dyDescent="0.2">
      <c r="A82" s="3">
        <v>10515</v>
      </c>
      <c r="B82" s="1" t="s">
        <v>467</v>
      </c>
      <c r="C82" s="3">
        <v>1</v>
      </c>
      <c r="D82" s="3" t="s">
        <v>465</v>
      </c>
      <c r="E82" s="3">
        <v>6</v>
      </c>
      <c r="F82" s="3" t="s">
        <v>473</v>
      </c>
      <c r="G82" s="7" t="s">
        <v>44</v>
      </c>
      <c r="H82" s="3">
        <v>6</v>
      </c>
      <c r="I82" s="3" t="s">
        <v>629</v>
      </c>
      <c r="J82" s="3">
        <v>7</v>
      </c>
      <c r="K82" s="3" t="s">
        <v>1526</v>
      </c>
      <c r="L82" s="3">
        <v>4</v>
      </c>
      <c r="M82" s="3" t="s">
        <v>498</v>
      </c>
      <c r="N82" s="3" t="s">
        <v>633</v>
      </c>
      <c r="O82" s="10">
        <v>32436</v>
      </c>
      <c r="P82" s="10">
        <v>42332</v>
      </c>
      <c r="Q82" s="10"/>
      <c r="R82" s="10">
        <v>45291</v>
      </c>
      <c r="S82" s="23">
        <v>5541.12</v>
      </c>
      <c r="T82" s="3">
        <v>62599587</v>
      </c>
      <c r="U82" s="3">
        <v>28810200300197</v>
      </c>
      <c r="V82" s="4" t="s">
        <v>1696</v>
      </c>
      <c r="W82" s="4"/>
      <c r="X82" s="4" t="s">
        <v>1583</v>
      </c>
      <c r="Y82" s="4">
        <v>2018</v>
      </c>
      <c r="Z82" s="3">
        <f ca="1">DATEDIF(Table1[[#This Row],[تاريخ الميلاد]],TODAY(),"y")</f>
        <v>37</v>
      </c>
      <c r="AA8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10  شهر  0  يوم </v>
      </c>
      <c r="AB8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10عام8  شهر  27  يوم </v>
      </c>
      <c r="AC82" s="10">
        <f>DATE(YEAR(Table1[[#This Row],[تاريخ الميلاد]])+60,MONTH(Table1[[#This Row],[تاريخ الميلاد]]),DAY(Table1[[#This Row],[تاريخ الميلاد]]))</f>
        <v>54351</v>
      </c>
      <c r="AD82" s="14">
        <f>DATE(YEAR(Table1[[#This Row],[معاش 01/01]])-1,MONTH(Table1[[#This Row],[تاريخ بلوغ 60 ]]),DAY(Table1[[#This Row],[تاريخ بلوغ 60 ]]))</f>
        <v>54351</v>
      </c>
      <c r="AE8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54716</v>
      </c>
      <c r="AF82" s="10" t="str">
        <f>IFERROR(IF(ISODD(MID(Table1[[#This Row],[الرقم القومي]],13,1)),"ذكر","انثي"),"")</f>
        <v>ذكر</v>
      </c>
      <c r="AG82" s="70" t="s">
        <v>2606</v>
      </c>
      <c r="AH82" s="3">
        <f>IF(MONTH(Table1[[#This Row],[تاريخ بلوغ 60 ]])&lt;&gt;1,1,0)</f>
        <v>1</v>
      </c>
      <c r="AI82" s="3">
        <f>IF(DAY(Table1[[#This Row],[تاريخ بلوغ 60 ]])&lt;&gt;1,1,0)</f>
        <v>1</v>
      </c>
      <c r="AJ82" s="4" t="s">
        <v>465</v>
      </c>
      <c r="AK82" s="4" t="s">
        <v>2636</v>
      </c>
      <c r="AL82" s="62" t="s">
        <v>1695</v>
      </c>
      <c r="AM82" s="62" t="s">
        <v>2701</v>
      </c>
      <c r="AN82" s="2">
        <v>1</v>
      </c>
      <c r="AO82" s="4" t="s">
        <v>2641</v>
      </c>
      <c r="AP82" s="74">
        <v>656.55</v>
      </c>
      <c r="AQ82" s="4">
        <v>12.5</v>
      </c>
      <c r="AR82" s="4">
        <v>3</v>
      </c>
      <c r="AS82" s="4" t="s">
        <v>2668</v>
      </c>
      <c r="AT82" s="72">
        <v>6</v>
      </c>
      <c r="AU82" s="2">
        <v>4</v>
      </c>
      <c r="AV82" s="4"/>
      <c r="AW82" s="4"/>
      <c r="AX82" s="4"/>
    </row>
    <row r="83" spans="1:50" ht="15" x14ac:dyDescent="0.2">
      <c r="A83" s="3">
        <v>10542</v>
      </c>
      <c r="B83" s="1" t="s">
        <v>467</v>
      </c>
      <c r="C83" s="3">
        <v>1</v>
      </c>
      <c r="D83" s="3" t="s">
        <v>465</v>
      </c>
      <c r="E83" s="3">
        <v>3</v>
      </c>
      <c r="F83" s="3" t="s">
        <v>472</v>
      </c>
      <c r="G83" s="7" t="s">
        <v>45</v>
      </c>
      <c r="H83" s="3">
        <v>206</v>
      </c>
      <c r="I83" s="3" t="s">
        <v>1501</v>
      </c>
      <c r="J83" s="3">
        <v>5</v>
      </c>
      <c r="K83" s="3" t="s">
        <v>1523</v>
      </c>
      <c r="L83" s="3">
        <v>4</v>
      </c>
      <c r="M83" s="3" t="s">
        <v>498</v>
      </c>
      <c r="N83" s="3" t="s">
        <v>608</v>
      </c>
      <c r="O83" s="10">
        <v>34001</v>
      </c>
      <c r="P83" s="10">
        <v>42848</v>
      </c>
      <c r="Q83" s="10"/>
      <c r="R83" s="10">
        <v>46022</v>
      </c>
      <c r="S83" s="23">
        <v>4786.17</v>
      </c>
      <c r="T83" s="3">
        <v>72116016</v>
      </c>
      <c r="U83" s="3">
        <v>29302018800573</v>
      </c>
      <c r="V83" s="4" t="s">
        <v>1700</v>
      </c>
      <c r="W83" s="4"/>
      <c r="X83" s="4" t="s">
        <v>1583</v>
      </c>
      <c r="Y83" s="4">
        <v>2014</v>
      </c>
      <c r="Z83" s="3">
        <f ca="1">DATEDIF(Table1[[#This Row],[تاريخ الميلاد]],TODAY(),"y")</f>
        <v>33</v>
      </c>
      <c r="AA8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33 عام 6  شهر  19  يوم </v>
      </c>
      <c r="AB8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9عام3  شهر  28  يوم </v>
      </c>
      <c r="AC83" s="10">
        <f>DATE(YEAR(Table1[[#This Row],[تاريخ الميلاد]])+60,MONTH(Table1[[#This Row],[تاريخ الميلاد]]),DAY(Table1[[#This Row],[تاريخ الميلاد]]))</f>
        <v>55916</v>
      </c>
      <c r="AD83" s="14">
        <f>DATE(YEAR(Table1[[#This Row],[معاش 01/01]])-1,MONTH(Table1[[#This Row],[تاريخ بلوغ 60 ]]),DAY(Table1[[#This Row],[تاريخ بلوغ 60 ]]))</f>
        <v>55916</v>
      </c>
      <c r="AE8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56281</v>
      </c>
      <c r="AF83" s="10" t="str">
        <f>IFERROR(IF(ISODD(MID(Table1[[#This Row],[الرقم القومي]],13,1)),"ذكر","انثي"),"")</f>
        <v>ذكر</v>
      </c>
      <c r="AG83" s="70"/>
      <c r="AH83" s="3">
        <f>IF(MONTH(Table1[[#This Row],[تاريخ بلوغ 60 ]])&lt;&gt;1,1,0)</f>
        <v>1</v>
      </c>
      <c r="AI83" s="3">
        <f>IF(DAY(Table1[[#This Row],[تاريخ بلوغ 60 ]])&lt;&gt;1,1,0)</f>
        <v>0</v>
      </c>
      <c r="AJ83" s="4" t="s">
        <v>465</v>
      </c>
      <c r="AK83" s="4" t="s">
        <v>2636</v>
      </c>
      <c r="AL83" s="62" t="s">
        <v>1699</v>
      </c>
      <c r="AM83" s="62" t="s">
        <v>2704</v>
      </c>
      <c r="AN83" s="2">
        <v>5</v>
      </c>
      <c r="AO83" s="4" t="s">
        <v>2641</v>
      </c>
      <c r="AP83" s="74">
        <v>681.18</v>
      </c>
      <c r="AQ83" s="4">
        <v>15</v>
      </c>
      <c r="AR83" s="4">
        <v>0</v>
      </c>
      <c r="AS83" s="4" t="s">
        <v>2645</v>
      </c>
      <c r="AT83" s="72">
        <v>0</v>
      </c>
      <c r="AU83" s="2">
        <v>4</v>
      </c>
      <c r="AV83" s="4"/>
      <c r="AW83" s="4"/>
      <c r="AX83" s="4"/>
    </row>
    <row r="84" spans="1:50" ht="15" x14ac:dyDescent="0.2">
      <c r="A84" s="3">
        <v>10641</v>
      </c>
      <c r="B84" s="1" t="s">
        <v>467</v>
      </c>
      <c r="C84" s="3">
        <v>1</v>
      </c>
      <c r="D84" s="3" t="s">
        <v>465</v>
      </c>
      <c r="E84" s="3">
        <v>3</v>
      </c>
      <c r="F84" s="3" t="s">
        <v>472</v>
      </c>
      <c r="G84" s="7" t="s">
        <v>46</v>
      </c>
      <c r="H84" s="3">
        <v>2</v>
      </c>
      <c r="I84" s="3" t="s">
        <v>596</v>
      </c>
      <c r="J84" s="3">
        <v>4</v>
      </c>
      <c r="K84" s="3" t="s">
        <v>1524</v>
      </c>
      <c r="L84" s="3">
        <v>4</v>
      </c>
      <c r="M84" s="3" t="s">
        <v>498</v>
      </c>
      <c r="N84" s="3" t="s">
        <v>600</v>
      </c>
      <c r="O84" s="10">
        <v>30089</v>
      </c>
      <c r="P84" s="10">
        <v>43149</v>
      </c>
      <c r="Q84" s="10"/>
      <c r="R84" s="10">
        <v>44926</v>
      </c>
      <c r="S84" s="23">
        <v>4694.92</v>
      </c>
      <c r="T84" s="3">
        <v>61593570</v>
      </c>
      <c r="U84" s="3">
        <v>28205180300151</v>
      </c>
      <c r="V84" s="4" t="s">
        <v>1702</v>
      </c>
      <c r="W84" s="4"/>
      <c r="X84" s="4" t="s">
        <v>1583</v>
      </c>
      <c r="Y84" s="4">
        <v>2016</v>
      </c>
      <c r="Z84" s="3">
        <f ca="1">DATEDIF(Table1[[#This Row],[تاريخ الميلاد]],TODAY(),"y")</f>
        <v>44</v>
      </c>
      <c r="AA8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44 عام 3  شهر  2  يوم </v>
      </c>
      <c r="AB8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8عام6  شهر  2  يوم </v>
      </c>
      <c r="AC84" s="10">
        <f>DATE(YEAR(Table1[[#This Row],[تاريخ الميلاد]])+60,MONTH(Table1[[#This Row],[تاريخ الميلاد]]),DAY(Table1[[#This Row],[تاريخ الميلاد]]))</f>
        <v>52004</v>
      </c>
      <c r="AD84" s="14">
        <f>DATE(YEAR(Table1[[#This Row],[معاش 01/01]])-1,MONTH(Table1[[#This Row],[تاريخ بلوغ 60 ]]),DAY(Table1[[#This Row],[تاريخ بلوغ 60 ]]))</f>
        <v>52004</v>
      </c>
      <c r="AE8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52369</v>
      </c>
      <c r="AF84" s="10" t="str">
        <f>IFERROR(IF(ISODD(MID(Table1[[#This Row],[الرقم القومي]],13,1)),"ذكر","انثي"),"")</f>
        <v>ذكر</v>
      </c>
      <c r="AG84" s="70" t="s">
        <v>2606</v>
      </c>
      <c r="AH84" s="3">
        <f>IF(MONTH(Table1[[#This Row],[تاريخ بلوغ 60 ]])&lt;&gt;1,1,0)</f>
        <v>1</v>
      </c>
      <c r="AI84" s="3">
        <f>IF(DAY(Table1[[#This Row],[تاريخ بلوغ 60 ]])&lt;&gt;1,1,0)</f>
        <v>1</v>
      </c>
      <c r="AJ84" s="4" t="s">
        <v>465</v>
      </c>
      <c r="AK84" s="4">
        <v>0</v>
      </c>
      <c r="AL84" s="62" t="s">
        <v>1701</v>
      </c>
      <c r="AM84" s="62" t="s">
        <v>2705</v>
      </c>
      <c r="AN84" s="2">
        <v>2</v>
      </c>
      <c r="AO84" s="4" t="s">
        <v>2641</v>
      </c>
      <c r="AP84" s="74">
        <v>832.69</v>
      </c>
      <c r="AQ84" s="4">
        <v>18.75</v>
      </c>
      <c r="AR84" s="4">
        <v>3</v>
      </c>
      <c r="AS84" s="4" t="s">
        <v>2668</v>
      </c>
      <c r="AT84" s="72">
        <v>6</v>
      </c>
      <c r="AU84" s="2">
        <v>4</v>
      </c>
      <c r="AV84" s="4"/>
      <c r="AW84" s="4"/>
      <c r="AX84" s="4"/>
    </row>
    <row r="85" spans="1:50" ht="15" x14ac:dyDescent="0.2">
      <c r="A85" s="3">
        <v>10647</v>
      </c>
      <c r="B85" s="1" t="s">
        <v>467</v>
      </c>
      <c r="C85" s="3">
        <v>1</v>
      </c>
      <c r="D85" s="3" t="s">
        <v>465</v>
      </c>
      <c r="E85" s="3">
        <v>3</v>
      </c>
      <c r="F85" s="3" t="s">
        <v>472</v>
      </c>
      <c r="G85" s="7" t="s">
        <v>47</v>
      </c>
      <c r="H85" s="3">
        <v>2</v>
      </c>
      <c r="I85" s="3" t="s">
        <v>596</v>
      </c>
      <c r="J85" s="3">
        <v>4</v>
      </c>
      <c r="K85" s="3" t="s">
        <v>1524</v>
      </c>
      <c r="L85" s="3">
        <v>4</v>
      </c>
      <c r="M85" s="3" t="s">
        <v>498</v>
      </c>
      <c r="N85" s="3" t="s">
        <v>600</v>
      </c>
      <c r="O85" s="10">
        <v>31368</v>
      </c>
      <c r="P85" s="10">
        <v>43149</v>
      </c>
      <c r="Q85" s="10"/>
      <c r="R85" s="10">
        <v>44926</v>
      </c>
      <c r="S85" s="23">
        <v>4694.92</v>
      </c>
      <c r="T85" s="3">
        <v>45833274</v>
      </c>
      <c r="U85" s="3">
        <v>28511170300033</v>
      </c>
      <c r="V85" s="4" t="s">
        <v>1704</v>
      </c>
      <c r="W85" s="4"/>
      <c r="X85" s="4" t="s">
        <v>1583</v>
      </c>
      <c r="Y85" s="4">
        <v>2014</v>
      </c>
      <c r="Z85" s="3">
        <f ca="1">DATEDIF(Table1[[#This Row],[تاريخ الميلاد]],TODAY(),"y")</f>
        <v>40</v>
      </c>
      <c r="AA8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40 عام 9  شهر  3  يوم </v>
      </c>
      <c r="AB8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8عام6  شهر  2  يوم </v>
      </c>
      <c r="AC85" s="10">
        <f>DATE(YEAR(Table1[[#This Row],[تاريخ الميلاد]])+60,MONTH(Table1[[#This Row],[تاريخ الميلاد]]),DAY(Table1[[#This Row],[تاريخ الميلاد]]))</f>
        <v>53283</v>
      </c>
      <c r="AD85" s="14">
        <f>DATE(YEAR(Table1[[#This Row],[معاش 01/01]])-1,MONTH(Table1[[#This Row],[تاريخ بلوغ 60 ]]),DAY(Table1[[#This Row],[تاريخ بلوغ 60 ]]))</f>
        <v>53283</v>
      </c>
      <c r="AE8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53648</v>
      </c>
      <c r="AF85" s="10" t="str">
        <f>IFERROR(IF(ISODD(MID(Table1[[#This Row],[الرقم القومي]],13,1)),"ذكر","انثي"),"")</f>
        <v>ذكر</v>
      </c>
      <c r="AG85" s="70" t="s">
        <v>2606</v>
      </c>
      <c r="AH85" s="3">
        <f>IF(MONTH(Table1[[#This Row],[تاريخ بلوغ 60 ]])&lt;&gt;1,1,0)</f>
        <v>1</v>
      </c>
      <c r="AI85" s="3">
        <f>IF(DAY(Table1[[#This Row],[تاريخ بلوغ 60 ]])&lt;&gt;1,1,0)</f>
        <v>1</v>
      </c>
      <c r="AJ85" s="4" t="s">
        <v>465</v>
      </c>
      <c r="AK85" s="4" t="s">
        <v>2638</v>
      </c>
      <c r="AL85" s="62" t="s">
        <v>1703</v>
      </c>
      <c r="AM85" s="62" t="s">
        <v>2706</v>
      </c>
      <c r="AN85" s="2">
        <v>2</v>
      </c>
      <c r="AO85" s="4" t="s">
        <v>2641</v>
      </c>
      <c r="AP85" s="74">
        <v>832.69</v>
      </c>
      <c r="AQ85" s="4">
        <v>18.75</v>
      </c>
      <c r="AR85" s="4">
        <v>3</v>
      </c>
      <c r="AS85" s="4" t="s">
        <v>2668</v>
      </c>
      <c r="AT85" s="72">
        <v>6</v>
      </c>
      <c r="AU85" s="2">
        <v>4</v>
      </c>
      <c r="AV85" s="4"/>
      <c r="AW85" s="4"/>
      <c r="AX85" s="4"/>
    </row>
    <row r="86" spans="1:50" ht="15" x14ac:dyDescent="0.2">
      <c r="A86" s="3">
        <v>10652</v>
      </c>
      <c r="B86" s="1" t="s">
        <v>467</v>
      </c>
      <c r="C86" s="3">
        <v>1</v>
      </c>
      <c r="D86" s="3" t="s">
        <v>465</v>
      </c>
      <c r="E86" s="3">
        <v>3</v>
      </c>
      <c r="F86" s="3" t="s">
        <v>472</v>
      </c>
      <c r="G86" s="7" t="s">
        <v>48</v>
      </c>
      <c r="H86" s="3">
        <v>2</v>
      </c>
      <c r="I86" s="3" t="s">
        <v>596</v>
      </c>
      <c r="J86" s="3">
        <v>4</v>
      </c>
      <c r="K86" s="3" t="s">
        <v>1524</v>
      </c>
      <c r="L86" s="3">
        <v>5</v>
      </c>
      <c r="M86" s="3" t="s">
        <v>500</v>
      </c>
      <c r="N86" s="3" t="s">
        <v>601</v>
      </c>
      <c r="O86" s="10">
        <v>32157</v>
      </c>
      <c r="P86" s="10">
        <v>43149</v>
      </c>
      <c r="Q86" s="10"/>
      <c r="R86" s="10">
        <v>44926</v>
      </c>
      <c r="S86" s="23">
        <v>4273.24</v>
      </c>
      <c r="T86" s="3">
        <v>12295852</v>
      </c>
      <c r="U86" s="3">
        <v>28801150300477</v>
      </c>
      <c r="V86" s="4" t="s">
        <v>1706</v>
      </c>
      <c r="W86" s="4"/>
      <c r="X86" s="4" t="s">
        <v>1583</v>
      </c>
      <c r="Y86" s="4">
        <v>2020</v>
      </c>
      <c r="Z86" s="3">
        <f ca="1">DATEDIF(Table1[[#This Row],[تاريخ الميلاد]],TODAY(),"y")</f>
        <v>38</v>
      </c>
      <c r="AA8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7  شهر  5  يوم </v>
      </c>
      <c r="AB8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8عام6  شهر  2  يوم </v>
      </c>
      <c r="AC86" s="10">
        <f>DATE(YEAR(Table1[[#This Row],[تاريخ الميلاد]])+60,MONTH(Table1[[#This Row],[تاريخ الميلاد]]),DAY(Table1[[#This Row],[تاريخ الميلاد]]))</f>
        <v>54072</v>
      </c>
      <c r="AD86" s="14">
        <f>DATE(YEAR(Table1[[#This Row],[معاش 01/01]])-1,MONTH(Table1[[#This Row],[تاريخ بلوغ 60 ]]),DAY(Table1[[#This Row],[تاريخ بلوغ 60 ]]))</f>
        <v>54072</v>
      </c>
      <c r="AE8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54438</v>
      </c>
      <c r="AF86" s="10" t="str">
        <f>IFERROR(IF(ISODD(MID(Table1[[#This Row],[الرقم القومي]],13,1)),"ذكر","انثي"),"")</f>
        <v>ذكر</v>
      </c>
      <c r="AG86" s="70" t="s">
        <v>2606</v>
      </c>
      <c r="AH86" s="3">
        <f>IF(MONTH(Table1[[#This Row],[تاريخ بلوغ 60 ]])&lt;&gt;1,1,0)</f>
        <v>0</v>
      </c>
      <c r="AI86" s="3">
        <f>IF(DAY(Table1[[#This Row],[تاريخ بلوغ 60 ]])&lt;&gt;1,1,0)</f>
        <v>1</v>
      </c>
      <c r="AJ86" s="4" t="s">
        <v>465</v>
      </c>
      <c r="AK86" s="4" t="s">
        <v>2636</v>
      </c>
      <c r="AL86" s="62" t="s">
        <v>1705</v>
      </c>
      <c r="AM86" s="62" t="s">
        <v>2707</v>
      </c>
      <c r="AN86" s="2">
        <v>2</v>
      </c>
      <c r="AO86" s="4" t="s">
        <v>2641</v>
      </c>
      <c r="AP86" s="74">
        <v>756.81</v>
      </c>
      <c r="AQ86" s="4">
        <v>18.75</v>
      </c>
      <c r="AR86" s="4">
        <v>3</v>
      </c>
      <c r="AS86" s="4" t="s">
        <v>2668</v>
      </c>
      <c r="AT86" s="72">
        <v>6</v>
      </c>
      <c r="AU86" s="2">
        <v>5</v>
      </c>
      <c r="AV86" s="4"/>
      <c r="AW86" s="4"/>
      <c r="AX86" s="4"/>
    </row>
    <row r="87" spans="1:50" ht="15" x14ac:dyDescent="0.2">
      <c r="A87" s="3">
        <v>10660</v>
      </c>
      <c r="B87" s="1" t="s">
        <v>467</v>
      </c>
      <c r="C87" s="3">
        <v>1</v>
      </c>
      <c r="D87" s="3" t="s">
        <v>465</v>
      </c>
      <c r="E87" s="3">
        <v>3</v>
      </c>
      <c r="F87" s="3" t="s">
        <v>472</v>
      </c>
      <c r="G87" s="7" t="s">
        <v>49</v>
      </c>
      <c r="H87" s="3">
        <v>2</v>
      </c>
      <c r="I87" s="3" t="s">
        <v>596</v>
      </c>
      <c r="J87" s="3">
        <v>4</v>
      </c>
      <c r="K87" s="3" t="s">
        <v>1524</v>
      </c>
      <c r="L87" s="3">
        <v>5</v>
      </c>
      <c r="M87" s="3" t="s">
        <v>500</v>
      </c>
      <c r="N87" s="3" t="s">
        <v>601</v>
      </c>
      <c r="O87" s="10">
        <v>32694</v>
      </c>
      <c r="P87" s="10">
        <v>43170</v>
      </c>
      <c r="Q87" s="10"/>
      <c r="R87" s="10">
        <v>44926</v>
      </c>
      <c r="S87" s="23">
        <v>4273.24</v>
      </c>
      <c r="T87" s="3">
        <v>51353874</v>
      </c>
      <c r="U87" s="3">
        <v>28907050300138</v>
      </c>
      <c r="V87" s="4" t="s">
        <v>1708</v>
      </c>
      <c r="W87" s="4"/>
      <c r="X87" s="4" t="s">
        <v>1583</v>
      </c>
      <c r="Y87" s="4">
        <v>2019</v>
      </c>
      <c r="Z87" s="3">
        <f ca="1">DATEDIF(Table1[[#This Row],[تاريخ الميلاد]],TODAY(),"y")</f>
        <v>37</v>
      </c>
      <c r="AA8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1  شهر  15  يوم </v>
      </c>
      <c r="AB8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8عام5  شهر  9  يوم </v>
      </c>
      <c r="AC87" s="10">
        <f>DATE(YEAR(Table1[[#This Row],[تاريخ الميلاد]])+60,MONTH(Table1[[#This Row],[تاريخ الميلاد]]),DAY(Table1[[#This Row],[تاريخ الميلاد]]))</f>
        <v>54609</v>
      </c>
      <c r="AD87" s="14">
        <f>DATE(YEAR(Table1[[#This Row],[معاش 01/01]])-1,MONTH(Table1[[#This Row],[تاريخ بلوغ 60 ]]),DAY(Table1[[#This Row],[تاريخ بلوغ 60 ]]))</f>
        <v>54609</v>
      </c>
      <c r="AE8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54974</v>
      </c>
      <c r="AF87" s="10" t="str">
        <f>IFERROR(IF(ISODD(MID(Table1[[#This Row],[الرقم القومي]],13,1)),"ذكر","انثي"),"")</f>
        <v>ذكر</v>
      </c>
      <c r="AG87" s="70" t="s">
        <v>2606</v>
      </c>
      <c r="AH87" s="3">
        <f>IF(MONTH(Table1[[#This Row],[تاريخ بلوغ 60 ]])&lt;&gt;1,1,0)</f>
        <v>1</v>
      </c>
      <c r="AI87" s="3">
        <f>IF(DAY(Table1[[#This Row],[تاريخ بلوغ 60 ]])&lt;&gt;1,1,0)</f>
        <v>1</v>
      </c>
      <c r="AJ87" s="4" t="s">
        <v>465</v>
      </c>
      <c r="AK87" s="4">
        <v>0</v>
      </c>
      <c r="AL87" s="62" t="s">
        <v>1707</v>
      </c>
      <c r="AM87" s="62" t="s">
        <v>2708</v>
      </c>
      <c r="AN87" s="2">
        <v>2</v>
      </c>
      <c r="AO87" s="4" t="s">
        <v>2641</v>
      </c>
      <c r="AP87" s="74">
        <v>756.81</v>
      </c>
      <c r="AQ87" s="4">
        <v>18.75</v>
      </c>
      <c r="AR87" s="4">
        <v>3</v>
      </c>
      <c r="AS87" s="4" t="s">
        <v>2668</v>
      </c>
      <c r="AT87" s="72">
        <v>6</v>
      </c>
      <c r="AU87" s="2">
        <v>5</v>
      </c>
      <c r="AV87" s="4"/>
      <c r="AW87" s="4"/>
      <c r="AX87" s="4"/>
    </row>
    <row r="88" spans="1:50" ht="15" x14ac:dyDescent="0.2">
      <c r="A88" s="3">
        <v>10694</v>
      </c>
      <c r="B88" s="1" t="s">
        <v>467</v>
      </c>
      <c r="C88" s="3">
        <v>1</v>
      </c>
      <c r="D88" s="3" t="s">
        <v>465</v>
      </c>
      <c r="E88" s="3">
        <v>3</v>
      </c>
      <c r="F88" s="3" t="s">
        <v>472</v>
      </c>
      <c r="G88" s="7" t="s">
        <v>50</v>
      </c>
      <c r="H88" s="3">
        <v>2</v>
      </c>
      <c r="I88" s="3" t="s">
        <v>596</v>
      </c>
      <c r="J88" s="3">
        <v>4</v>
      </c>
      <c r="K88" s="3" t="s">
        <v>1524</v>
      </c>
      <c r="L88" s="3">
        <v>4</v>
      </c>
      <c r="M88" s="3" t="s">
        <v>498</v>
      </c>
      <c r="N88" s="3" t="s">
        <v>600</v>
      </c>
      <c r="O88" s="10">
        <v>30108</v>
      </c>
      <c r="P88" s="10">
        <v>43310</v>
      </c>
      <c r="Q88" s="10"/>
      <c r="R88" s="10">
        <v>44926</v>
      </c>
      <c r="S88" s="23">
        <v>4266.8599999999997</v>
      </c>
      <c r="T88" s="3">
        <v>56781986</v>
      </c>
      <c r="U88" s="3">
        <v>28206060300073</v>
      </c>
      <c r="V88" s="4" t="s">
        <v>1710</v>
      </c>
      <c r="W88" s="4"/>
      <c r="X88" s="4" t="s">
        <v>1583</v>
      </c>
      <c r="Y88" s="4">
        <v>2014</v>
      </c>
      <c r="Z88" s="3">
        <f ca="1">DATEDIF(Table1[[#This Row],[تاريخ الميلاد]],TODAY(),"y")</f>
        <v>44</v>
      </c>
      <c r="AA8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44 عام 2  شهر  14  يوم </v>
      </c>
      <c r="AB8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8عام0  شهر  22  يوم </v>
      </c>
      <c r="AC88" s="10">
        <f>DATE(YEAR(Table1[[#This Row],[تاريخ الميلاد]])+60,MONTH(Table1[[#This Row],[تاريخ الميلاد]]),DAY(Table1[[#This Row],[تاريخ الميلاد]]))</f>
        <v>52023</v>
      </c>
      <c r="AD88" s="14">
        <f>DATE(YEAR(Table1[[#This Row],[معاش 01/01]])-1,MONTH(Table1[[#This Row],[تاريخ بلوغ 60 ]]),DAY(Table1[[#This Row],[تاريخ بلوغ 60 ]]))</f>
        <v>52023</v>
      </c>
      <c r="AE8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52388</v>
      </c>
      <c r="AF88" s="10" t="str">
        <f>IFERROR(IF(ISODD(MID(Table1[[#This Row],[الرقم القومي]],13,1)),"ذكر","انثي"),"")</f>
        <v>ذكر</v>
      </c>
      <c r="AG88" s="70" t="s">
        <v>2606</v>
      </c>
      <c r="AH88" s="3">
        <f>IF(MONTH(Table1[[#This Row],[تاريخ بلوغ 60 ]])&lt;&gt;1,1,0)</f>
        <v>1</v>
      </c>
      <c r="AI88" s="3">
        <f>IF(DAY(Table1[[#This Row],[تاريخ بلوغ 60 ]])&lt;&gt;1,1,0)</f>
        <v>1</v>
      </c>
      <c r="AJ88" s="4" t="s">
        <v>465</v>
      </c>
      <c r="AK88" s="4">
        <v>0</v>
      </c>
      <c r="AL88" s="62" t="s">
        <v>1709</v>
      </c>
      <c r="AM88" s="62" t="s">
        <v>2709</v>
      </c>
      <c r="AN88" s="2">
        <v>2</v>
      </c>
      <c r="AO88" s="4" t="s">
        <v>2641</v>
      </c>
      <c r="AP88" s="74">
        <v>755.66</v>
      </c>
      <c r="AQ88" s="4">
        <v>18.75</v>
      </c>
      <c r="AR88" s="4">
        <v>3</v>
      </c>
      <c r="AS88" s="4" t="s">
        <v>2668</v>
      </c>
      <c r="AT88" s="72">
        <v>6</v>
      </c>
      <c r="AU88" s="2">
        <v>4</v>
      </c>
      <c r="AV88" s="4"/>
      <c r="AW88" s="4"/>
      <c r="AX88" s="4"/>
    </row>
    <row r="89" spans="1:50" ht="15" x14ac:dyDescent="0.2">
      <c r="A89" s="3">
        <v>10698</v>
      </c>
      <c r="B89" s="1" t="s">
        <v>467</v>
      </c>
      <c r="C89" s="3">
        <v>1</v>
      </c>
      <c r="D89" s="3" t="s">
        <v>465</v>
      </c>
      <c r="E89" s="3">
        <v>3</v>
      </c>
      <c r="F89" s="3" t="s">
        <v>472</v>
      </c>
      <c r="G89" s="7" t="s">
        <v>51</v>
      </c>
      <c r="H89" s="3">
        <v>2</v>
      </c>
      <c r="I89" s="3" t="s">
        <v>596</v>
      </c>
      <c r="J89" s="3">
        <v>4</v>
      </c>
      <c r="K89" s="3" t="s">
        <v>1524</v>
      </c>
      <c r="L89" s="3">
        <v>5</v>
      </c>
      <c r="M89" s="3" t="s">
        <v>500</v>
      </c>
      <c r="N89" s="3" t="s">
        <v>601</v>
      </c>
      <c r="O89" s="10">
        <v>31298</v>
      </c>
      <c r="P89" s="10">
        <v>43310</v>
      </c>
      <c r="Q89" s="10"/>
      <c r="R89" s="10">
        <v>44926</v>
      </c>
      <c r="S89" s="23">
        <v>3944.94</v>
      </c>
      <c r="T89" s="3">
        <v>65242921</v>
      </c>
      <c r="U89" s="3">
        <v>28509081200918</v>
      </c>
      <c r="V89" s="4" t="s">
        <v>1712</v>
      </c>
      <c r="W89" s="4"/>
      <c r="X89" s="4" t="s">
        <v>1583</v>
      </c>
      <c r="Y89" s="4">
        <v>2018</v>
      </c>
      <c r="Z89" s="3">
        <f ca="1">DATEDIF(Table1[[#This Row],[تاريخ الميلاد]],TODAY(),"y")</f>
        <v>40</v>
      </c>
      <c r="AA8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40 عام 11  شهر  12  يوم </v>
      </c>
      <c r="AB8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8عام0  شهر  22  يوم </v>
      </c>
      <c r="AC89" s="10">
        <f>DATE(YEAR(Table1[[#This Row],[تاريخ الميلاد]])+60,MONTH(Table1[[#This Row],[تاريخ الميلاد]]),DAY(Table1[[#This Row],[تاريخ الميلاد]]))</f>
        <v>53213</v>
      </c>
      <c r="AD89" s="14">
        <f>DATE(YEAR(Table1[[#This Row],[معاش 01/01]])-1,MONTH(Table1[[#This Row],[تاريخ بلوغ 60 ]]),DAY(Table1[[#This Row],[تاريخ بلوغ 60 ]]))</f>
        <v>53213</v>
      </c>
      <c r="AE8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53578</v>
      </c>
      <c r="AF89" s="10" t="str">
        <f>IFERROR(IF(ISODD(MID(Table1[[#This Row],[الرقم القومي]],13,1)),"ذكر","انثي"),"")</f>
        <v>ذكر</v>
      </c>
      <c r="AG89" s="70" t="s">
        <v>1635</v>
      </c>
      <c r="AH89" s="3">
        <f>IF(MONTH(Table1[[#This Row],[تاريخ بلوغ 60 ]])&lt;&gt;1,1,0)</f>
        <v>1</v>
      </c>
      <c r="AI89" s="3">
        <f>IF(DAY(Table1[[#This Row],[تاريخ بلوغ 60 ]])&lt;&gt;1,1,0)</f>
        <v>1</v>
      </c>
      <c r="AJ89" s="4" t="s">
        <v>465</v>
      </c>
      <c r="AK89" s="4" t="s">
        <v>2636</v>
      </c>
      <c r="AL89" s="62" t="s">
        <v>1711</v>
      </c>
      <c r="AM89" s="62" t="s">
        <v>2710</v>
      </c>
      <c r="AN89" s="2">
        <v>2</v>
      </c>
      <c r="AO89" s="4" t="s">
        <v>2641</v>
      </c>
      <c r="AP89" s="74">
        <v>697.73</v>
      </c>
      <c r="AQ89" s="4">
        <v>18.75</v>
      </c>
      <c r="AR89" s="4">
        <v>3</v>
      </c>
      <c r="AS89" s="4" t="s">
        <v>2668</v>
      </c>
      <c r="AT89" s="72">
        <v>6</v>
      </c>
      <c r="AU89" s="2">
        <v>5</v>
      </c>
      <c r="AV89" s="4"/>
      <c r="AW89" s="4"/>
      <c r="AX89" s="4"/>
    </row>
    <row r="90" spans="1:50" ht="15" x14ac:dyDescent="0.2">
      <c r="A90" s="3">
        <v>10701</v>
      </c>
      <c r="B90" s="1" t="s">
        <v>467</v>
      </c>
      <c r="C90" s="3">
        <v>1</v>
      </c>
      <c r="D90" s="3" t="s">
        <v>465</v>
      </c>
      <c r="E90" s="3">
        <v>3</v>
      </c>
      <c r="F90" s="3" t="s">
        <v>472</v>
      </c>
      <c r="G90" s="7" t="s">
        <v>52</v>
      </c>
      <c r="H90" s="3">
        <v>2</v>
      </c>
      <c r="I90" s="3" t="s">
        <v>596</v>
      </c>
      <c r="J90" s="3">
        <v>4</v>
      </c>
      <c r="K90" s="3" t="s">
        <v>1524</v>
      </c>
      <c r="L90" s="3">
        <v>5</v>
      </c>
      <c r="M90" s="3" t="s">
        <v>500</v>
      </c>
      <c r="N90" s="3" t="s">
        <v>601</v>
      </c>
      <c r="O90" s="10">
        <v>32690</v>
      </c>
      <c r="P90" s="10">
        <v>43310</v>
      </c>
      <c r="Q90" s="10"/>
      <c r="R90" s="10">
        <v>44926</v>
      </c>
      <c r="S90" s="23">
        <v>3847.38</v>
      </c>
      <c r="T90" s="3">
        <v>27705867</v>
      </c>
      <c r="U90" s="3">
        <v>28907010300496</v>
      </c>
      <c r="V90" s="4" t="s">
        <v>1714</v>
      </c>
      <c r="W90" s="4"/>
      <c r="X90" s="4" t="s">
        <v>1583</v>
      </c>
      <c r="Y90" s="4">
        <v>2024</v>
      </c>
      <c r="Z90" s="3">
        <f ca="1">DATEDIF(Table1[[#This Row],[تاريخ الميلاد]],TODAY(),"y")</f>
        <v>37</v>
      </c>
      <c r="AA9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1  شهر  19  يوم </v>
      </c>
      <c r="AB9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8عام0  شهر  22  يوم </v>
      </c>
      <c r="AC90" s="10">
        <f>DATE(YEAR(Table1[[#This Row],[تاريخ الميلاد]])+60,MONTH(Table1[[#This Row],[تاريخ الميلاد]]),DAY(Table1[[#This Row],[تاريخ الميلاد]]))</f>
        <v>54605</v>
      </c>
      <c r="AD90" s="14">
        <f>DATE(YEAR(Table1[[#This Row],[معاش 01/01]])-1,MONTH(Table1[[#This Row],[تاريخ بلوغ 60 ]]),DAY(Table1[[#This Row],[تاريخ بلوغ 60 ]]))</f>
        <v>54605</v>
      </c>
      <c r="AE9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54970</v>
      </c>
      <c r="AF90" s="10" t="str">
        <f>IFERROR(IF(ISODD(MID(Table1[[#This Row],[الرقم القومي]],13,1)),"ذكر","انثي"),"")</f>
        <v>ذكر</v>
      </c>
      <c r="AG90" s="70" t="s">
        <v>2606</v>
      </c>
      <c r="AH90" s="3">
        <f>IF(MONTH(Table1[[#This Row],[تاريخ بلوغ 60 ]])&lt;&gt;1,1,0)</f>
        <v>1</v>
      </c>
      <c r="AI90" s="3">
        <f>IF(DAY(Table1[[#This Row],[تاريخ بلوغ 60 ]])&lt;&gt;1,1,0)</f>
        <v>0</v>
      </c>
      <c r="AJ90" s="4" t="s">
        <v>465</v>
      </c>
      <c r="AK90" s="4" t="s">
        <v>2636</v>
      </c>
      <c r="AL90" s="62" t="s">
        <v>1713</v>
      </c>
      <c r="AM90" s="62" t="s">
        <v>2709</v>
      </c>
      <c r="AN90" s="2">
        <v>2</v>
      </c>
      <c r="AO90" s="4" t="s">
        <v>2641</v>
      </c>
      <c r="AP90" s="74">
        <v>680.67</v>
      </c>
      <c r="AQ90" s="4">
        <v>18.75</v>
      </c>
      <c r="AR90" s="4">
        <v>3</v>
      </c>
      <c r="AS90" s="4" t="s">
        <v>2668</v>
      </c>
      <c r="AT90" s="72">
        <v>6</v>
      </c>
      <c r="AU90" s="2">
        <v>5</v>
      </c>
      <c r="AV90" s="4"/>
      <c r="AW90" s="4"/>
      <c r="AX90" s="4"/>
    </row>
    <row r="91" spans="1:50" ht="15" x14ac:dyDescent="0.2">
      <c r="A91" s="3">
        <v>10702</v>
      </c>
      <c r="B91" s="1" t="s">
        <v>467</v>
      </c>
      <c r="C91" s="3">
        <v>1</v>
      </c>
      <c r="D91" s="3" t="s">
        <v>465</v>
      </c>
      <c r="E91" s="3">
        <v>3</v>
      </c>
      <c r="F91" s="3" t="s">
        <v>472</v>
      </c>
      <c r="G91" s="7" t="s">
        <v>53</v>
      </c>
      <c r="H91" s="3">
        <v>2</v>
      </c>
      <c r="I91" s="3" t="s">
        <v>596</v>
      </c>
      <c r="J91" s="3">
        <v>4</v>
      </c>
      <c r="K91" s="3" t="s">
        <v>1524</v>
      </c>
      <c r="L91" s="3">
        <v>5</v>
      </c>
      <c r="M91" s="3" t="s">
        <v>500</v>
      </c>
      <c r="N91" s="3" t="s">
        <v>601</v>
      </c>
      <c r="O91" s="10">
        <v>32703</v>
      </c>
      <c r="P91" s="10">
        <v>43310</v>
      </c>
      <c r="Q91" s="10"/>
      <c r="R91" s="10">
        <v>44926</v>
      </c>
      <c r="S91" s="23">
        <v>3847.38</v>
      </c>
      <c r="T91" s="3">
        <v>27519597</v>
      </c>
      <c r="U91" s="3">
        <v>28907140300251</v>
      </c>
      <c r="V91" s="4" t="s">
        <v>1716</v>
      </c>
      <c r="W91" s="4"/>
      <c r="X91" s="4" t="s">
        <v>1583</v>
      </c>
      <c r="Y91" s="4">
        <v>2012</v>
      </c>
      <c r="Z91" s="3">
        <f ca="1">DATEDIF(Table1[[#This Row],[تاريخ الميلاد]],TODAY(),"y")</f>
        <v>37</v>
      </c>
      <c r="AA9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1  شهر  6  يوم </v>
      </c>
      <c r="AB9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8عام0  شهر  22  يوم </v>
      </c>
      <c r="AC91" s="10">
        <f>DATE(YEAR(Table1[[#This Row],[تاريخ الميلاد]])+60,MONTH(Table1[[#This Row],[تاريخ الميلاد]]),DAY(Table1[[#This Row],[تاريخ الميلاد]]))</f>
        <v>54618</v>
      </c>
      <c r="AD91" s="14">
        <f>DATE(YEAR(Table1[[#This Row],[معاش 01/01]])-1,MONTH(Table1[[#This Row],[تاريخ بلوغ 60 ]]),DAY(Table1[[#This Row],[تاريخ بلوغ 60 ]]))</f>
        <v>54618</v>
      </c>
      <c r="AE9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54983</v>
      </c>
      <c r="AF91" s="10" t="str">
        <f>IFERROR(IF(ISODD(MID(Table1[[#This Row],[الرقم القومي]],13,1)),"ذكر","انثي"),"")</f>
        <v>ذكر</v>
      </c>
      <c r="AG91" s="70" t="s">
        <v>2606</v>
      </c>
      <c r="AH91" s="3">
        <f>IF(MONTH(Table1[[#This Row],[تاريخ بلوغ 60 ]])&lt;&gt;1,1,0)</f>
        <v>1</v>
      </c>
      <c r="AI91" s="3">
        <f>IF(DAY(Table1[[#This Row],[تاريخ بلوغ 60 ]])&lt;&gt;1,1,0)</f>
        <v>1</v>
      </c>
      <c r="AJ91" s="4" t="s">
        <v>465</v>
      </c>
      <c r="AK91" s="4" t="s">
        <v>2689</v>
      </c>
      <c r="AL91" s="62" t="s">
        <v>1715</v>
      </c>
      <c r="AM91" s="62" t="s">
        <v>2709</v>
      </c>
      <c r="AN91" s="2">
        <v>2</v>
      </c>
      <c r="AO91" s="4" t="s">
        <v>2641</v>
      </c>
      <c r="AP91" s="74">
        <v>680.67</v>
      </c>
      <c r="AQ91" s="4">
        <v>18.75</v>
      </c>
      <c r="AR91" s="4">
        <v>3</v>
      </c>
      <c r="AS91" s="4" t="s">
        <v>2668</v>
      </c>
      <c r="AT91" s="72">
        <v>6</v>
      </c>
      <c r="AU91" s="2">
        <v>5</v>
      </c>
      <c r="AV91" s="4"/>
      <c r="AW91" s="4"/>
      <c r="AX91" s="4"/>
    </row>
    <row r="92" spans="1:50" ht="15" x14ac:dyDescent="0.2">
      <c r="A92" s="3">
        <v>10706</v>
      </c>
      <c r="B92" s="1" t="s">
        <v>467</v>
      </c>
      <c r="C92" s="3">
        <v>1</v>
      </c>
      <c r="D92" s="3" t="s">
        <v>465</v>
      </c>
      <c r="E92" s="3">
        <v>3</v>
      </c>
      <c r="F92" s="3" t="s">
        <v>472</v>
      </c>
      <c r="G92" s="7" t="s">
        <v>54</v>
      </c>
      <c r="H92" s="3">
        <v>2</v>
      </c>
      <c r="I92" s="3" t="s">
        <v>596</v>
      </c>
      <c r="J92" s="3">
        <v>4</v>
      </c>
      <c r="K92" s="3" t="s">
        <v>1524</v>
      </c>
      <c r="L92" s="3">
        <v>5</v>
      </c>
      <c r="M92" s="3" t="s">
        <v>500</v>
      </c>
      <c r="N92" s="3" t="s">
        <v>601</v>
      </c>
      <c r="O92" s="10">
        <v>33000</v>
      </c>
      <c r="P92" s="10">
        <v>43310</v>
      </c>
      <c r="Q92" s="10"/>
      <c r="R92" s="10">
        <v>44926</v>
      </c>
      <c r="S92" s="23">
        <v>3905.38</v>
      </c>
      <c r="T92" s="3">
        <v>69153695</v>
      </c>
      <c r="U92" s="3">
        <v>29005070300096</v>
      </c>
      <c r="V92" s="4" t="s">
        <v>1718</v>
      </c>
      <c r="W92" s="4"/>
      <c r="X92" s="4" t="s">
        <v>1583</v>
      </c>
      <c r="Y92" s="4">
        <v>2021</v>
      </c>
      <c r="Z92" s="3">
        <f ca="1">DATEDIF(Table1[[#This Row],[تاريخ الميلاد]],TODAY(),"y")</f>
        <v>36</v>
      </c>
      <c r="AA9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36 عام 3  شهر  13  يوم </v>
      </c>
      <c r="AB9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8عام0  شهر  22  يوم </v>
      </c>
      <c r="AC92" s="10">
        <f>DATE(YEAR(Table1[[#This Row],[تاريخ الميلاد]])+60,MONTH(Table1[[#This Row],[تاريخ الميلاد]]),DAY(Table1[[#This Row],[تاريخ الميلاد]]))</f>
        <v>54915</v>
      </c>
      <c r="AD92" s="14">
        <f>DATE(YEAR(Table1[[#This Row],[معاش 01/01]])-1,MONTH(Table1[[#This Row],[تاريخ بلوغ 60 ]]),DAY(Table1[[#This Row],[تاريخ بلوغ 60 ]]))</f>
        <v>54915</v>
      </c>
      <c r="AE9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55280</v>
      </c>
      <c r="AF92" s="10" t="str">
        <f>IFERROR(IF(ISODD(MID(Table1[[#This Row],[الرقم القومي]],13,1)),"ذكر","انثي"),"")</f>
        <v>ذكر</v>
      </c>
      <c r="AG92" s="70" t="s">
        <v>2606</v>
      </c>
      <c r="AH92" s="3">
        <f>IF(MONTH(Table1[[#This Row],[تاريخ بلوغ 60 ]])&lt;&gt;1,1,0)</f>
        <v>1</v>
      </c>
      <c r="AI92" s="3">
        <f>IF(DAY(Table1[[#This Row],[تاريخ بلوغ 60 ]])&lt;&gt;1,1,0)</f>
        <v>1</v>
      </c>
      <c r="AJ92" s="4" t="s">
        <v>465</v>
      </c>
      <c r="AK92" s="4" t="s">
        <v>2638</v>
      </c>
      <c r="AL92" s="62" t="s">
        <v>1717</v>
      </c>
      <c r="AM92" s="62" t="s">
        <v>2711</v>
      </c>
      <c r="AN92" s="2">
        <v>2</v>
      </c>
      <c r="AO92" s="4" t="s">
        <v>2641</v>
      </c>
      <c r="AP92" s="74">
        <v>691.55</v>
      </c>
      <c r="AQ92" s="4">
        <v>18.75</v>
      </c>
      <c r="AR92" s="4">
        <v>2</v>
      </c>
      <c r="AS92" s="4" t="s">
        <v>2696</v>
      </c>
      <c r="AT92" s="72">
        <v>4</v>
      </c>
      <c r="AU92" s="2">
        <v>5</v>
      </c>
      <c r="AV92" s="4"/>
      <c r="AW92" s="4"/>
      <c r="AX92" s="4"/>
    </row>
    <row r="93" spans="1:50" ht="15" x14ac:dyDescent="0.2">
      <c r="A93" s="3">
        <v>10711</v>
      </c>
      <c r="B93" s="1" t="s">
        <v>467</v>
      </c>
      <c r="C93" s="3">
        <v>1</v>
      </c>
      <c r="D93" s="3" t="s">
        <v>465</v>
      </c>
      <c r="E93" s="3">
        <v>3</v>
      </c>
      <c r="F93" s="3" t="s">
        <v>472</v>
      </c>
      <c r="G93" s="7" t="s">
        <v>1721</v>
      </c>
      <c r="H93" s="3">
        <v>5</v>
      </c>
      <c r="I93" s="3" t="s">
        <v>621</v>
      </c>
      <c r="J93" s="3">
        <v>6</v>
      </c>
      <c r="K93" s="3" t="s">
        <v>1525</v>
      </c>
      <c r="L93" s="3">
        <v>5</v>
      </c>
      <c r="M93" s="3" t="s">
        <v>500</v>
      </c>
      <c r="N93" s="3" t="s">
        <v>626</v>
      </c>
      <c r="O93" s="10">
        <v>33744</v>
      </c>
      <c r="P93" s="10">
        <v>43313</v>
      </c>
      <c r="Q93" s="10"/>
      <c r="R93" s="10">
        <v>44926</v>
      </c>
      <c r="S93" s="23">
        <v>3930.06</v>
      </c>
      <c r="T93" s="3">
        <v>71546586</v>
      </c>
      <c r="U93" s="3">
        <v>29205201302234</v>
      </c>
      <c r="V93" s="4" t="s">
        <v>1723</v>
      </c>
      <c r="W93" s="4"/>
      <c r="X93" s="4" t="s">
        <v>1583</v>
      </c>
      <c r="Y93" s="4">
        <v>2020</v>
      </c>
      <c r="Z93" s="3">
        <f ca="1">DATEDIF(Table1[[#This Row],[تاريخ الميلاد]],TODAY(),"y")</f>
        <v>34</v>
      </c>
      <c r="AA9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34 عام 3  شهر  0  يوم </v>
      </c>
      <c r="AB9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8عام0  شهر  19  يوم </v>
      </c>
      <c r="AC93" s="10">
        <f>DATE(YEAR(Table1[[#This Row],[تاريخ الميلاد]])+60,MONTH(Table1[[#This Row],[تاريخ الميلاد]]),DAY(Table1[[#This Row],[تاريخ الميلاد]]))</f>
        <v>55659</v>
      </c>
      <c r="AD93" s="14">
        <f>DATE(YEAR(Table1[[#This Row],[معاش 01/01]])-1,MONTH(Table1[[#This Row],[تاريخ بلوغ 60 ]]),DAY(Table1[[#This Row],[تاريخ بلوغ 60 ]]))</f>
        <v>55659</v>
      </c>
      <c r="AE9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56024</v>
      </c>
      <c r="AF93" s="10" t="str">
        <f>IFERROR(IF(ISODD(MID(Table1[[#This Row],[الرقم القومي]],13,1)),"ذكر","انثي"),"")</f>
        <v>ذكر</v>
      </c>
      <c r="AG93" s="70" t="s">
        <v>2610</v>
      </c>
      <c r="AH93" s="3">
        <f>IF(MONTH(Table1[[#This Row],[تاريخ بلوغ 60 ]])&lt;&gt;1,1,0)</f>
        <v>1</v>
      </c>
      <c r="AI93" s="3">
        <f>IF(DAY(Table1[[#This Row],[تاريخ بلوغ 60 ]])&lt;&gt;1,1,0)</f>
        <v>1</v>
      </c>
      <c r="AJ93" s="4" t="s">
        <v>1719</v>
      </c>
      <c r="AK93" s="4" t="s">
        <v>2716</v>
      </c>
      <c r="AL93" s="62" t="s">
        <v>1722</v>
      </c>
      <c r="AM93" s="62" t="s">
        <v>2715</v>
      </c>
      <c r="AN93" s="2">
        <v>2</v>
      </c>
      <c r="AO93" s="4" t="s">
        <v>2641</v>
      </c>
      <c r="AP93" s="74">
        <v>695.05</v>
      </c>
      <c r="AQ93" s="4">
        <v>18.75</v>
      </c>
      <c r="AR93" s="4">
        <v>3</v>
      </c>
      <c r="AS93" s="4" t="s">
        <v>2668</v>
      </c>
      <c r="AT93" s="72">
        <v>6</v>
      </c>
      <c r="AU93" s="2">
        <v>5</v>
      </c>
      <c r="AV93" s="4"/>
      <c r="AW93" s="4"/>
      <c r="AX93" s="4"/>
    </row>
    <row r="94" spans="1:50" ht="15" x14ac:dyDescent="0.2">
      <c r="A94" s="3">
        <v>10717</v>
      </c>
      <c r="B94" s="1" t="s">
        <v>467</v>
      </c>
      <c r="C94" s="3">
        <v>1</v>
      </c>
      <c r="D94" s="3" t="s">
        <v>465</v>
      </c>
      <c r="E94" s="3">
        <v>3</v>
      </c>
      <c r="F94" s="3" t="s">
        <v>472</v>
      </c>
      <c r="G94" s="7" t="s">
        <v>56</v>
      </c>
      <c r="H94" s="3">
        <v>2</v>
      </c>
      <c r="I94" s="3" t="s">
        <v>596</v>
      </c>
      <c r="J94" s="3">
        <v>4</v>
      </c>
      <c r="K94" s="3" t="s">
        <v>1524</v>
      </c>
      <c r="L94" s="3">
        <v>5</v>
      </c>
      <c r="M94" s="3" t="s">
        <v>500</v>
      </c>
      <c r="N94" s="3" t="s">
        <v>601</v>
      </c>
      <c r="O94" s="10">
        <v>32109</v>
      </c>
      <c r="P94" s="10">
        <v>43345</v>
      </c>
      <c r="Q94" s="10"/>
      <c r="R94" s="10">
        <v>44926</v>
      </c>
      <c r="S94" s="23">
        <v>3905.38</v>
      </c>
      <c r="T94" s="3">
        <v>20273659</v>
      </c>
      <c r="U94" s="3">
        <v>28711280300577</v>
      </c>
      <c r="V94" s="4" t="s">
        <v>1725</v>
      </c>
      <c r="W94" s="4"/>
      <c r="X94" s="4" t="s">
        <v>1583</v>
      </c>
      <c r="Y94" s="4">
        <v>2021</v>
      </c>
      <c r="Z94" s="3">
        <f ca="1">DATEDIF(Table1[[#This Row],[تاريخ الميلاد]],TODAY(),"y")</f>
        <v>38</v>
      </c>
      <c r="AA9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8  شهر  23  يوم </v>
      </c>
      <c r="AB9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7عام11  شهر  18  يوم </v>
      </c>
      <c r="AC94" s="10">
        <f>DATE(YEAR(Table1[[#This Row],[تاريخ الميلاد]])+60,MONTH(Table1[[#This Row],[تاريخ الميلاد]]),DAY(Table1[[#This Row],[تاريخ الميلاد]]))</f>
        <v>54024</v>
      </c>
      <c r="AD94" s="14">
        <f>DATE(YEAR(Table1[[#This Row],[معاش 01/01]])-1,MONTH(Table1[[#This Row],[تاريخ بلوغ 60 ]]),DAY(Table1[[#This Row],[تاريخ بلوغ 60 ]]))</f>
        <v>54024</v>
      </c>
      <c r="AE9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54390</v>
      </c>
      <c r="AF94" s="10" t="str">
        <f>IFERROR(IF(ISODD(MID(Table1[[#This Row],[الرقم القومي]],13,1)),"ذكر","انثي"),"")</f>
        <v>ذكر</v>
      </c>
      <c r="AG94" s="70" t="s">
        <v>2606</v>
      </c>
      <c r="AH94" s="3">
        <f>IF(MONTH(Table1[[#This Row],[تاريخ بلوغ 60 ]])&lt;&gt;1,1,0)</f>
        <v>1</v>
      </c>
      <c r="AI94" s="3">
        <f>IF(DAY(Table1[[#This Row],[تاريخ بلوغ 60 ]])&lt;&gt;1,1,0)</f>
        <v>1</v>
      </c>
      <c r="AJ94" s="4" t="s">
        <v>465</v>
      </c>
      <c r="AK94" s="4" t="s">
        <v>2636</v>
      </c>
      <c r="AL94" s="62" t="s">
        <v>1724</v>
      </c>
      <c r="AM94" s="62" t="s">
        <v>2717</v>
      </c>
      <c r="AN94" s="2">
        <v>2</v>
      </c>
      <c r="AO94" s="4" t="s">
        <v>2641</v>
      </c>
      <c r="AP94" s="74">
        <v>691.55</v>
      </c>
      <c r="AQ94" s="4">
        <v>18.75</v>
      </c>
      <c r="AR94" s="4">
        <v>3</v>
      </c>
      <c r="AS94" s="4" t="s">
        <v>2668</v>
      </c>
      <c r="AT94" s="72">
        <v>6</v>
      </c>
      <c r="AU94" s="2">
        <v>5</v>
      </c>
      <c r="AV94" s="4"/>
      <c r="AW94" s="4"/>
      <c r="AX94" s="4"/>
    </row>
    <row r="95" spans="1:50" ht="15" x14ac:dyDescent="0.2">
      <c r="A95" s="3">
        <v>10720</v>
      </c>
      <c r="B95" s="1" t="s">
        <v>467</v>
      </c>
      <c r="C95" s="3">
        <v>1</v>
      </c>
      <c r="D95" s="3" t="s">
        <v>465</v>
      </c>
      <c r="E95" s="3">
        <v>3</v>
      </c>
      <c r="F95" s="3" t="s">
        <v>472</v>
      </c>
      <c r="G95" s="7" t="s">
        <v>57</v>
      </c>
      <c r="H95" s="3">
        <v>2</v>
      </c>
      <c r="I95" s="3" t="s">
        <v>596</v>
      </c>
      <c r="J95" s="3">
        <v>4</v>
      </c>
      <c r="K95" s="3" t="s">
        <v>1524</v>
      </c>
      <c r="L95" s="3">
        <v>5</v>
      </c>
      <c r="M95" s="3" t="s">
        <v>500</v>
      </c>
      <c r="N95" s="3" t="s">
        <v>601</v>
      </c>
      <c r="O95" s="10">
        <v>32159</v>
      </c>
      <c r="P95" s="10">
        <v>43345</v>
      </c>
      <c r="Q95" s="10"/>
      <c r="R95" s="10">
        <v>44926</v>
      </c>
      <c r="S95" s="23">
        <v>3857.72</v>
      </c>
      <c r="T95" s="3">
        <v>20940617</v>
      </c>
      <c r="U95" s="3">
        <v>28801170300171</v>
      </c>
      <c r="V95" s="4" t="s">
        <v>1727</v>
      </c>
      <c r="W95" s="4"/>
      <c r="X95" s="4" t="s">
        <v>1583</v>
      </c>
      <c r="Y95" s="4">
        <v>2023</v>
      </c>
      <c r="Z95" s="3">
        <f ca="1">DATEDIF(Table1[[#This Row],[تاريخ الميلاد]],TODAY(),"y")</f>
        <v>38</v>
      </c>
      <c r="AA9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7  شهر  3  يوم </v>
      </c>
      <c r="AB9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7عام11  شهر  18  يوم </v>
      </c>
      <c r="AC95" s="10">
        <f>DATE(YEAR(Table1[[#This Row],[تاريخ الميلاد]])+60,MONTH(Table1[[#This Row],[تاريخ الميلاد]]),DAY(Table1[[#This Row],[تاريخ الميلاد]]))</f>
        <v>54074</v>
      </c>
      <c r="AD95" s="14">
        <f>DATE(YEAR(Table1[[#This Row],[معاش 01/01]])-1,MONTH(Table1[[#This Row],[تاريخ بلوغ 60 ]]),DAY(Table1[[#This Row],[تاريخ بلوغ 60 ]]))</f>
        <v>54074</v>
      </c>
      <c r="AE9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54440</v>
      </c>
      <c r="AF95" s="10" t="str">
        <f>IFERROR(IF(ISODD(MID(Table1[[#This Row],[الرقم القومي]],13,1)),"ذكر","انثي"),"")</f>
        <v>ذكر</v>
      </c>
      <c r="AG95" s="70" t="s">
        <v>2606</v>
      </c>
      <c r="AH95" s="3">
        <f>IF(MONTH(Table1[[#This Row],[تاريخ بلوغ 60 ]])&lt;&gt;1,1,0)</f>
        <v>0</v>
      </c>
      <c r="AI95" s="3">
        <f>IF(DAY(Table1[[#This Row],[تاريخ بلوغ 60 ]])&lt;&gt;1,1,0)</f>
        <v>1</v>
      </c>
      <c r="AJ95" s="4" t="s">
        <v>465</v>
      </c>
      <c r="AK95" s="4" t="s">
        <v>2636</v>
      </c>
      <c r="AL95" s="62" t="s">
        <v>1726</v>
      </c>
      <c r="AM95" s="62" t="s">
        <v>2718</v>
      </c>
      <c r="AN95" s="2">
        <v>2</v>
      </c>
      <c r="AO95" s="4" t="s">
        <v>2641</v>
      </c>
      <c r="AP95" s="74">
        <v>682.61</v>
      </c>
      <c r="AQ95" s="4">
        <v>18.75</v>
      </c>
      <c r="AR95" s="4">
        <v>2</v>
      </c>
      <c r="AS95" s="4" t="s">
        <v>2696</v>
      </c>
      <c r="AT95" s="72">
        <v>4</v>
      </c>
      <c r="AU95" s="2">
        <v>5</v>
      </c>
      <c r="AV95" s="4"/>
      <c r="AW95" s="4"/>
      <c r="AX95" s="4"/>
    </row>
    <row r="96" spans="1:50" ht="15" x14ac:dyDescent="0.2">
      <c r="A96" s="3">
        <v>10723</v>
      </c>
      <c r="B96" s="1" t="s">
        <v>467</v>
      </c>
      <c r="C96" s="3">
        <v>1</v>
      </c>
      <c r="D96" s="3" t="s">
        <v>465</v>
      </c>
      <c r="E96" s="3">
        <v>3</v>
      </c>
      <c r="F96" s="3" t="s">
        <v>472</v>
      </c>
      <c r="G96" s="7" t="s">
        <v>58</v>
      </c>
      <c r="H96" s="3">
        <v>2</v>
      </c>
      <c r="I96" s="3" t="s">
        <v>596</v>
      </c>
      <c r="J96" s="3">
        <v>4</v>
      </c>
      <c r="K96" s="3" t="s">
        <v>1524</v>
      </c>
      <c r="L96" s="3">
        <v>5</v>
      </c>
      <c r="M96" s="3" t="s">
        <v>500</v>
      </c>
      <c r="N96" s="3" t="s">
        <v>601</v>
      </c>
      <c r="O96" s="10">
        <v>32836</v>
      </c>
      <c r="P96" s="10">
        <v>43345</v>
      </c>
      <c r="Q96" s="10"/>
      <c r="R96" s="10">
        <v>44926</v>
      </c>
      <c r="S96" s="23">
        <v>3890.63</v>
      </c>
      <c r="T96" s="3">
        <v>33410644</v>
      </c>
      <c r="U96" s="3">
        <v>28911240300476</v>
      </c>
      <c r="V96" s="4" t="s">
        <v>1729</v>
      </c>
      <c r="W96" s="4"/>
      <c r="X96" s="4" t="s">
        <v>1583</v>
      </c>
      <c r="Y96" s="4">
        <v>2021</v>
      </c>
      <c r="Z96" s="3">
        <f ca="1">DATEDIF(Table1[[#This Row],[تاريخ الميلاد]],TODAY(),"y")</f>
        <v>36</v>
      </c>
      <c r="AA9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36 عام 8  شهر  27  يوم </v>
      </c>
      <c r="AB9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7عام11  شهر  18  يوم </v>
      </c>
      <c r="AC96" s="10">
        <f>DATE(YEAR(Table1[[#This Row],[تاريخ الميلاد]])+60,MONTH(Table1[[#This Row],[تاريخ الميلاد]]),DAY(Table1[[#This Row],[تاريخ الميلاد]]))</f>
        <v>54751</v>
      </c>
      <c r="AD96" s="14">
        <f>DATE(YEAR(Table1[[#This Row],[معاش 01/01]])-1,MONTH(Table1[[#This Row],[تاريخ بلوغ 60 ]]),DAY(Table1[[#This Row],[تاريخ بلوغ 60 ]]))</f>
        <v>54751</v>
      </c>
      <c r="AE9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55116</v>
      </c>
      <c r="AF96" s="10" t="str">
        <f>IFERROR(IF(ISODD(MID(Table1[[#This Row],[الرقم القومي]],13,1)),"ذكر","انثي"),"")</f>
        <v>ذكر</v>
      </c>
      <c r="AG96" s="70" t="s">
        <v>2606</v>
      </c>
      <c r="AH96" s="3">
        <f>IF(MONTH(Table1[[#This Row],[تاريخ بلوغ 60 ]])&lt;&gt;1,1,0)</f>
        <v>1</v>
      </c>
      <c r="AI96" s="3">
        <f>IF(DAY(Table1[[#This Row],[تاريخ بلوغ 60 ]])&lt;&gt;1,1,0)</f>
        <v>1</v>
      </c>
      <c r="AJ96" s="4" t="s">
        <v>465</v>
      </c>
      <c r="AK96" s="4" t="s">
        <v>2636</v>
      </c>
      <c r="AL96" s="62" t="s">
        <v>1728</v>
      </c>
      <c r="AM96" s="62" t="s">
        <v>2719</v>
      </c>
      <c r="AN96" s="2">
        <v>2</v>
      </c>
      <c r="AO96" s="4" t="s">
        <v>2641</v>
      </c>
      <c r="AP96" s="74">
        <v>688.78</v>
      </c>
      <c r="AQ96" s="4">
        <v>18.75</v>
      </c>
      <c r="AR96" s="4">
        <v>3</v>
      </c>
      <c r="AS96" s="4" t="s">
        <v>2668</v>
      </c>
      <c r="AT96" s="72">
        <v>6</v>
      </c>
      <c r="AU96" s="2">
        <v>5</v>
      </c>
      <c r="AV96" s="4"/>
      <c r="AW96" s="4"/>
      <c r="AX96" s="4"/>
    </row>
    <row r="97" spans="1:50" ht="15" x14ac:dyDescent="0.2">
      <c r="A97" s="3">
        <v>10727</v>
      </c>
      <c r="B97" s="1" t="s">
        <v>467</v>
      </c>
      <c r="C97" s="3">
        <v>1</v>
      </c>
      <c r="D97" s="3" t="s">
        <v>465</v>
      </c>
      <c r="E97" s="3">
        <v>3</v>
      </c>
      <c r="F97" s="3" t="s">
        <v>472</v>
      </c>
      <c r="G97" s="7" t="s">
        <v>59</v>
      </c>
      <c r="H97" s="3">
        <v>2</v>
      </c>
      <c r="I97" s="3" t="s">
        <v>596</v>
      </c>
      <c r="J97" s="3">
        <v>4</v>
      </c>
      <c r="K97" s="3" t="s">
        <v>1524</v>
      </c>
      <c r="L97" s="3">
        <v>5</v>
      </c>
      <c r="M97" s="3" t="s">
        <v>500</v>
      </c>
      <c r="N97" s="3" t="s">
        <v>601</v>
      </c>
      <c r="O97" s="10">
        <v>30619</v>
      </c>
      <c r="P97" s="10">
        <v>43366</v>
      </c>
      <c r="Q97" s="10"/>
      <c r="R97" s="10">
        <v>44926</v>
      </c>
      <c r="S97" s="23">
        <v>3411.1</v>
      </c>
      <c r="T97" s="3">
        <v>36332300</v>
      </c>
      <c r="U97" s="3">
        <v>28310300300256</v>
      </c>
      <c r="V97" s="4" t="s">
        <v>1731</v>
      </c>
      <c r="W97" s="4"/>
      <c r="X97" s="4" t="s">
        <v>1583</v>
      </c>
      <c r="Y97" s="4">
        <v>2020</v>
      </c>
      <c r="Z97" s="3">
        <f ca="1">DATEDIF(Table1[[#This Row],[تاريخ الميلاد]],TODAY(),"y")</f>
        <v>42</v>
      </c>
      <c r="AA9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42 عام 9  شهر  21  يوم </v>
      </c>
      <c r="AB9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7عام10  شهر  28  يوم </v>
      </c>
      <c r="AC97" s="10">
        <f>DATE(YEAR(Table1[[#This Row],[تاريخ الميلاد]])+60,MONTH(Table1[[#This Row],[تاريخ الميلاد]]),DAY(Table1[[#This Row],[تاريخ الميلاد]]))</f>
        <v>52534</v>
      </c>
      <c r="AD97" s="14">
        <f>DATE(YEAR(Table1[[#This Row],[معاش 01/01]])-1,MONTH(Table1[[#This Row],[تاريخ بلوغ 60 ]]),DAY(Table1[[#This Row],[تاريخ بلوغ 60 ]]))</f>
        <v>52534</v>
      </c>
      <c r="AE9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52900</v>
      </c>
      <c r="AF97" s="10" t="str">
        <f>IFERROR(IF(ISODD(MID(Table1[[#This Row],[الرقم القومي]],13,1)),"ذكر","انثي"),"")</f>
        <v>ذكر</v>
      </c>
      <c r="AG97" s="70" t="s">
        <v>2606</v>
      </c>
      <c r="AH97" s="3">
        <f>IF(MONTH(Table1[[#This Row],[تاريخ بلوغ 60 ]])&lt;&gt;1,1,0)</f>
        <v>1</v>
      </c>
      <c r="AI97" s="3">
        <f>IF(DAY(Table1[[#This Row],[تاريخ بلوغ 60 ]])&lt;&gt;1,1,0)</f>
        <v>1</v>
      </c>
      <c r="AJ97" s="4" t="s">
        <v>465</v>
      </c>
      <c r="AK97" s="4">
        <v>0</v>
      </c>
      <c r="AL97" s="62" t="s">
        <v>1730</v>
      </c>
      <c r="AM97" s="62" t="s">
        <v>2720</v>
      </c>
      <c r="AN97" s="2">
        <v>2</v>
      </c>
      <c r="AO97" s="4" t="s">
        <v>2641</v>
      </c>
      <c r="AP97" s="74">
        <v>598.87</v>
      </c>
      <c r="AQ97" s="4">
        <v>18.75</v>
      </c>
      <c r="AR97" s="4">
        <v>3</v>
      </c>
      <c r="AS97" s="4" t="s">
        <v>2668</v>
      </c>
      <c r="AT97" s="72">
        <v>6</v>
      </c>
      <c r="AU97" s="2">
        <v>5</v>
      </c>
      <c r="AV97" s="4"/>
      <c r="AW97" s="4"/>
      <c r="AX97" s="4"/>
    </row>
    <row r="98" spans="1:50" ht="15" x14ac:dyDescent="0.2">
      <c r="A98" s="3">
        <v>10730</v>
      </c>
      <c r="B98" s="1" t="s">
        <v>467</v>
      </c>
      <c r="C98" s="3">
        <v>1</v>
      </c>
      <c r="D98" s="3" t="s">
        <v>465</v>
      </c>
      <c r="E98" s="3">
        <v>3</v>
      </c>
      <c r="F98" s="3" t="s">
        <v>472</v>
      </c>
      <c r="G98" s="7" t="s">
        <v>60</v>
      </c>
      <c r="H98" s="3">
        <v>2</v>
      </c>
      <c r="I98" s="3" t="s">
        <v>596</v>
      </c>
      <c r="J98" s="3">
        <v>4</v>
      </c>
      <c r="K98" s="3" t="s">
        <v>1524</v>
      </c>
      <c r="L98" s="3">
        <v>5</v>
      </c>
      <c r="M98" s="3" t="s">
        <v>500</v>
      </c>
      <c r="N98" s="3" t="s">
        <v>601</v>
      </c>
      <c r="O98" s="10">
        <v>33310</v>
      </c>
      <c r="P98" s="10">
        <v>43366</v>
      </c>
      <c r="Q98" s="10"/>
      <c r="R98" s="10">
        <v>44926</v>
      </c>
      <c r="S98" s="23">
        <v>3875.88</v>
      </c>
      <c r="T98" s="3">
        <v>69168044</v>
      </c>
      <c r="U98" s="3">
        <v>29103130300254</v>
      </c>
      <c r="V98" s="4" t="s">
        <v>1733</v>
      </c>
      <c r="W98" s="4"/>
      <c r="X98" s="4" t="s">
        <v>1583</v>
      </c>
      <c r="Y98" s="4">
        <v>2022</v>
      </c>
      <c r="Z98" s="3">
        <f ca="1">DATEDIF(Table1[[#This Row],[تاريخ الميلاد]],TODAY(),"y")</f>
        <v>35</v>
      </c>
      <c r="AA9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35 عام 5  شهر  7  يوم </v>
      </c>
      <c r="AB9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7عام10  شهر  28  يوم </v>
      </c>
      <c r="AC98" s="10">
        <f>DATE(YEAR(Table1[[#This Row],[تاريخ الميلاد]])+60,MONTH(Table1[[#This Row],[تاريخ الميلاد]]),DAY(Table1[[#This Row],[تاريخ الميلاد]]))</f>
        <v>55225</v>
      </c>
      <c r="AD98" s="14">
        <f>DATE(YEAR(Table1[[#This Row],[معاش 01/01]])-1,MONTH(Table1[[#This Row],[تاريخ بلوغ 60 ]]),DAY(Table1[[#This Row],[تاريخ بلوغ 60 ]]))</f>
        <v>55225</v>
      </c>
      <c r="AE9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55591</v>
      </c>
      <c r="AF98" s="10" t="str">
        <f>IFERROR(IF(ISODD(MID(Table1[[#This Row],[الرقم القومي]],13,1)),"ذكر","انثي"),"")</f>
        <v>ذكر</v>
      </c>
      <c r="AG98" s="70" t="s">
        <v>2606</v>
      </c>
      <c r="AH98" s="3">
        <f>IF(MONTH(Table1[[#This Row],[تاريخ بلوغ 60 ]])&lt;&gt;1,1,0)</f>
        <v>1</v>
      </c>
      <c r="AI98" s="3">
        <f>IF(DAY(Table1[[#This Row],[تاريخ بلوغ 60 ]])&lt;&gt;1,1,0)</f>
        <v>1</v>
      </c>
      <c r="AJ98" s="4" t="s">
        <v>465</v>
      </c>
      <c r="AK98" s="4" t="s">
        <v>2638</v>
      </c>
      <c r="AL98" s="62" t="s">
        <v>1732</v>
      </c>
      <c r="AM98" s="62" t="s">
        <v>2721</v>
      </c>
      <c r="AN98" s="2">
        <v>2</v>
      </c>
      <c r="AO98" s="4" t="s">
        <v>2641</v>
      </c>
      <c r="AP98" s="74">
        <v>686.02</v>
      </c>
      <c r="AQ98" s="4">
        <v>18.75</v>
      </c>
      <c r="AR98" s="4">
        <v>1</v>
      </c>
      <c r="AS98" s="4" t="s">
        <v>2635</v>
      </c>
      <c r="AT98" s="72">
        <v>2</v>
      </c>
      <c r="AU98" s="2">
        <v>5</v>
      </c>
      <c r="AV98" s="4"/>
      <c r="AW98" s="4"/>
      <c r="AX98" s="4"/>
    </row>
    <row r="99" spans="1:50" ht="15" x14ac:dyDescent="0.2">
      <c r="A99" s="3">
        <v>10745</v>
      </c>
      <c r="B99" s="1" t="s">
        <v>467</v>
      </c>
      <c r="C99" s="3">
        <v>1</v>
      </c>
      <c r="D99" s="3" t="s">
        <v>465</v>
      </c>
      <c r="E99" s="3">
        <v>3</v>
      </c>
      <c r="F99" s="3" t="s">
        <v>472</v>
      </c>
      <c r="G99" s="7" t="s">
        <v>61</v>
      </c>
      <c r="H99" s="3">
        <v>2</v>
      </c>
      <c r="I99" s="3" t="s">
        <v>596</v>
      </c>
      <c r="J99" s="3">
        <v>4</v>
      </c>
      <c r="K99" s="3" t="s">
        <v>1524</v>
      </c>
      <c r="L99" s="3">
        <v>5</v>
      </c>
      <c r="M99" s="3" t="s">
        <v>500</v>
      </c>
      <c r="N99" s="3" t="s">
        <v>601</v>
      </c>
      <c r="O99" s="10">
        <v>33082</v>
      </c>
      <c r="P99" s="10">
        <v>43374</v>
      </c>
      <c r="Q99" s="10"/>
      <c r="R99" s="10">
        <v>44926</v>
      </c>
      <c r="S99" s="23">
        <v>3930.06</v>
      </c>
      <c r="T99" s="3">
        <v>40889109</v>
      </c>
      <c r="U99" s="3">
        <v>29007281200031</v>
      </c>
      <c r="V99" s="4" t="s">
        <v>1735</v>
      </c>
      <c r="W99" s="4"/>
      <c r="X99" s="4" t="s">
        <v>1583</v>
      </c>
      <c r="Y99" s="4">
        <v>2019</v>
      </c>
      <c r="Z99" s="3">
        <f ca="1">DATEDIF(Table1[[#This Row],[تاريخ الميلاد]],TODAY(),"y")</f>
        <v>36</v>
      </c>
      <c r="AA9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36 عام 0  شهر  23  يوم </v>
      </c>
      <c r="AB9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7عام10  شهر  19  يوم </v>
      </c>
      <c r="AC99" s="10">
        <f>DATE(YEAR(Table1[[#This Row],[تاريخ الميلاد]])+60,MONTH(Table1[[#This Row],[تاريخ الميلاد]]),DAY(Table1[[#This Row],[تاريخ الميلاد]]))</f>
        <v>54997</v>
      </c>
      <c r="AD99" s="14">
        <f>DATE(YEAR(Table1[[#This Row],[معاش 01/01]])-1,MONTH(Table1[[#This Row],[تاريخ بلوغ 60 ]]),DAY(Table1[[#This Row],[تاريخ بلوغ 60 ]]))</f>
        <v>54997</v>
      </c>
      <c r="AE9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55362</v>
      </c>
      <c r="AF99" s="10" t="str">
        <f>IFERROR(IF(ISODD(MID(Table1[[#This Row],[الرقم القومي]],13,1)),"ذكر","انثي"),"")</f>
        <v>ذكر</v>
      </c>
      <c r="AG99" s="70" t="s">
        <v>1635</v>
      </c>
      <c r="AH99" s="3">
        <f>IF(MONTH(Table1[[#This Row],[تاريخ بلوغ 60 ]])&lt;&gt;1,1,0)</f>
        <v>1</v>
      </c>
      <c r="AI99" s="3">
        <f>IF(DAY(Table1[[#This Row],[تاريخ بلوغ 60 ]])&lt;&gt;1,1,0)</f>
        <v>1</v>
      </c>
      <c r="AJ99" s="4" t="s">
        <v>1635</v>
      </c>
      <c r="AK99" s="4" t="s">
        <v>2682</v>
      </c>
      <c r="AL99" s="62" t="s">
        <v>1734</v>
      </c>
      <c r="AM99" s="62" t="s">
        <v>2722</v>
      </c>
      <c r="AN99" s="2">
        <v>2</v>
      </c>
      <c r="AO99" s="4" t="s">
        <v>2641</v>
      </c>
      <c r="AP99" s="74">
        <v>695.05</v>
      </c>
      <c r="AQ99" s="4">
        <v>18.75</v>
      </c>
      <c r="AR99" s="4">
        <v>1</v>
      </c>
      <c r="AS99" s="4" t="s">
        <v>2635</v>
      </c>
      <c r="AT99" s="72">
        <v>2</v>
      </c>
      <c r="AU99" s="2">
        <v>5</v>
      </c>
      <c r="AV99" s="4"/>
      <c r="AW99" s="4"/>
      <c r="AX99" s="4"/>
    </row>
    <row r="100" spans="1:50" ht="15" x14ac:dyDescent="0.2">
      <c r="A100" s="3">
        <v>10752</v>
      </c>
      <c r="B100" s="1" t="s">
        <v>467</v>
      </c>
      <c r="C100" s="3">
        <v>1</v>
      </c>
      <c r="D100" s="3" t="s">
        <v>465</v>
      </c>
      <c r="E100" s="3">
        <v>3</v>
      </c>
      <c r="F100" s="3" t="s">
        <v>472</v>
      </c>
      <c r="G100" s="7" t="s">
        <v>62</v>
      </c>
      <c r="H100" s="3">
        <v>2</v>
      </c>
      <c r="I100" s="3" t="s">
        <v>596</v>
      </c>
      <c r="J100" s="3">
        <v>4</v>
      </c>
      <c r="K100" s="3" t="s">
        <v>1524</v>
      </c>
      <c r="L100" s="3">
        <v>4</v>
      </c>
      <c r="M100" s="3" t="s">
        <v>498</v>
      </c>
      <c r="N100" s="3" t="s">
        <v>600</v>
      </c>
      <c r="O100" s="10">
        <v>30694</v>
      </c>
      <c r="P100" s="10">
        <v>43431</v>
      </c>
      <c r="Q100" s="10"/>
      <c r="R100" s="10">
        <v>44926</v>
      </c>
      <c r="S100" s="23">
        <v>4266.8599999999997</v>
      </c>
      <c r="T100" s="3">
        <v>54632477</v>
      </c>
      <c r="U100" s="3">
        <v>28401138800334</v>
      </c>
      <c r="V100" s="4" t="s">
        <v>1737</v>
      </c>
      <c r="W100" s="4"/>
      <c r="X100" s="4" t="s">
        <v>1583</v>
      </c>
      <c r="Y100" s="4">
        <v>2014</v>
      </c>
      <c r="Z100" s="3">
        <f ca="1">DATEDIF(Table1[[#This Row],[تاريخ الميلاد]],TODAY(),"y")</f>
        <v>42</v>
      </c>
      <c r="AA10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42 عام 7  شهر  7  يوم </v>
      </c>
      <c r="AB10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7عام8  شهر  24  يوم </v>
      </c>
      <c r="AC100" s="10">
        <f>DATE(YEAR(Table1[[#This Row],[تاريخ الميلاد]])+60,MONTH(Table1[[#This Row],[تاريخ الميلاد]]),DAY(Table1[[#This Row],[تاريخ الميلاد]]))</f>
        <v>52609</v>
      </c>
      <c r="AD100" s="14">
        <f>DATE(YEAR(Table1[[#This Row],[معاش 01/01]])-1,MONTH(Table1[[#This Row],[تاريخ بلوغ 60 ]]),DAY(Table1[[#This Row],[تاريخ بلوغ 60 ]]))</f>
        <v>52609</v>
      </c>
      <c r="AE10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52975</v>
      </c>
      <c r="AF100" s="10" t="str">
        <f>IFERROR(IF(ISODD(MID(Table1[[#This Row],[الرقم القومي]],13,1)),"ذكر","انثي"),"")</f>
        <v>ذكر</v>
      </c>
      <c r="AG100" s="70"/>
      <c r="AH100" s="3">
        <f>IF(MONTH(Table1[[#This Row],[تاريخ بلوغ 60 ]])&lt;&gt;1,1,0)</f>
        <v>0</v>
      </c>
      <c r="AI100" s="3">
        <f>IF(DAY(Table1[[#This Row],[تاريخ بلوغ 60 ]])&lt;&gt;1,1,0)</f>
        <v>1</v>
      </c>
      <c r="AJ100" s="4" t="s">
        <v>465</v>
      </c>
      <c r="AK100" s="4">
        <v>0</v>
      </c>
      <c r="AL100" s="62" t="s">
        <v>1736</v>
      </c>
      <c r="AM100" s="62" t="s">
        <v>2723</v>
      </c>
      <c r="AN100" s="2">
        <v>2</v>
      </c>
      <c r="AO100" s="4" t="s">
        <v>2641</v>
      </c>
      <c r="AP100" s="74">
        <v>755.66</v>
      </c>
      <c r="AQ100" s="4">
        <v>18.75</v>
      </c>
      <c r="AR100" s="4">
        <v>0</v>
      </c>
      <c r="AS100" s="4" t="s">
        <v>2645</v>
      </c>
      <c r="AT100" s="72">
        <v>0</v>
      </c>
      <c r="AU100" s="2">
        <v>4</v>
      </c>
      <c r="AV100" s="4"/>
      <c r="AW100" s="4"/>
      <c r="AX100" s="4"/>
    </row>
    <row r="101" spans="1:50" ht="15" x14ac:dyDescent="0.2">
      <c r="A101" s="3">
        <v>10889</v>
      </c>
      <c r="B101" s="1" t="s">
        <v>467</v>
      </c>
      <c r="C101" s="3">
        <v>1</v>
      </c>
      <c r="D101" s="3" t="s">
        <v>465</v>
      </c>
      <c r="E101" s="3">
        <v>3</v>
      </c>
      <c r="F101" s="3" t="s">
        <v>472</v>
      </c>
      <c r="G101" s="7" t="s">
        <v>63</v>
      </c>
      <c r="H101" s="3">
        <v>194</v>
      </c>
      <c r="I101" s="3" t="s">
        <v>1492</v>
      </c>
      <c r="J101" s="3">
        <v>36</v>
      </c>
      <c r="K101" s="3" t="s">
        <v>1492</v>
      </c>
      <c r="L101" s="3">
        <v>5</v>
      </c>
      <c r="M101" s="3" t="s">
        <v>500</v>
      </c>
      <c r="N101" s="3" t="s">
        <v>642</v>
      </c>
      <c r="O101" s="10">
        <v>34683</v>
      </c>
      <c r="P101" s="10">
        <v>43457</v>
      </c>
      <c r="Q101" s="10"/>
      <c r="R101" s="10">
        <v>44926</v>
      </c>
      <c r="S101" s="23">
        <v>3780.93</v>
      </c>
      <c r="T101" s="3">
        <v>63735588</v>
      </c>
      <c r="U101" s="3">
        <v>29412150300296</v>
      </c>
      <c r="V101" s="4" t="s">
        <v>1739</v>
      </c>
      <c r="W101" s="4"/>
      <c r="X101" s="4" t="s">
        <v>1583</v>
      </c>
      <c r="Y101" s="4">
        <v>2016</v>
      </c>
      <c r="Z101" s="3">
        <f ca="1">DATEDIF(Table1[[#This Row],[تاريخ الميلاد]],TODAY(),"y")</f>
        <v>31</v>
      </c>
      <c r="AA10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31 عام 8  شهر  5  يوم </v>
      </c>
      <c r="AB10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7عام7  شهر  28  يوم </v>
      </c>
      <c r="AC101" s="10">
        <f>DATE(YEAR(Table1[[#This Row],[تاريخ الميلاد]])+60,MONTH(Table1[[#This Row],[تاريخ الميلاد]]),DAY(Table1[[#This Row],[تاريخ الميلاد]]))</f>
        <v>56598</v>
      </c>
      <c r="AD101" s="14">
        <f>DATE(YEAR(Table1[[#This Row],[معاش 01/01]])-1,MONTH(Table1[[#This Row],[تاريخ بلوغ 60 ]]),DAY(Table1[[#This Row],[تاريخ بلوغ 60 ]]))</f>
        <v>56598</v>
      </c>
      <c r="AE10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56963</v>
      </c>
      <c r="AF101" s="10" t="str">
        <f>IFERROR(IF(ISODD(MID(Table1[[#This Row],[الرقم القومي]],13,1)),"ذكر","انثي"),"")</f>
        <v>ذكر</v>
      </c>
      <c r="AG101" s="70" t="s">
        <v>2606</v>
      </c>
      <c r="AH101" s="3">
        <f>IF(MONTH(Table1[[#This Row],[تاريخ بلوغ 60 ]])&lt;&gt;1,1,0)</f>
        <v>1</v>
      </c>
      <c r="AI101" s="3">
        <f>IF(DAY(Table1[[#This Row],[تاريخ بلوغ 60 ]])&lt;&gt;1,1,0)</f>
        <v>1</v>
      </c>
      <c r="AJ101" s="4" t="s">
        <v>465</v>
      </c>
      <c r="AK101" s="4">
        <v>0</v>
      </c>
      <c r="AL101" s="62" t="s">
        <v>1738</v>
      </c>
      <c r="AM101" s="62" t="s">
        <v>2724</v>
      </c>
      <c r="AN101" s="2">
        <v>2</v>
      </c>
      <c r="AO101" s="4" t="s">
        <v>2641</v>
      </c>
      <c r="AP101" s="74">
        <v>668.21</v>
      </c>
      <c r="AQ101" s="4">
        <v>18.75</v>
      </c>
      <c r="AR101" s="4">
        <v>2</v>
      </c>
      <c r="AS101" s="4" t="s">
        <v>2696</v>
      </c>
      <c r="AT101" s="72">
        <v>4</v>
      </c>
      <c r="AU101" s="2">
        <v>5</v>
      </c>
      <c r="AV101" s="4"/>
      <c r="AW101" s="4"/>
      <c r="AX101" s="4"/>
    </row>
    <row r="102" spans="1:50" ht="15" x14ac:dyDescent="0.2">
      <c r="A102" s="3">
        <v>10894</v>
      </c>
      <c r="B102" s="1" t="s">
        <v>467</v>
      </c>
      <c r="C102" s="3">
        <v>1</v>
      </c>
      <c r="D102" s="3" t="s">
        <v>465</v>
      </c>
      <c r="E102" s="3">
        <v>21</v>
      </c>
      <c r="F102" s="3" t="s">
        <v>474</v>
      </c>
      <c r="G102" s="7" t="s">
        <v>64</v>
      </c>
      <c r="H102" s="3">
        <v>1</v>
      </c>
      <c r="I102" s="3" t="s">
        <v>587</v>
      </c>
      <c r="J102" s="3">
        <v>3</v>
      </c>
      <c r="K102" s="3" t="s">
        <v>1528</v>
      </c>
      <c r="L102" s="3">
        <v>5</v>
      </c>
      <c r="M102" s="3" t="s">
        <v>500</v>
      </c>
      <c r="N102" s="3" t="s">
        <v>592</v>
      </c>
      <c r="O102" s="10">
        <v>33076</v>
      </c>
      <c r="P102" s="10">
        <v>43458</v>
      </c>
      <c r="Q102" s="10"/>
      <c r="R102" s="10">
        <v>44926</v>
      </c>
      <c r="S102" s="23">
        <v>3780.93</v>
      </c>
      <c r="T102" s="3">
        <v>41153020</v>
      </c>
      <c r="U102" s="3">
        <v>29007220201256</v>
      </c>
      <c r="V102" s="4" t="s">
        <v>1741</v>
      </c>
      <c r="W102" s="4"/>
      <c r="X102" s="4" t="s">
        <v>1583</v>
      </c>
      <c r="Y102" s="4">
        <v>2012</v>
      </c>
      <c r="Z102" s="3">
        <f ca="1">DATEDIF(Table1[[#This Row],[تاريخ الميلاد]],TODAY(),"y")</f>
        <v>36</v>
      </c>
      <c r="AA10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36 عام 0  شهر  29  يوم </v>
      </c>
      <c r="AB10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7عام7  شهر  27  يوم </v>
      </c>
      <c r="AC102" s="10">
        <f>DATE(YEAR(Table1[[#This Row],[تاريخ الميلاد]])+60,MONTH(Table1[[#This Row],[تاريخ الميلاد]]),DAY(Table1[[#This Row],[تاريخ الميلاد]]))</f>
        <v>54991</v>
      </c>
      <c r="AD102" s="14">
        <f>DATE(YEAR(Table1[[#This Row],[معاش 01/01]])-1,MONTH(Table1[[#This Row],[تاريخ بلوغ 60 ]]),DAY(Table1[[#This Row],[تاريخ بلوغ 60 ]]))</f>
        <v>54991</v>
      </c>
      <c r="AE10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55356</v>
      </c>
      <c r="AF102" s="10" t="str">
        <f>IFERROR(IF(ISODD(MID(Table1[[#This Row],[الرقم القومي]],13,1)),"ذكر","انثي"),"")</f>
        <v>ذكر</v>
      </c>
      <c r="AG102" s="70" t="s">
        <v>2605</v>
      </c>
      <c r="AH102" s="3">
        <f>IF(MONTH(Table1[[#This Row],[تاريخ بلوغ 60 ]])&lt;&gt;1,1,0)</f>
        <v>1</v>
      </c>
      <c r="AI102" s="3">
        <f>IF(DAY(Table1[[#This Row],[تاريخ بلوغ 60 ]])&lt;&gt;1,1,0)</f>
        <v>1</v>
      </c>
      <c r="AJ102" s="4" t="s">
        <v>1675</v>
      </c>
      <c r="AK102" s="4">
        <v>0</v>
      </c>
      <c r="AL102" s="62" t="s">
        <v>1740</v>
      </c>
      <c r="AM102" s="62" t="s">
        <v>2725</v>
      </c>
      <c r="AN102" s="2">
        <v>2</v>
      </c>
      <c r="AO102" s="4" t="s">
        <v>2641</v>
      </c>
      <c r="AP102" s="74">
        <v>668.21</v>
      </c>
      <c r="AQ102" s="4">
        <v>18.75</v>
      </c>
      <c r="AR102" s="4">
        <v>2</v>
      </c>
      <c r="AS102" s="4" t="s">
        <v>2696</v>
      </c>
      <c r="AT102" s="72">
        <v>4</v>
      </c>
      <c r="AU102" s="2">
        <v>5</v>
      </c>
      <c r="AV102" s="4"/>
      <c r="AW102" s="4"/>
      <c r="AX102" s="4"/>
    </row>
    <row r="103" spans="1:50" ht="15" x14ac:dyDescent="0.2">
      <c r="A103" s="3">
        <v>10934</v>
      </c>
      <c r="B103" s="1" t="s">
        <v>467</v>
      </c>
      <c r="C103" s="3">
        <v>1</v>
      </c>
      <c r="D103" s="3" t="s">
        <v>465</v>
      </c>
      <c r="E103" s="3">
        <v>3</v>
      </c>
      <c r="F103" s="3" t="s">
        <v>472</v>
      </c>
      <c r="G103" s="7" t="s">
        <v>65</v>
      </c>
      <c r="H103" s="3">
        <v>2</v>
      </c>
      <c r="I103" s="3" t="s">
        <v>596</v>
      </c>
      <c r="J103" s="3">
        <v>4</v>
      </c>
      <c r="K103" s="3" t="s">
        <v>1524</v>
      </c>
      <c r="L103" s="3">
        <v>4</v>
      </c>
      <c r="M103" s="3" t="s">
        <v>498</v>
      </c>
      <c r="N103" s="3" t="s">
        <v>600</v>
      </c>
      <c r="O103" s="10">
        <v>31843</v>
      </c>
      <c r="P103" s="10">
        <v>43149</v>
      </c>
      <c r="Q103" s="10"/>
      <c r="R103" s="10">
        <v>45291</v>
      </c>
      <c r="S103" s="23">
        <v>4694.92</v>
      </c>
      <c r="T103" s="3">
        <v>16284261</v>
      </c>
      <c r="U103" s="3">
        <v>28703071301831</v>
      </c>
      <c r="V103" s="4" t="s">
        <v>1743</v>
      </c>
      <c r="W103" s="4"/>
      <c r="X103" s="4" t="s">
        <v>1583</v>
      </c>
      <c r="Y103" s="4">
        <v>2016</v>
      </c>
      <c r="Z103" s="3">
        <f ca="1">DATEDIF(Table1[[#This Row],[تاريخ الميلاد]],TODAY(),"y")</f>
        <v>39</v>
      </c>
      <c r="AA10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39 عام 5  شهر  13  يوم </v>
      </c>
      <c r="AB10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8عام6  شهر  2  يوم </v>
      </c>
      <c r="AC103" s="10">
        <f>DATE(YEAR(Table1[[#This Row],[تاريخ الميلاد]])+60,MONTH(Table1[[#This Row],[تاريخ الميلاد]]),DAY(Table1[[#This Row],[تاريخ الميلاد]]))</f>
        <v>53758</v>
      </c>
      <c r="AD103" s="14">
        <f>DATE(YEAR(Table1[[#This Row],[معاش 01/01]])-1,MONTH(Table1[[#This Row],[تاريخ بلوغ 60 ]]),DAY(Table1[[#This Row],[تاريخ بلوغ 60 ]]))</f>
        <v>53758</v>
      </c>
      <c r="AE10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54124</v>
      </c>
      <c r="AF103" s="10" t="str">
        <f>IFERROR(IF(ISODD(MID(Table1[[#This Row],[الرقم القومي]],13,1)),"ذكر","انثي"),"")</f>
        <v>ذكر</v>
      </c>
      <c r="AG103" s="70" t="s">
        <v>2610</v>
      </c>
      <c r="AH103" s="3">
        <f>IF(MONTH(Table1[[#This Row],[تاريخ بلوغ 60 ]])&lt;&gt;1,1,0)</f>
        <v>1</v>
      </c>
      <c r="AI103" s="3">
        <f>IF(DAY(Table1[[#This Row],[تاريخ بلوغ 60 ]])&lt;&gt;1,1,0)</f>
        <v>1</v>
      </c>
      <c r="AJ103" s="4" t="s">
        <v>465</v>
      </c>
      <c r="AK103" s="4" t="s">
        <v>2638</v>
      </c>
      <c r="AL103" s="62" t="s">
        <v>1742</v>
      </c>
      <c r="AM103" s="62" t="s">
        <v>2726</v>
      </c>
      <c r="AN103" s="2">
        <v>2</v>
      </c>
      <c r="AO103" s="4" t="s">
        <v>2641</v>
      </c>
      <c r="AP103" s="74">
        <v>832.69</v>
      </c>
      <c r="AQ103" s="4">
        <v>18.75</v>
      </c>
      <c r="AR103" s="4">
        <v>3</v>
      </c>
      <c r="AS103" s="4" t="s">
        <v>2668</v>
      </c>
      <c r="AT103" s="72">
        <v>6</v>
      </c>
      <c r="AU103" s="2">
        <v>4</v>
      </c>
      <c r="AV103" s="4"/>
      <c r="AW103" s="4"/>
      <c r="AX103" s="4"/>
    </row>
    <row r="104" spans="1:50" ht="15" x14ac:dyDescent="0.2">
      <c r="A104" s="3">
        <v>10946</v>
      </c>
      <c r="B104" s="1" t="s">
        <v>467</v>
      </c>
      <c r="C104" s="3">
        <v>1</v>
      </c>
      <c r="D104" s="3" t="s">
        <v>465</v>
      </c>
      <c r="E104" s="3">
        <v>3</v>
      </c>
      <c r="F104" s="3" t="s">
        <v>472</v>
      </c>
      <c r="G104" s="7" t="s">
        <v>1744</v>
      </c>
      <c r="H104" s="3">
        <v>1</v>
      </c>
      <c r="I104" s="3" t="s">
        <v>587</v>
      </c>
      <c r="J104" s="3">
        <v>3</v>
      </c>
      <c r="K104" s="3" t="s">
        <v>1528</v>
      </c>
      <c r="L104" s="3">
        <v>5</v>
      </c>
      <c r="M104" s="3" t="s">
        <v>500</v>
      </c>
      <c r="N104" s="3" t="s">
        <v>592</v>
      </c>
      <c r="O104" s="10">
        <v>33497</v>
      </c>
      <c r="P104" s="10">
        <v>43818</v>
      </c>
      <c r="Q104" s="10"/>
      <c r="R104" s="10">
        <v>45291</v>
      </c>
      <c r="S104" s="23">
        <v>3421.38</v>
      </c>
      <c r="T104" s="3">
        <v>76879308</v>
      </c>
      <c r="U104" s="3">
        <v>29109160300311</v>
      </c>
      <c r="V104" s="4" t="s">
        <v>1746</v>
      </c>
      <c r="W104" s="4">
        <v>60221</v>
      </c>
      <c r="X104" s="4" t="s">
        <v>1583</v>
      </c>
      <c r="Y104" s="4">
        <v>2013</v>
      </c>
      <c r="Z104" s="3">
        <f ca="1">DATEDIF(Table1[[#This Row],[تاريخ الميلاد]],TODAY(),"y")</f>
        <v>34</v>
      </c>
      <c r="AA10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34 عام 11  شهر  4  يوم </v>
      </c>
      <c r="AB10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6عام8  شهر  1  يوم </v>
      </c>
      <c r="AC104" s="10">
        <f>DATE(YEAR(Table1[[#This Row],[تاريخ الميلاد]])+60,MONTH(Table1[[#This Row],[تاريخ الميلاد]]),DAY(Table1[[#This Row],[تاريخ الميلاد]]))</f>
        <v>55412</v>
      </c>
      <c r="AD104" s="14">
        <f>DATE(YEAR(Table1[[#This Row],[معاش 01/01]])-1,MONTH(Table1[[#This Row],[تاريخ بلوغ 60 ]]),DAY(Table1[[#This Row],[تاريخ بلوغ 60 ]]))</f>
        <v>55412</v>
      </c>
      <c r="AE10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55778</v>
      </c>
      <c r="AF104" s="10" t="str">
        <f>IFERROR(IF(ISODD(MID(Table1[[#This Row],[الرقم القومي]],13,1)),"ذكر","انثي"),"")</f>
        <v>ذكر</v>
      </c>
      <c r="AG104" s="70" t="s">
        <v>2606</v>
      </c>
      <c r="AH104" s="3">
        <f>IF(MONTH(Table1[[#This Row],[تاريخ بلوغ 60 ]])&lt;&gt;1,1,0)</f>
        <v>1</v>
      </c>
      <c r="AI104" s="3">
        <f>IF(DAY(Table1[[#This Row],[تاريخ بلوغ 60 ]])&lt;&gt;1,1,0)</f>
        <v>1</v>
      </c>
      <c r="AJ104" s="4" t="s">
        <v>465</v>
      </c>
      <c r="AK104" s="4" t="s">
        <v>2636</v>
      </c>
      <c r="AL104" s="62" t="s">
        <v>1745</v>
      </c>
      <c r="AM104" s="62" t="s">
        <v>2727</v>
      </c>
      <c r="AN104" s="2">
        <v>2</v>
      </c>
      <c r="AO104" s="4" t="s">
        <v>2641</v>
      </c>
      <c r="AP104" s="74">
        <v>601.70000000000005</v>
      </c>
      <c r="AQ104" s="4">
        <v>18.75</v>
      </c>
      <c r="AR104" s="4">
        <v>2</v>
      </c>
      <c r="AS104" s="4" t="s">
        <v>2696</v>
      </c>
      <c r="AT104" s="72">
        <v>4</v>
      </c>
      <c r="AU104" s="2">
        <v>5</v>
      </c>
      <c r="AV104" s="4"/>
      <c r="AW104" s="4"/>
      <c r="AX104" s="4"/>
    </row>
    <row r="105" spans="1:50" ht="15" x14ac:dyDescent="0.2">
      <c r="A105" s="3">
        <v>23213</v>
      </c>
      <c r="B105" s="1" t="s">
        <v>468</v>
      </c>
      <c r="C105" s="3">
        <v>1</v>
      </c>
      <c r="D105" s="3" t="s">
        <v>465</v>
      </c>
      <c r="E105" s="3">
        <v>3</v>
      </c>
      <c r="F105" s="3" t="s">
        <v>472</v>
      </c>
      <c r="G105" s="7" t="s">
        <v>66</v>
      </c>
      <c r="H105" s="3">
        <v>226</v>
      </c>
      <c r="I105" s="3" t="s">
        <v>1557</v>
      </c>
      <c r="J105" s="3">
        <v>18</v>
      </c>
      <c r="K105" s="3" t="s">
        <v>1529</v>
      </c>
      <c r="L105" s="3">
        <v>2</v>
      </c>
      <c r="M105" s="3" t="s">
        <v>493</v>
      </c>
      <c r="N105" s="3" t="s">
        <v>1563</v>
      </c>
      <c r="O105" s="10">
        <v>25175</v>
      </c>
      <c r="P105" s="10">
        <v>32387</v>
      </c>
      <c r="Q105" s="10"/>
      <c r="R105" s="10">
        <v>44926</v>
      </c>
      <c r="S105" s="23">
        <v>12127.24</v>
      </c>
      <c r="T105" s="3">
        <v>46843735</v>
      </c>
      <c r="U105" s="3">
        <v>26812030300192</v>
      </c>
      <c r="V105" s="4" t="s">
        <v>1748</v>
      </c>
      <c r="W105" s="4"/>
      <c r="X105" s="4" t="s">
        <v>1583</v>
      </c>
      <c r="Z105" s="3">
        <f ca="1">DATEDIF(Table1[[#This Row],[تاريخ الميلاد]],TODAY(),"y")</f>
        <v>57</v>
      </c>
      <c r="AA10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57 عام 8  شهر  17  يوم </v>
      </c>
      <c r="AB10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37عام11  شهر  19  يوم </v>
      </c>
      <c r="AC105" s="10">
        <f>DATE(YEAR(Table1[[#This Row],[تاريخ الميلاد]])+60,MONTH(Table1[[#This Row],[تاريخ الميلاد]]),DAY(Table1[[#This Row],[تاريخ الميلاد]]))</f>
        <v>47090</v>
      </c>
      <c r="AD105" s="14">
        <f>DATE(YEAR(Table1[[#This Row],[معاش 01/01]])-1,MONTH(Table1[[#This Row],[تاريخ بلوغ 60 ]]),DAY(Table1[[#This Row],[تاريخ بلوغ 60 ]]))</f>
        <v>47090</v>
      </c>
      <c r="AE10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47455</v>
      </c>
      <c r="AF105" s="10" t="str">
        <f>IFERROR(IF(ISODD(MID(Table1[[#This Row],[الرقم القومي]],13,1)),"ذكر","انثي"),"")</f>
        <v>ذكر</v>
      </c>
      <c r="AG105" s="70" t="s">
        <v>2606</v>
      </c>
      <c r="AH105" s="3">
        <f>IF(MONTH(Table1[[#This Row],[تاريخ بلوغ 60 ]])&lt;&gt;1,1,0)</f>
        <v>1</v>
      </c>
      <c r="AI105" s="3">
        <f>IF(DAY(Table1[[#This Row],[تاريخ بلوغ 60 ]])&lt;&gt;1,1,0)</f>
        <v>1</v>
      </c>
      <c r="AJ105" s="4" t="s">
        <v>465</v>
      </c>
      <c r="AK105" s="4" t="s">
        <v>2636</v>
      </c>
      <c r="AL105" s="62" t="s">
        <v>1747</v>
      </c>
      <c r="AM105" s="62" t="s">
        <v>2728</v>
      </c>
      <c r="AN105" s="2">
        <v>1</v>
      </c>
      <c r="AO105" s="4" t="s">
        <v>2641</v>
      </c>
      <c r="AP105" s="74">
        <v>1439.92</v>
      </c>
      <c r="AQ105" s="4">
        <v>12.5</v>
      </c>
      <c r="AR105" s="4">
        <v>2</v>
      </c>
      <c r="AS105" s="4" t="s">
        <v>2696</v>
      </c>
      <c r="AT105" s="72">
        <v>4</v>
      </c>
      <c r="AU105" s="2">
        <v>2</v>
      </c>
      <c r="AV105" s="4"/>
      <c r="AW105" s="4"/>
      <c r="AX105" s="4"/>
    </row>
    <row r="106" spans="1:50" ht="15" x14ac:dyDescent="0.2">
      <c r="A106" s="3">
        <v>23455</v>
      </c>
      <c r="B106" s="1" t="s">
        <v>468</v>
      </c>
      <c r="C106" s="3">
        <v>1</v>
      </c>
      <c r="D106" s="3" t="s">
        <v>465</v>
      </c>
      <c r="E106" s="3">
        <v>21</v>
      </c>
      <c r="F106" s="3" t="s">
        <v>474</v>
      </c>
      <c r="G106" s="7" t="s">
        <v>67</v>
      </c>
      <c r="H106" s="3">
        <v>225</v>
      </c>
      <c r="I106" s="3" t="s">
        <v>1551</v>
      </c>
      <c r="J106" s="3">
        <v>18</v>
      </c>
      <c r="K106" s="3" t="s">
        <v>1529</v>
      </c>
      <c r="L106" s="3">
        <v>2</v>
      </c>
      <c r="M106" s="3" t="s">
        <v>493</v>
      </c>
      <c r="N106" s="3" t="s">
        <v>776</v>
      </c>
      <c r="O106" s="10">
        <v>25939</v>
      </c>
      <c r="P106" s="10">
        <v>32782</v>
      </c>
      <c r="Q106" s="10"/>
      <c r="R106" s="10">
        <v>44926</v>
      </c>
      <c r="S106" s="23">
        <v>11961.18</v>
      </c>
      <c r="T106" s="3">
        <v>35508484</v>
      </c>
      <c r="U106" s="3">
        <v>27101061100795</v>
      </c>
      <c r="V106" s="4" t="s">
        <v>1750</v>
      </c>
      <c r="W106" s="4"/>
      <c r="X106" s="4" t="s">
        <v>1583</v>
      </c>
      <c r="Z106" s="3">
        <f ca="1">DATEDIF(Table1[[#This Row],[تاريخ الميلاد]],TODAY(),"y")</f>
        <v>55</v>
      </c>
      <c r="AA10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55 عام 7  شهر  14  يوم </v>
      </c>
      <c r="AB10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36عام10  شهر  19  يوم </v>
      </c>
      <c r="AC106" s="10">
        <f>DATE(YEAR(Table1[[#This Row],[تاريخ الميلاد]])+60,MONTH(Table1[[#This Row],[تاريخ الميلاد]]),DAY(Table1[[#This Row],[تاريخ الميلاد]]))</f>
        <v>47854</v>
      </c>
      <c r="AD106" s="14">
        <f>DATE(YEAR(Table1[[#This Row],[معاش 01/01]])-1,MONTH(Table1[[#This Row],[تاريخ بلوغ 60 ]]),DAY(Table1[[#This Row],[تاريخ بلوغ 60 ]]))</f>
        <v>47854</v>
      </c>
      <c r="AE10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48219</v>
      </c>
      <c r="AF106" s="10" t="str">
        <f>IFERROR(IF(ISODD(MID(Table1[[#This Row],[الرقم القومي]],13,1)),"ذكر","انثي"),"")</f>
        <v>ذكر</v>
      </c>
      <c r="AG106" s="70" t="s">
        <v>2609</v>
      </c>
      <c r="AH106" s="3">
        <f>IF(MONTH(Table1[[#This Row],[تاريخ بلوغ 60 ]])&lt;&gt;1,1,0)</f>
        <v>0</v>
      </c>
      <c r="AI106" s="3">
        <f>IF(DAY(Table1[[#This Row],[تاريخ بلوغ 60 ]])&lt;&gt;1,1,0)</f>
        <v>1</v>
      </c>
      <c r="AJ106" s="4" t="s">
        <v>465</v>
      </c>
      <c r="AK106" s="4" t="s">
        <v>2730</v>
      </c>
      <c r="AL106" s="62" t="s">
        <v>1749</v>
      </c>
      <c r="AM106" s="62" t="s">
        <v>2729</v>
      </c>
      <c r="AN106" s="2">
        <v>4</v>
      </c>
      <c r="AO106" s="4" t="s">
        <v>2641</v>
      </c>
      <c r="AP106" s="74">
        <v>2000</v>
      </c>
      <c r="AQ106" s="4">
        <v>25</v>
      </c>
      <c r="AR106" s="4">
        <v>3</v>
      </c>
      <c r="AS106" s="4" t="s">
        <v>2668</v>
      </c>
      <c r="AT106" s="72">
        <v>6</v>
      </c>
      <c r="AU106" s="2">
        <v>2</v>
      </c>
      <c r="AV106" s="4"/>
      <c r="AW106" s="4"/>
      <c r="AX106" s="4"/>
    </row>
    <row r="107" spans="1:50" ht="15" x14ac:dyDescent="0.2">
      <c r="A107" s="3">
        <v>23465</v>
      </c>
      <c r="B107" s="1" t="s">
        <v>468</v>
      </c>
      <c r="C107" s="3">
        <v>1</v>
      </c>
      <c r="D107" s="3" t="s">
        <v>465</v>
      </c>
      <c r="E107" s="3">
        <v>21</v>
      </c>
      <c r="F107" s="3" t="s">
        <v>474</v>
      </c>
      <c r="G107" s="7" t="s">
        <v>68</v>
      </c>
      <c r="H107" s="3">
        <v>225</v>
      </c>
      <c r="I107" s="3" t="s">
        <v>1551</v>
      </c>
      <c r="J107" s="3">
        <v>18</v>
      </c>
      <c r="K107" s="3" t="s">
        <v>1529</v>
      </c>
      <c r="L107" s="3">
        <v>2</v>
      </c>
      <c r="M107" s="3" t="s">
        <v>493</v>
      </c>
      <c r="N107" s="3" t="s">
        <v>776</v>
      </c>
      <c r="O107" s="10">
        <v>25993</v>
      </c>
      <c r="P107" s="10">
        <v>32782</v>
      </c>
      <c r="Q107" s="10"/>
      <c r="R107" s="10">
        <v>44926</v>
      </c>
      <c r="S107" s="23">
        <v>11961.18</v>
      </c>
      <c r="T107" s="3">
        <v>35508740</v>
      </c>
      <c r="U107" s="3">
        <v>27103011100479</v>
      </c>
      <c r="V107" s="4" t="s">
        <v>1752</v>
      </c>
      <c r="W107" s="4"/>
      <c r="X107" s="4" t="s">
        <v>1583</v>
      </c>
      <c r="Z107" s="3">
        <f ca="1">DATEDIF(Table1[[#This Row],[تاريخ الميلاد]],TODAY(),"y")</f>
        <v>55</v>
      </c>
      <c r="AA10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55 عام 5  شهر  19  يوم </v>
      </c>
      <c r="AB10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36عام10  شهر  19  يوم </v>
      </c>
      <c r="AC107" s="10">
        <f>DATE(YEAR(Table1[[#This Row],[تاريخ الميلاد]])+60,MONTH(Table1[[#This Row],[تاريخ الميلاد]]),DAY(Table1[[#This Row],[تاريخ الميلاد]]))</f>
        <v>47908</v>
      </c>
      <c r="AD107" s="14">
        <f>DATE(YEAR(Table1[[#This Row],[معاش 01/01]])-1,MONTH(Table1[[#This Row],[تاريخ بلوغ 60 ]]),DAY(Table1[[#This Row],[تاريخ بلوغ 60 ]]))</f>
        <v>47908</v>
      </c>
      <c r="AE10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48274</v>
      </c>
      <c r="AF107" s="10" t="str">
        <f>IFERROR(IF(ISODD(MID(Table1[[#This Row],[الرقم القومي]],13,1)),"ذكر","انثي"),"")</f>
        <v>ذكر</v>
      </c>
      <c r="AG107" s="70" t="s">
        <v>2609</v>
      </c>
      <c r="AH107" s="3">
        <f>IF(MONTH(Table1[[#This Row],[تاريخ بلوغ 60 ]])&lt;&gt;1,1,0)</f>
        <v>1</v>
      </c>
      <c r="AI107" s="3">
        <f>IF(DAY(Table1[[#This Row],[تاريخ بلوغ 60 ]])&lt;&gt;1,1,0)</f>
        <v>0</v>
      </c>
      <c r="AJ107" s="4" t="s">
        <v>465</v>
      </c>
      <c r="AK107" s="4" t="s">
        <v>2730</v>
      </c>
      <c r="AL107" s="62" t="s">
        <v>1751</v>
      </c>
      <c r="AM107" s="62" t="s">
        <v>2731</v>
      </c>
      <c r="AN107" s="2">
        <v>1</v>
      </c>
      <c r="AO107" s="4" t="s">
        <v>2641</v>
      </c>
      <c r="AP107" s="74">
        <v>1419.99</v>
      </c>
      <c r="AQ107" s="4">
        <v>12.5</v>
      </c>
      <c r="AR107" s="4">
        <v>3</v>
      </c>
      <c r="AS107" s="4" t="s">
        <v>2668</v>
      </c>
      <c r="AT107" s="72">
        <v>6</v>
      </c>
      <c r="AU107" s="2">
        <v>2</v>
      </c>
      <c r="AV107" s="4"/>
      <c r="AW107" s="4"/>
      <c r="AX107" s="4"/>
    </row>
    <row r="108" spans="1:50" ht="15" x14ac:dyDescent="0.2">
      <c r="A108" s="3">
        <v>23467</v>
      </c>
      <c r="B108" s="1" t="s">
        <v>468</v>
      </c>
      <c r="C108" s="3">
        <v>1</v>
      </c>
      <c r="D108" s="3" t="s">
        <v>465</v>
      </c>
      <c r="E108" s="3">
        <v>21</v>
      </c>
      <c r="F108" s="3" t="s">
        <v>474</v>
      </c>
      <c r="G108" s="7" t="s">
        <v>69</v>
      </c>
      <c r="H108" s="3">
        <v>225</v>
      </c>
      <c r="I108" s="3" t="s">
        <v>1551</v>
      </c>
      <c r="J108" s="3">
        <v>18</v>
      </c>
      <c r="K108" s="3" t="s">
        <v>1529</v>
      </c>
      <c r="L108" s="3">
        <v>2</v>
      </c>
      <c r="M108" s="3" t="s">
        <v>493</v>
      </c>
      <c r="N108" s="3" t="s">
        <v>776</v>
      </c>
      <c r="O108" s="10">
        <v>25201</v>
      </c>
      <c r="P108" s="10">
        <v>32782</v>
      </c>
      <c r="Q108" s="10"/>
      <c r="R108" s="10">
        <v>45291</v>
      </c>
      <c r="S108" s="23">
        <v>11464.75</v>
      </c>
      <c r="T108" s="3">
        <v>35508757</v>
      </c>
      <c r="U108" s="3">
        <v>26812290300099</v>
      </c>
      <c r="V108" s="4" t="s">
        <v>1754</v>
      </c>
      <c r="W108" s="4"/>
      <c r="X108" s="4" t="s">
        <v>1583</v>
      </c>
      <c r="Z108" s="3">
        <f ca="1">DATEDIF(Table1[[#This Row],[تاريخ الميلاد]],TODAY(),"y")</f>
        <v>57</v>
      </c>
      <c r="AA10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57 عام 7  شهر  22  يوم </v>
      </c>
      <c r="AB10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36عام10  شهر  19  يوم </v>
      </c>
      <c r="AC108" s="10">
        <f>DATE(YEAR(Table1[[#This Row],[تاريخ الميلاد]])+60,MONTH(Table1[[#This Row],[تاريخ الميلاد]]),DAY(Table1[[#This Row],[تاريخ الميلاد]]))</f>
        <v>47116</v>
      </c>
      <c r="AD108" s="14">
        <f>DATE(YEAR(Table1[[#This Row],[معاش 01/01]])-1,MONTH(Table1[[#This Row],[تاريخ بلوغ 60 ]]),DAY(Table1[[#This Row],[تاريخ بلوغ 60 ]]))</f>
        <v>47116</v>
      </c>
      <c r="AE10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47481</v>
      </c>
      <c r="AF108" s="10" t="str">
        <f>IFERROR(IF(ISODD(MID(Table1[[#This Row],[الرقم القومي]],13,1)),"ذكر","انثي"),"")</f>
        <v>ذكر</v>
      </c>
      <c r="AG108" s="70" t="s">
        <v>2606</v>
      </c>
      <c r="AH108" s="3">
        <f>IF(MONTH(Table1[[#This Row],[تاريخ بلوغ 60 ]])&lt;&gt;1,1,0)</f>
        <v>1</v>
      </c>
      <c r="AI108" s="3">
        <f>IF(DAY(Table1[[#This Row],[تاريخ بلوغ 60 ]])&lt;&gt;1,1,0)</f>
        <v>1</v>
      </c>
      <c r="AJ108" s="4" t="s">
        <v>465</v>
      </c>
      <c r="AK108" s="4" t="s">
        <v>2730</v>
      </c>
      <c r="AL108" s="62" t="s">
        <v>1753</v>
      </c>
      <c r="AM108" s="62" t="s">
        <v>2732</v>
      </c>
      <c r="AN108" s="2">
        <v>4</v>
      </c>
      <c r="AO108" s="4" t="s">
        <v>2641</v>
      </c>
      <c r="AP108" s="74">
        <v>2000</v>
      </c>
      <c r="AQ108" s="4">
        <v>25</v>
      </c>
      <c r="AR108" s="4">
        <v>3</v>
      </c>
      <c r="AS108" s="4" t="s">
        <v>2668</v>
      </c>
      <c r="AT108" s="72">
        <v>6</v>
      </c>
      <c r="AU108" s="2">
        <v>2</v>
      </c>
      <c r="AV108" s="4"/>
      <c r="AW108" s="4"/>
      <c r="AX108" s="4"/>
    </row>
    <row r="109" spans="1:50" ht="15" x14ac:dyDescent="0.2">
      <c r="A109" s="3">
        <v>23675</v>
      </c>
      <c r="B109" s="1" t="s">
        <v>468</v>
      </c>
      <c r="C109" s="3">
        <v>1</v>
      </c>
      <c r="D109" s="3" t="s">
        <v>465</v>
      </c>
      <c r="E109" s="3">
        <v>21</v>
      </c>
      <c r="F109" s="3" t="s">
        <v>474</v>
      </c>
      <c r="G109" s="7" t="s">
        <v>70</v>
      </c>
      <c r="H109" s="3">
        <v>225</v>
      </c>
      <c r="I109" s="3" t="s">
        <v>1551</v>
      </c>
      <c r="J109" s="3">
        <v>18</v>
      </c>
      <c r="K109" s="3" t="s">
        <v>1529</v>
      </c>
      <c r="L109" s="3">
        <v>2</v>
      </c>
      <c r="M109" s="3" t="s">
        <v>493</v>
      </c>
      <c r="N109" s="3" t="s">
        <v>776</v>
      </c>
      <c r="O109" s="10">
        <v>25675</v>
      </c>
      <c r="P109" s="10">
        <v>33147</v>
      </c>
      <c r="Q109" s="10"/>
      <c r="R109" s="10">
        <v>44926</v>
      </c>
      <c r="S109" s="23">
        <v>11736.27</v>
      </c>
      <c r="T109" s="3">
        <v>45587680</v>
      </c>
      <c r="U109" s="3">
        <v>27004171400772</v>
      </c>
      <c r="V109" s="4" t="s">
        <v>1756</v>
      </c>
      <c r="W109" s="4"/>
      <c r="X109" s="4" t="s">
        <v>1583</v>
      </c>
      <c r="Z109" s="3">
        <f ca="1">DATEDIF(Table1[[#This Row],[تاريخ الميلاد]],TODAY(),"y")</f>
        <v>56</v>
      </c>
      <c r="AA10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56 عام 4  شهر  3  يوم </v>
      </c>
      <c r="AB10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35عام10  شهر  19  يوم </v>
      </c>
      <c r="AC109" s="10">
        <f>DATE(YEAR(Table1[[#This Row],[تاريخ الميلاد]])+60,MONTH(Table1[[#This Row],[تاريخ الميلاد]]),DAY(Table1[[#This Row],[تاريخ الميلاد]]))</f>
        <v>47590</v>
      </c>
      <c r="AD109" s="14">
        <f>DATE(YEAR(Table1[[#This Row],[معاش 01/01]])-1,MONTH(Table1[[#This Row],[تاريخ بلوغ 60 ]]),DAY(Table1[[#This Row],[تاريخ بلوغ 60 ]]))</f>
        <v>47590</v>
      </c>
      <c r="AE10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47955</v>
      </c>
      <c r="AF109" s="10" t="str">
        <f>IFERROR(IF(ISODD(MID(Table1[[#This Row],[الرقم القومي]],13,1)),"ذكر","انثي"),"")</f>
        <v>ذكر</v>
      </c>
      <c r="AG109" s="70" t="s">
        <v>2611</v>
      </c>
      <c r="AH109" s="3">
        <f>IF(MONTH(Table1[[#This Row],[تاريخ بلوغ 60 ]])&lt;&gt;1,1,0)</f>
        <v>1</v>
      </c>
      <c r="AI109" s="3">
        <f>IF(DAY(Table1[[#This Row],[تاريخ بلوغ 60 ]])&lt;&gt;1,1,0)</f>
        <v>1</v>
      </c>
      <c r="AJ109" s="4" t="s">
        <v>465</v>
      </c>
      <c r="AK109" s="4" t="s">
        <v>2730</v>
      </c>
      <c r="AL109" s="62" t="s">
        <v>1755</v>
      </c>
      <c r="AM109" s="62" t="s">
        <v>2733</v>
      </c>
      <c r="AN109" s="2">
        <v>4</v>
      </c>
      <c r="AO109" s="4" t="s">
        <v>2641</v>
      </c>
      <c r="AP109" s="74">
        <v>2000</v>
      </c>
      <c r="AQ109" s="4">
        <v>25</v>
      </c>
      <c r="AR109" s="4">
        <v>3</v>
      </c>
      <c r="AS109" s="4" t="s">
        <v>2668</v>
      </c>
      <c r="AT109" s="72">
        <v>6</v>
      </c>
      <c r="AU109" s="2">
        <v>2</v>
      </c>
      <c r="AV109" s="4"/>
      <c r="AW109" s="4"/>
      <c r="AX109" s="4"/>
    </row>
    <row r="110" spans="1:50" ht="15" x14ac:dyDescent="0.2">
      <c r="A110" s="3">
        <v>23727</v>
      </c>
      <c r="B110" s="1" t="s">
        <v>468</v>
      </c>
      <c r="C110" s="3">
        <v>1</v>
      </c>
      <c r="D110" s="3" t="s">
        <v>465</v>
      </c>
      <c r="E110" s="3">
        <v>21</v>
      </c>
      <c r="F110" s="3" t="s">
        <v>474</v>
      </c>
      <c r="G110" s="7" t="s">
        <v>72</v>
      </c>
      <c r="H110" s="3">
        <v>226</v>
      </c>
      <c r="I110" s="3" t="s">
        <v>1557</v>
      </c>
      <c r="J110" s="3">
        <v>18</v>
      </c>
      <c r="K110" s="3" t="s">
        <v>1529</v>
      </c>
      <c r="L110" s="3">
        <v>2</v>
      </c>
      <c r="M110" s="3" t="s">
        <v>493</v>
      </c>
      <c r="N110" s="3" t="s">
        <v>1563</v>
      </c>
      <c r="O110" s="10">
        <v>26213</v>
      </c>
      <c r="P110" s="10">
        <v>33147</v>
      </c>
      <c r="Q110" s="10"/>
      <c r="R110" s="10">
        <v>46022</v>
      </c>
      <c r="S110" s="23">
        <v>11870.1</v>
      </c>
      <c r="T110" s="3">
        <v>41179398</v>
      </c>
      <c r="U110" s="3">
        <v>27110070300038</v>
      </c>
      <c r="V110" s="4" t="s">
        <v>1759</v>
      </c>
      <c r="W110" s="4"/>
      <c r="X110" s="4" t="s">
        <v>1583</v>
      </c>
      <c r="Z110" s="3">
        <f ca="1">DATEDIF(Table1[[#This Row],[تاريخ الميلاد]],TODAY(),"y")</f>
        <v>54</v>
      </c>
      <c r="AA11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54 عام 10  شهر  13  يوم </v>
      </c>
      <c r="AB11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35عام10  شهر  19  يوم </v>
      </c>
      <c r="AC110" s="10">
        <f>DATE(YEAR(Table1[[#This Row],[تاريخ الميلاد]])+60,MONTH(Table1[[#This Row],[تاريخ الميلاد]]),DAY(Table1[[#This Row],[تاريخ الميلاد]]))</f>
        <v>48128</v>
      </c>
      <c r="AD110" s="14">
        <f>DATE(YEAR(Table1[[#This Row],[معاش 01/01]])-1,MONTH(Table1[[#This Row],[تاريخ بلوغ 60 ]]),DAY(Table1[[#This Row],[تاريخ بلوغ 60 ]]))</f>
        <v>48128</v>
      </c>
      <c r="AE11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48494</v>
      </c>
      <c r="AF110" s="10" t="str">
        <f>IFERROR(IF(ISODD(MID(Table1[[#This Row],[الرقم القومي]],13,1)),"ذكر","انثي"),"")</f>
        <v>ذكر</v>
      </c>
      <c r="AG110" s="70" t="s">
        <v>2606</v>
      </c>
      <c r="AH110" s="3">
        <f>IF(MONTH(Table1[[#This Row],[تاريخ بلوغ 60 ]])&lt;&gt;1,1,0)</f>
        <v>1</v>
      </c>
      <c r="AI110" s="3">
        <f>IF(DAY(Table1[[#This Row],[تاريخ بلوغ 60 ]])&lt;&gt;1,1,0)</f>
        <v>1</v>
      </c>
      <c r="AJ110" s="4" t="s">
        <v>465</v>
      </c>
      <c r="AK110" s="4" t="s">
        <v>2730</v>
      </c>
      <c r="AL110" s="62" t="s">
        <v>1758</v>
      </c>
      <c r="AM110" s="62" t="s">
        <v>2736</v>
      </c>
      <c r="AN110" s="2">
        <v>1</v>
      </c>
      <c r="AO110" s="4" t="s">
        <v>2641</v>
      </c>
      <c r="AP110" s="74">
        <v>1412.97</v>
      </c>
      <c r="AQ110" s="4">
        <v>12.5</v>
      </c>
      <c r="AR110" s="4">
        <v>3</v>
      </c>
      <c r="AS110" s="4" t="s">
        <v>2668</v>
      </c>
      <c r="AT110" s="72">
        <v>6</v>
      </c>
      <c r="AU110" s="2">
        <v>2</v>
      </c>
      <c r="AV110" s="4"/>
      <c r="AW110" s="4"/>
      <c r="AX110" s="4"/>
    </row>
    <row r="111" spans="1:50" ht="15" x14ac:dyDescent="0.2">
      <c r="A111" s="3">
        <v>23824</v>
      </c>
      <c r="B111" s="1" t="s">
        <v>468</v>
      </c>
      <c r="C111" s="3">
        <v>1</v>
      </c>
      <c r="D111" s="3" t="s">
        <v>465</v>
      </c>
      <c r="E111" s="3">
        <v>3</v>
      </c>
      <c r="F111" s="3" t="s">
        <v>472</v>
      </c>
      <c r="G111" s="7" t="s">
        <v>1761</v>
      </c>
      <c r="H111" s="3">
        <v>104</v>
      </c>
      <c r="I111" s="3" t="s">
        <v>1083</v>
      </c>
      <c r="J111" s="3">
        <v>18</v>
      </c>
      <c r="K111" s="3" t="s">
        <v>1529</v>
      </c>
      <c r="L111" s="3">
        <v>2</v>
      </c>
      <c r="M111" s="3" t="s">
        <v>493</v>
      </c>
      <c r="N111" s="3" t="s">
        <v>1084</v>
      </c>
      <c r="O111" s="10">
        <v>26207</v>
      </c>
      <c r="P111" s="10">
        <v>33178</v>
      </c>
      <c r="Q111" s="10"/>
      <c r="R111" s="10">
        <v>45291</v>
      </c>
      <c r="S111" s="23">
        <v>11722.93</v>
      </c>
      <c r="T111" s="3">
        <v>44757047</v>
      </c>
      <c r="U111" s="3">
        <v>27110010200441</v>
      </c>
      <c r="V111" s="4" t="s">
        <v>1763</v>
      </c>
      <c r="W111" s="4"/>
      <c r="X111" s="4" t="s">
        <v>1583</v>
      </c>
      <c r="Y111" s="4">
        <v>1990</v>
      </c>
      <c r="Z111" s="3">
        <f ca="1">DATEDIF(Table1[[#This Row],[تاريخ الميلاد]],TODAY(),"y")</f>
        <v>54</v>
      </c>
      <c r="AA11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54 عام 10  شهر  19  يوم </v>
      </c>
      <c r="AB11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35عام9  شهر  19  يوم </v>
      </c>
      <c r="AC111" s="10">
        <f>DATE(YEAR(Table1[[#This Row],[تاريخ الميلاد]])+60,MONTH(Table1[[#This Row],[تاريخ الميلاد]]),DAY(Table1[[#This Row],[تاريخ الميلاد]]))</f>
        <v>48122</v>
      </c>
      <c r="AD111" s="14">
        <f>DATE(YEAR(Table1[[#This Row],[معاش 01/01]])-1,MONTH(Table1[[#This Row],[تاريخ بلوغ 60 ]]),DAY(Table1[[#This Row],[تاريخ بلوغ 60 ]]))</f>
        <v>48122</v>
      </c>
      <c r="AE11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48488</v>
      </c>
      <c r="AF111" s="10" t="str">
        <f>IFERROR(IF(ISODD(MID(Table1[[#This Row],[الرقم القومي]],13,1)),"ذكر","انثي"),"")</f>
        <v>انثي</v>
      </c>
      <c r="AG111" s="70" t="s">
        <v>2605</v>
      </c>
      <c r="AH111" s="3">
        <f>IF(MONTH(Table1[[#This Row],[تاريخ بلوغ 60 ]])&lt;&gt;1,1,0)</f>
        <v>1</v>
      </c>
      <c r="AI111" s="3">
        <f>IF(DAY(Table1[[#This Row],[تاريخ بلوغ 60 ]])&lt;&gt;1,1,0)</f>
        <v>0</v>
      </c>
      <c r="AJ111" s="4" t="s">
        <v>465</v>
      </c>
      <c r="AK111" s="4">
        <v>0</v>
      </c>
      <c r="AL111" s="62" t="s">
        <v>1762</v>
      </c>
      <c r="AM111" s="62" t="s">
        <v>2739</v>
      </c>
      <c r="AN111" s="2">
        <v>3</v>
      </c>
      <c r="AO111" s="4" t="s">
        <v>2641</v>
      </c>
      <c r="AP111" s="74">
        <v>2000</v>
      </c>
      <c r="AQ111" s="4">
        <v>18.75</v>
      </c>
      <c r="AR111" s="4">
        <v>1</v>
      </c>
      <c r="AS111" s="4" t="s">
        <v>2635</v>
      </c>
      <c r="AT111" s="72">
        <v>2</v>
      </c>
      <c r="AU111" s="2">
        <v>2</v>
      </c>
      <c r="AV111" s="4"/>
      <c r="AW111" s="4"/>
      <c r="AX111" s="4"/>
    </row>
    <row r="112" spans="1:50" ht="15" x14ac:dyDescent="0.2">
      <c r="A112" s="3">
        <v>23863</v>
      </c>
      <c r="B112" s="1" t="s">
        <v>468</v>
      </c>
      <c r="C112" s="3">
        <v>1</v>
      </c>
      <c r="D112" s="3" t="s">
        <v>465</v>
      </c>
      <c r="E112" s="3">
        <v>3</v>
      </c>
      <c r="F112" s="3" t="s">
        <v>472</v>
      </c>
      <c r="G112" s="7" t="s">
        <v>74</v>
      </c>
      <c r="H112" s="3">
        <v>105</v>
      </c>
      <c r="I112" s="3" t="s">
        <v>1091</v>
      </c>
      <c r="J112" s="3">
        <v>18</v>
      </c>
      <c r="K112" s="3" t="s">
        <v>1529</v>
      </c>
      <c r="L112" s="3">
        <v>2</v>
      </c>
      <c r="M112" s="3" t="s">
        <v>493</v>
      </c>
      <c r="N112" s="3" t="s">
        <v>1092</v>
      </c>
      <c r="O112" s="10">
        <v>25077</v>
      </c>
      <c r="P112" s="10">
        <v>33362</v>
      </c>
      <c r="Q112" s="10"/>
      <c r="R112" s="10">
        <v>45291</v>
      </c>
      <c r="S112" s="23">
        <v>11921.6</v>
      </c>
      <c r="T112" s="3">
        <v>45059533</v>
      </c>
      <c r="U112" s="3">
        <v>26808270300125</v>
      </c>
      <c r="V112" s="4" t="s">
        <v>1765</v>
      </c>
      <c r="W112" s="4"/>
      <c r="X112" s="4" t="s">
        <v>1583</v>
      </c>
      <c r="Y112" s="4">
        <v>1985</v>
      </c>
      <c r="Z112" s="3">
        <f ca="1">DATEDIF(Table1[[#This Row],[تاريخ الميلاد]],TODAY(),"y")</f>
        <v>57</v>
      </c>
      <c r="AA11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57 عام 11  شهر  24  يوم </v>
      </c>
      <c r="AB11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35عام3  شهر  16  يوم </v>
      </c>
      <c r="AC112" s="10">
        <f>DATE(YEAR(Table1[[#This Row],[تاريخ الميلاد]])+60,MONTH(Table1[[#This Row],[تاريخ الميلاد]]),DAY(Table1[[#This Row],[تاريخ الميلاد]]))</f>
        <v>46992</v>
      </c>
      <c r="AD112" s="14">
        <f>DATE(YEAR(Table1[[#This Row],[معاش 01/01]])-1,MONTH(Table1[[#This Row],[تاريخ بلوغ 60 ]]),DAY(Table1[[#This Row],[تاريخ بلوغ 60 ]]))</f>
        <v>46992</v>
      </c>
      <c r="AE11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47357</v>
      </c>
      <c r="AF112" s="10" t="str">
        <f>IFERROR(IF(ISODD(MID(Table1[[#This Row],[الرقم القومي]],13,1)),"ذكر","انثي"),"")</f>
        <v>انثي</v>
      </c>
      <c r="AG112" s="70" t="s">
        <v>2606</v>
      </c>
      <c r="AH112" s="3">
        <f>IF(MONTH(Table1[[#This Row],[تاريخ بلوغ 60 ]])&lt;&gt;1,1,0)</f>
        <v>1</v>
      </c>
      <c r="AI112" s="3">
        <f>IF(DAY(Table1[[#This Row],[تاريخ بلوغ 60 ]])&lt;&gt;1,1,0)</f>
        <v>1</v>
      </c>
      <c r="AJ112" s="4" t="s">
        <v>465</v>
      </c>
      <c r="AK112" s="4" t="s">
        <v>2636</v>
      </c>
      <c r="AL112" s="62" t="s">
        <v>1764</v>
      </c>
      <c r="AM112" s="62" t="s">
        <v>2740</v>
      </c>
      <c r="AN112" s="2">
        <v>2</v>
      </c>
      <c r="AO112" s="4" t="s">
        <v>2641</v>
      </c>
      <c r="AP112" s="74">
        <v>1698.29</v>
      </c>
      <c r="AQ112" s="4">
        <v>15</v>
      </c>
      <c r="AR112" s="4">
        <v>1</v>
      </c>
      <c r="AS112" s="4" t="s">
        <v>2635</v>
      </c>
      <c r="AT112" s="72">
        <v>2</v>
      </c>
      <c r="AU112" s="2">
        <v>2</v>
      </c>
      <c r="AV112" s="4"/>
      <c r="AW112" s="4"/>
      <c r="AX112" s="4"/>
    </row>
    <row r="113" spans="1:50" ht="15" x14ac:dyDescent="0.2">
      <c r="A113" s="3">
        <v>23868</v>
      </c>
      <c r="B113" s="1" t="s">
        <v>468</v>
      </c>
      <c r="C113" s="3">
        <v>1</v>
      </c>
      <c r="D113" s="3" t="s">
        <v>465</v>
      </c>
      <c r="E113" s="3">
        <v>3</v>
      </c>
      <c r="F113" s="3" t="s">
        <v>472</v>
      </c>
      <c r="G113" s="7" t="s">
        <v>76</v>
      </c>
      <c r="H113" s="3">
        <v>105</v>
      </c>
      <c r="I113" s="3" t="s">
        <v>1091</v>
      </c>
      <c r="J113" s="3">
        <v>18</v>
      </c>
      <c r="K113" s="3" t="s">
        <v>1529</v>
      </c>
      <c r="L113" s="3">
        <v>2</v>
      </c>
      <c r="M113" s="3" t="s">
        <v>493</v>
      </c>
      <c r="N113" s="3" t="s">
        <v>1092</v>
      </c>
      <c r="O113" s="10">
        <v>24665</v>
      </c>
      <c r="P113" s="10">
        <v>33362</v>
      </c>
      <c r="Q113" s="10"/>
      <c r="R113" s="10">
        <v>45291</v>
      </c>
      <c r="S113" s="23">
        <v>12037.41</v>
      </c>
      <c r="T113" s="3">
        <v>45059475</v>
      </c>
      <c r="U113" s="3">
        <v>26707120300045</v>
      </c>
      <c r="V113" s="4" t="s">
        <v>1768</v>
      </c>
      <c r="W113" s="4"/>
      <c r="X113" s="4" t="s">
        <v>1583</v>
      </c>
      <c r="Y113" s="4">
        <v>1985</v>
      </c>
      <c r="Z113" s="3">
        <f ca="1">DATEDIF(Table1[[#This Row],[تاريخ الميلاد]],TODAY(),"y")</f>
        <v>59</v>
      </c>
      <c r="AA11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59 عام 1  شهر  8  يوم </v>
      </c>
      <c r="AB11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35عام3  شهر  16  يوم </v>
      </c>
      <c r="AC113" s="10">
        <f>DATE(YEAR(Table1[[#This Row],[تاريخ الميلاد]])+60,MONTH(Table1[[#This Row],[تاريخ الميلاد]]),DAY(Table1[[#This Row],[تاريخ الميلاد]]))</f>
        <v>46580</v>
      </c>
      <c r="AD113" s="14">
        <f>DATE(YEAR(Table1[[#This Row],[معاش 01/01]])-1,MONTH(Table1[[#This Row],[تاريخ بلوغ 60 ]]),DAY(Table1[[#This Row],[تاريخ بلوغ 60 ]]))</f>
        <v>46580</v>
      </c>
      <c r="AE11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46946</v>
      </c>
      <c r="AF113" s="10" t="str">
        <f>IFERROR(IF(ISODD(MID(Table1[[#This Row],[الرقم القومي]],13,1)),"ذكر","انثي"),"")</f>
        <v>انثي</v>
      </c>
      <c r="AG113" s="70" t="s">
        <v>2606</v>
      </c>
      <c r="AH113" s="3">
        <f>IF(MONTH(Table1[[#This Row],[تاريخ بلوغ 60 ]])&lt;&gt;1,1,0)</f>
        <v>1</v>
      </c>
      <c r="AI113" s="3">
        <f>IF(DAY(Table1[[#This Row],[تاريخ بلوغ 60 ]])&lt;&gt;1,1,0)</f>
        <v>1</v>
      </c>
      <c r="AJ113" s="4" t="s">
        <v>465</v>
      </c>
      <c r="AK113" s="4" t="s">
        <v>2636</v>
      </c>
      <c r="AL113" s="62" t="s">
        <v>1767</v>
      </c>
      <c r="AM113" s="62" t="s">
        <v>2743</v>
      </c>
      <c r="AN113" s="2">
        <v>2</v>
      </c>
      <c r="AO113" s="4" t="s">
        <v>2641</v>
      </c>
      <c r="AP113" s="74">
        <v>1714.97</v>
      </c>
      <c r="AQ113" s="4">
        <v>15</v>
      </c>
      <c r="AR113" s="4">
        <v>1</v>
      </c>
      <c r="AS113" s="4" t="s">
        <v>2635</v>
      </c>
      <c r="AT113" s="72">
        <v>2</v>
      </c>
      <c r="AU113" s="2">
        <v>2</v>
      </c>
      <c r="AV113" s="4"/>
      <c r="AW113" s="4"/>
      <c r="AX113" s="4"/>
    </row>
    <row r="114" spans="1:50" ht="15" x14ac:dyDescent="0.2">
      <c r="A114" s="3">
        <v>23870</v>
      </c>
      <c r="B114" s="1" t="s">
        <v>468</v>
      </c>
      <c r="C114" s="3">
        <v>1</v>
      </c>
      <c r="D114" s="3" t="s">
        <v>465</v>
      </c>
      <c r="E114" s="3">
        <v>3</v>
      </c>
      <c r="F114" s="3" t="s">
        <v>472</v>
      </c>
      <c r="G114" s="7" t="s">
        <v>1769</v>
      </c>
      <c r="H114" s="3">
        <v>105</v>
      </c>
      <c r="I114" s="3" t="s">
        <v>1091</v>
      </c>
      <c r="J114" s="3">
        <v>18</v>
      </c>
      <c r="K114" s="3" t="s">
        <v>1529</v>
      </c>
      <c r="L114" s="3">
        <v>2</v>
      </c>
      <c r="M114" s="3" t="s">
        <v>493</v>
      </c>
      <c r="N114" s="3" t="s">
        <v>1092</v>
      </c>
      <c r="O114" s="10">
        <v>25359</v>
      </c>
      <c r="P114" s="10">
        <v>33362</v>
      </c>
      <c r="Q114" s="10"/>
      <c r="R114" s="10">
        <v>45291</v>
      </c>
      <c r="S114" s="23">
        <v>11719.13</v>
      </c>
      <c r="T114" s="3">
        <v>5893699</v>
      </c>
      <c r="U114" s="3">
        <v>26906052102101</v>
      </c>
      <c r="V114" s="4" t="s">
        <v>1771</v>
      </c>
      <c r="W114" s="4"/>
      <c r="X114" s="4" t="s">
        <v>1583</v>
      </c>
      <c r="Y114" s="4">
        <v>1987</v>
      </c>
      <c r="Z114" s="3">
        <f ca="1">DATEDIF(Table1[[#This Row],[تاريخ الميلاد]],TODAY(),"y")</f>
        <v>57</v>
      </c>
      <c r="AA11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57 عام 2  شهر  15  يوم </v>
      </c>
      <c r="AB11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35عام3  شهر  16  يوم </v>
      </c>
      <c r="AC114" s="10">
        <f>DATE(YEAR(Table1[[#This Row],[تاريخ الميلاد]])+60,MONTH(Table1[[#This Row],[تاريخ الميلاد]]),DAY(Table1[[#This Row],[تاريخ الميلاد]]))</f>
        <v>47274</v>
      </c>
      <c r="AD114" s="14">
        <f>DATE(YEAR(Table1[[#This Row],[معاش 01/01]])-1,MONTH(Table1[[#This Row],[تاريخ بلوغ 60 ]]),DAY(Table1[[#This Row],[تاريخ بلوغ 60 ]]))</f>
        <v>47274</v>
      </c>
      <c r="AE11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47639</v>
      </c>
      <c r="AF114" s="10" t="str">
        <f>IFERROR(IF(ISODD(MID(Table1[[#This Row],[الرقم القومي]],13,1)),"ذكر","انثي"),"")</f>
        <v>انثي</v>
      </c>
      <c r="AG114" s="70" t="s">
        <v>2617</v>
      </c>
      <c r="AH114" s="3">
        <f>IF(MONTH(Table1[[#This Row],[تاريخ بلوغ 60 ]])&lt;&gt;1,1,0)</f>
        <v>1</v>
      </c>
      <c r="AI114" s="3">
        <f>IF(DAY(Table1[[#This Row],[تاريخ بلوغ 60 ]])&lt;&gt;1,1,0)</f>
        <v>1</v>
      </c>
      <c r="AJ114" s="4" t="s">
        <v>465</v>
      </c>
      <c r="AK114" s="4" t="s">
        <v>2638</v>
      </c>
      <c r="AL114" s="62" t="s">
        <v>1770</v>
      </c>
      <c r="AM114" s="62" t="s">
        <v>2744</v>
      </c>
      <c r="AN114" s="2">
        <v>2</v>
      </c>
      <c r="AO114" s="4" t="s">
        <v>2641</v>
      </c>
      <c r="AP114" s="74">
        <v>1669.15</v>
      </c>
      <c r="AQ114" s="4">
        <v>15</v>
      </c>
      <c r="AR114" s="4">
        <v>1</v>
      </c>
      <c r="AS114" s="4" t="s">
        <v>2635</v>
      </c>
      <c r="AT114" s="72">
        <v>2</v>
      </c>
      <c r="AU114" s="2">
        <v>2</v>
      </c>
      <c r="AV114" s="4"/>
      <c r="AW114" s="4"/>
      <c r="AX114" s="4"/>
    </row>
    <row r="115" spans="1:50" ht="15" x14ac:dyDescent="0.2">
      <c r="A115" s="3">
        <v>23875</v>
      </c>
      <c r="B115" s="1" t="s">
        <v>468</v>
      </c>
      <c r="C115" s="3">
        <v>1</v>
      </c>
      <c r="D115" s="3" t="s">
        <v>465</v>
      </c>
      <c r="E115" s="3">
        <v>3</v>
      </c>
      <c r="F115" s="3" t="s">
        <v>472</v>
      </c>
      <c r="G115" s="7" t="s">
        <v>77</v>
      </c>
      <c r="H115" s="3">
        <v>105</v>
      </c>
      <c r="I115" s="3" t="s">
        <v>1091</v>
      </c>
      <c r="J115" s="3">
        <v>18</v>
      </c>
      <c r="K115" s="3" t="s">
        <v>1529</v>
      </c>
      <c r="L115" s="3">
        <v>2</v>
      </c>
      <c r="M115" s="3" t="s">
        <v>493</v>
      </c>
      <c r="N115" s="3" t="s">
        <v>1092</v>
      </c>
      <c r="O115" s="10">
        <v>25250</v>
      </c>
      <c r="P115" s="10">
        <v>33362</v>
      </c>
      <c r="Q115" s="10"/>
      <c r="R115" s="10">
        <v>45291</v>
      </c>
      <c r="S115" s="23">
        <v>11719.13</v>
      </c>
      <c r="T115" s="3">
        <v>5916751</v>
      </c>
      <c r="U115" s="3">
        <v>26902160300282</v>
      </c>
      <c r="V115" s="4" t="s">
        <v>1773</v>
      </c>
      <c r="W115" s="4"/>
      <c r="X115" s="4" t="s">
        <v>1583</v>
      </c>
      <c r="Y115" s="4">
        <v>1988</v>
      </c>
      <c r="Z115" s="3">
        <f ca="1">DATEDIF(Table1[[#This Row],[تاريخ الميلاد]],TODAY(),"y")</f>
        <v>57</v>
      </c>
      <c r="AA11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57 عام 6  شهر  4  يوم </v>
      </c>
      <c r="AB11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35عام3  شهر  16  يوم </v>
      </c>
      <c r="AC115" s="10">
        <f>DATE(YEAR(Table1[[#This Row],[تاريخ الميلاد]])+60,MONTH(Table1[[#This Row],[تاريخ الميلاد]]),DAY(Table1[[#This Row],[تاريخ الميلاد]]))</f>
        <v>47165</v>
      </c>
      <c r="AD115" s="14">
        <f>DATE(YEAR(Table1[[#This Row],[معاش 01/01]])-1,MONTH(Table1[[#This Row],[تاريخ بلوغ 60 ]]),DAY(Table1[[#This Row],[تاريخ بلوغ 60 ]]))</f>
        <v>47165</v>
      </c>
      <c r="AE11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47530</v>
      </c>
      <c r="AF115" s="10" t="str">
        <f>IFERROR(IF(ISODD(MID(Table1[[#This Row],[الرقم القومي]],13,1)),"ذكر","انثي"),"")</f>
        <v>انثي</v>
      </c>
      <c r="AG115" s="70" t="s">
        <v>2606</v>
      </c>
      <c r="AH115" s="3">
        <f>IF(MONTH(Table1[[#This Row],[تاريخ بلوغ 60 ]])&lt;&gt;1,1,0)</f>
        <v>1</v>
      </c>
      <c r="AI115" s="3">
        <f>IF(DAY(Table1[[#This Row],[تاريخ بلوغ 60 ]])&lt;&gt;1,1,0)</f>
        <v>1</v>
      </c>
      <c r="AJ115" s="4" t="s">
        <v>465</v>
      </c>
      <c r="AK115" s="4" t="s">
        <v>2636</v>
      </c>
      <c r="AL115" s="4" t="s">
        <v>1772</v>
      </c>
      <c r="AM115" s="62" t="s">
        <v>2745</v>
      </c>
      <c r="AN115" s="2">
        <v>2</v>
      </c>
      <c r="AO115" s="4" t="s">
        <v>2641</v>
      </c>
      <c r="AP115" s="74">
        <v>1669.15</v>
      </c>
      <c r="AQ115" s="4">
        <v>15</v>
      </c>
      <c r="AR115" s="4">
        <v>1</v>
      </c>
      <c r="AS115" s="4" t="s">
        <v>2635</v>
      </c>
      <c r="AT115" s="72">
        <v>2</v>
      </c>
      <c r="AU115" s="2">
        <v>2</v>
      </c>
      <c r="AV115" s="4"/>
      <c r="AW115" s="4"/>
      <c r="AX115" s="4"/>
    </row>
    <row r="116" spans="1:50" ht="15" x14ac:dyDescent="0.2">
      <c r="A116" s="3">
        <v>24131</v>
      </c>
      <c r="B116" s="1" t="s">
        <v>468</v>
      </c>
      <c r="C116" s="3">
        <v>1</v>
      </c>
      <c r="D116" s="3" t="s">
        <v>465</v>
      </c>
      <c r="E116" s="3">
        <v>21</v>
      </c>
      <c r="F116" s="3" t="s">
        <v>474</v>
      </c>
      <c r="G116" s="7" t="s">
        <v>78</v>
      </c>
      <c r="H116" s="3">
        <v>99</v>
      </c>
      <c r="I116" s="3" t="s">
        <v>1047</v>
      </c>
      <c r="J116" s="3">
        <v>18</v>
      </c>
      <c r="K116" s="3" t="s">
        <v>1529</v>
      </c>
      <c r="L116" s="3">
        <v>5</v>
      </c>
      <c r="M116" s="3" t="s">
        <v>500</v>
      </c>
      <c r="N116" s="3" t="s">
        <v>1051</v>
      </c>
      <c r="O116" s="10">
        <v>24268</v>
      </c>
      <c r="P116" s="10">
        <v>33420</v>
      </c>
      <c r="Q116" s="10"/>
      <c r="R116" s="10">
        <v>44561</v>
      </c>
      <c r="S116" s="23">
        <v>7902.12</v>
      </c>
      <c r="T116" s="3">
        <v>41005155</v>
      </c>
      <c r="U116" s="3">
        <v>26606100300072</v>
      </c>
      <c r="V116" s="4" t="s">
        <v>1775</v>
      </c>
      <c r="W116" s="4"/>
      <c r="X116" s="4" t="s">
        <v>1583</v>
      </c>
      <c r="Z116" s="3">
        <f ca="1">DATEDIF(Table1[[#This Row],[تاريخ الميلاد]],TODAY(),"y")</f>
        <v>60</v>
      </c>
      <c r="AA11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60 عام 2  شهر  10  يوم </v>
      </c>
      <c r="AB11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35عام1  شهر  19  يوم </v>
      </c>
      <c r="AC116" s="10">
        <f>DATE(YEAR(Table1[[#This Row],[تاريخ الميلاد]])+60,MONTH(Table1[[#This Row],[تاريخ الميلاد]]),DAY(Table1[[#This Row],[تاريخ الميلاد]]))</f>
        <v>46183</v>
      </c>
      <c r="AD116" s="14">
        <f>DATE(YEAR(Table1[[#This Row],[معاش 01/01]])-1,MONTH(Table1[[#This Row],[تاريخ بلوغ 60 ]]),DAY(Table1[[#This Row],[تاريخ بلوغ 60 ]]))</f>
        <v>46183</v>
      </c>
      <c r="AE11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46548</v>
      </c>
      <c r="AF116" s="10" t="str">
        <f>IFERROR(IF(ISODD(MID(Table1[[#This Row],[الرقم القومي]],13,1)),"ذكر","انثي"),"")</f>
        <v>ذكر</v>
      </c>
      <c r="AG116" s="70" t="s">
        <v>2606</v>
      </c>
      <c r="AH116" s="3">
        <f>IF(MONTH(Table1[[#This Row],[تاريخ بلوغ 60 ]])&lt;&gt;1,1,0)</f>
        <v>1</v>
      </c>
      <c r="AI116" s="3">
        <f>IF(DAY(Table1[[#This Row],[تاريخ بلوغ 60 ]])&lt;&gt;1,1,0)</f>
        <v>1</v>
      </c>
      <c r="AJ116" s="4" t="s">
        <v>465</v>
      </c>
      <c r="AK116" s="4" t="s">
        <v>2636</v>
      </c>
      <c r="AL116" s="62" t="s">
        <v>1774</v>
      </c>
      <c r="AM116" s="62" t="s">
        <v>2746</v>
      </c>
      <c r="AN116" s="2">
        <v>4</v>
      </c>
      <c r="AO116" s="4" t="s">
        <v>2641</v>
      </c>
      <c r="AP116" s="74">
        <v>1863.56</v>
      </c>
      <c r="AQ116" s="4">
        <v>25</v>
      </c>
      <c r="AR116" s="4">
        <v>3</v>
      </c>
      <c r="AS116" s="4" t="s">
        <v>2668</v>
      </c>
      <c r="AT116" s="72">
        <v>6</v>
      </c>
      <c r="AU116" s="2">
        <v>5</v>
      </c>
      <c r="AV116" s="4"/>
      <c r="AW116" s="4"/>
      <c r="AX116" s="4"/>
    </row>
    <row r="117" spans="1:50" ht="15" x14ac:dyDescent="0.2">
      <c r="A117" s="3">
        <v>24132</v>
      </c>
      <c r="B117" s="1" t="s">
        <v>468</v>
      </c>
      <c r="C117" s="3">
        <v>1</v>
      </c>
      <c r="D117" s="3" t="s">
        <v>465</v>
      </c>
      <c r="E117" s="3">
        <v>3</v>
      </c>
      <c r="F117" s="3" t="s">
        <v>472</v>
      </c>
      <c r="G117" s="7" t="s">
        <v>79</v>
      </c>
      <c r="H117" s="3">
        <v>99</v>
      </c>
      <c r="I117" s="3" t="s">
        <v>1047</v>
      </c>
      <c r="J117" s="3">
        <v>18</v>
      </c>
      <c r="K117" s="3" t="s">
        <v>1529</v>
      </c>
      <c r="L117" s="3">
        <v>4</v>
      </c>
      <c r="M117" s="3" t="s">
        <v>498</v>
      </c>
      <c r="N117" s="3" t="s">
        <v>1050</v>
      </c>
      <c r="O117" s="10">
        <v>24314</v>
      </c>
      <c r="P117" s="10">
        <v>33420</v>
      </c>
      <c r="Q117" s="10"/>
      <c r="R117" s="10">
        <v>46022</v>
      </c>
      <c r="S117" s="23">
        <v>9062.8700000000008</v>
      </c>
      <c r="T117" s="3">
        <v>33276758</v>
      </c>
      <c r="U117" s="3">
        <v>26607260300253</v>
      </c>
      <c r="V117" s="4" t="s">
        <v>1777</v>
      </c>
      <c r="W117" s="4"/>
      <c r="X117" s="4" t="s">
        <v>1583</v>
      </c>
      <c r="Z117" s="3">
        <f ca="1">DATEDIF(Table1[[#This Row],[تاريخ الميلاد]],TODAY(),"y")</f>
        <v>60</v>
      </c>
      <c r="AA11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60 عام 0  شهر  25  يوم </v>
      </c>
      <c r="AB11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35عام1  شهر  19  يوم </v>
      </c>
      <c r="AC117" s="10">
        <f>DATE(YEAR(Table1[[#This Row],[تاريخ الميلاد]])+60,MONTH(Table1[[#This Row],[تاريخ الميلاد]]),DAY(Table1[[#This Row],[تاريخ الميلاد]]))</f>
        <v>46229</v>
      </c>
      <c r="AD117" s="14">
        <f>DATE(YEAR(Table1[[#This Row],[معاش 01/01]])-1,MONTH(Table1[[#This Row],[تاريخ بلوغ 60 ]]),DAY(Table1[[#This Row],[تاريخ بلوغ 60 ]]))</f>
        <v>46229</v>
      </c>
      <c r="AE11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46594</v>
      </c>
      <c r="AF117" s="10" t="str">
        <f>IFERROR(IF(ISODD(MID(Table1[[#This Row],[الرقم القومي]],13,1)),"ذكر","انثي"),"")</f>
        <v>ذكر</v>
      </c>
      <c r="AG117" s="70" t="s">
        <v>2606</v>
      </c>
      <c r="AH117" s="3">
        <f>IF(MONTH(Table1[[#This Row],[تاريخ بلوغ 60 ]])&lt;&gt;1,1,0)</f>
        <v>1</v>
      </c>
      <c r="AI117" s="3">
        <f>IF(DAY(Table1[[#This Row],[تاريخ بلوغ 60 ]])&lt;&gt;1,1,0)</f>
        <v>1</v>
      </c>
      <c r="AJ117" s="4" t="s">
        <v>465</v>
      </c>
      <c r="AK117" s="4" t="s">
        <v>2636</v>
      </c>
      <c r="AL117" s="62" t="s">
        <v>1776</v>
      </c>
      <c r="AM117" s="62" t="s">
        <v>2747</v>
      </c>
      <c r="AN117" s="2">
        <v>4</v>
      </c>
      <c r="AO117" s="4" t="s">
        <v>2641</v>
      </c>
      <c r="AP117" s="74">
        <v>2000</v>
      </c>
      <c r="AQ117" s="4">
        <v>25</v>
      </c>
      <c r="AR117" s="4">
        <v>3</v>
      </c>
      <c r="AS117" s="4" t="s">
        <v>2668</v>
      </c>
      <c r="AT117" s="72">
        <v>6</v>
      </c>
      <c r="AU117" s="2">
        <v>4</v>
      </c>
      <c r="AV117" s="4"/>
      <c r="AW117" s="4"/>
      <c r="AX117" s="4"/>
    </row>
    <row r="118" spans="1:50" ht="15" x14ac:dyDescent="0.2">
      <c r="A118" s="3">
        <v>24281</v>
      </c>
      <c r="B118" s="1" t="s">
        <v>468</v>
      </c>
      <c r="C118" s="3">
        <v>1</v>
      </c>
      <c r="D118" s="3" t="s">
        <v>465</v>
      </c>
      <c r="E118" s="3">
        <v>3</v>
      </c>
      <c r="F118" s="3" t="s">
        <v>472</v>
      </c>
      <c r="G118" s="7" t="s">
        <v>81</v>
      </c>
      <c r="H118" s="3">
        <v>225</v>
      </c>
      <c r="I118" s="3" t="s">
        <v>1551</v>
      </c>
      <c r="J118" s="3">
        <v>18</v>
      </c>
      <c r="K118" s="3" t="s">
        <v>1529</v>
      </c>
      <c r="L118" s="3">
        <v>2</v>
      </c>
      <c r="M118" s="3" t="s">
        <v>493</v>
      </c>
      <c r="N118" s="3" t="s">
        <v>776</v>
      </c>
      <c r="O118" s="10">
        <v>26560</v>
      </c>
      <c r="P118" s="10">
        <v>33512</v>
      </c>
      <c r="Q118" s="10"/>
      <c r="R118" s="10">
        <v>45657</v>
      </c>
      <c r="S118" s="23">
        <v>11686.17</v>
      </c>
      <c r="T118" s="3">
        <v>46434422</v>
      </c>
      <c r="U118" s="3">
        <v>27209181302338</v>
      </c>
      <c r="V118" s="4" t="s">
        <v>1780</v>
      </c>
      <c r="W118" s="4"/>
      <c r="X118" s="4" t="s">
        <v>1583</v>
      </c>
      <c r="Y118" s="4">
        <v>1991</v>
      </c>
      <c r="Z118" s="3">
        <f ca="1">DATEDIF(Table1[[#This Row],[تاريخ الميلاد]],TODAY(),"y")</f>
        <v>53</v>
      </c>
      <c r="AA11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53 عام 11  شهر  2  يوم </v>
      </c>
      <c r="AB11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34عام10  شهر  19  يوم </v>
      </c>
      <c r="AC118" s="10">
        <f>DATE(YEAR(Table1[[#This Row],[تاريخ الميلاد]])+60,MONTH(Table1[[#This Row],[تاريخ الميلاد]]),DAY(Table1[[#This Row],[تاريخ الميلاد]]))</f>
        <v>48475</v>
      </c>
      <c r="AD118" s="14">
        <f>DATE(YEAR(Table1[[#This Row],[معاش 01/01]])-1,MONTH(Table1[[#This Row],[تاريخ بلوغ 60 ]]),DAY(Table1[[#This Row],[تاريخ بلوغ 60 ]]))</f>
        <v>48475</v>
      </c>
      <c r="AE11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48840</v>
      </c>
      <c r="AF118" s="10" t="str">
        <f>IFERROR(IF(ISODD(MID(Table1[[#This Row],[الرقم القومي]],13,1)),"ذكر","انثي"),"")</f>
        <v>ذكر</v>
      </c>
      <c r="AG118" s="70" t="s">
        <v>2610</v>
      </c>
      <c r="AH118" s="3">
        <f>IF(MONTH(Table1[[#This Row],[تاريخ بلوغ 60 ]])&lt;&gt;1,1,0)</f>
        <v>1</v>
      </c>
      <c r="AI118" s="3">
        <f>IF(DAY(Table1[[#This Row],[تاريخ بلوغ 60 ]])&lt;&gt;1,1,0)</f>
        <v>1</v>
      </c>
      <c r="AJ118" s="4" t="s">
        <v>465</v>
      </c>
      <c r="AK118" s="4" t="s">
        <v>2638</v>
      </c>
      <c r="AL118" s="62" t="s">
        <v>1779</v>
      </c>
      <c r="AM118" s="62" t="s">
        <v>2750</v>
      </c>
      <c r="AN118" s="2">
        <v>1</v>
      </c>
      <c r="AO118" s="4" t="s">
        <v>2641</v>
      </c>
      <c r="AP118" s="74">
        <v>1387</v>
      </c>
      <c r="AQ118" s="4">
        <v>12.5</v>
      </c>
      <c r="AR118" s="4">
        <v>3</v>
      </c>
      <c r="AS118" s="4" t="s">
        <v>2668</v>
      </c>
      <c r="AT118" s="72">
        <v>6</v>
      </c>
      <c r="AU118" s="2">
        <v>2</v>
      </c>
      <c r="AV118" s="4"/>
      <c r="AW118" s="4"/>
      <c r="AX118" s="4"/>
    </row>
    <row r="119" spans="1:50" ht="15" x14ac:dyDescent="0.2">
      <c r="A119" s="3">
        <v>24282</v>
      </c>
      <c r="B119" s="1" t="s">
        <v>468</v>
      </c>
      <c r="C119" s="3">
        <v>1</v>
      </c>
      <c r="D119" s="3" t="s">
        <v>465</v>
      </c>
      <c r="E119" s="3">
        <v>3</v>
      </c>
      <c r="F119" s="3" t="s">
        <v>472</v>
      </c>
      <c r="G119" s="7" t="s">
        <v>82</v>
      </c>
      <c r="H119" s="3">
        <v>225</v>
      </c>
      <c r="I119" s="3" t="s">
        <v>1551</v>
      </c>
      <c r="J119" s="3">
        <v>18</v>
      </c>
      <c r="K119" s="3" t="s">
        <v>1529</v>
      </c>
      <c r="L119" s="3">
        <v>2</v>
      </c>
      <c r="M119" s="3" t="s">
        <v>493</v>
      </c>
      <c r="N119" s="3" t="s">
        <v>776</v>
      </c>
      <c r="O119" s="10">
        <v>26438</v>
      </c>
      <c r="P119" s="10">
        <v>33512</v>
      </c>
      <c r="Q119" s="10"/>
      <c r="R119" s="10">
        <v>45657</v>
      </c>
      <c r="S119" s="23">
        <v>11686.17</v>
      </c>
      <c r="T119" s="3">
        <v>8955606</v>
      </c>
      <c r="U119" s="3">
        <v>27205191200759</v>
      </c>
      <c r="V119" s="4" t="s">
        <v>1782</v>
      </c>
      <c r="W119" s="4"/>
      <c r="X119" s="4" t="s">
        <v>1583</v>
      </c>
      <c r="Y119" s="4">
        <v>1991</v>
      </c>
      <c r="Z119" s="3">
        <f ca="1">DATEDIF(Table1[[#This Row],[تاريخ الميلاد]],TODAY(),"y")</f>
        <v>54</v>
      </c>
      <c r="AA11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54 عام 3  شهر  1  يوم </v>
      </c>
      <c r="AB11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34عام10  شهر  19  يوم </v>
      </c>
      <c r="AC119" s="10">
        <f>DATE(YEAR(Table1[[#This Row],[تاريخ الميلاد]])+60,MONTH(Table1[[#This Row],[تاريخ الميلاد]]),DAY(Table1[[#This Row],[تاريخ الميلاد]]))</f>
        <v>48353</v>
      </c>
      <c r="AD119" s="14">
        <f>DATE(YEAR(Table1[[#This Row],[معاش 01/01]])-1,MONTH(Table1[[#This Row],[تاريخ بلوغ 60 ]]),DAY(Table1[[#This Row],[تاريخ بلوغ 60 ]]))</f>
        <v>48353</v>
      </c>
      <c r="AE11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48718</v>
      </c>
      <c r="AF119" s="10" t="str">
        <f>IFERROR(IF(ISODD(MID(Table1[[#This Row],[الرقم القومي]],13,1)),"ذكر","انثي"),"")</f>
        <v>ذكر</v>
      </c>
      <c r="AG119" s="70" t="s">
        <v>1635</v>
      </c>
      <c r="AH119" s="3">
        <f>IF(MONTH(Table1[[#This Row],[تاريخ بلوغ 60 ]])&lt;&gt;1,1,0)</f>
        <v>1</v>
      </c>
      <c r="AI119" s="3">
        <f>IF(DAY(Table1[[#This Row],[تاريخ بلوغ 60 ]])&lt;&gt;1,1,0)</f>
        <v>1</v>
      </c>
      <c r="AJ119" s="4" t="s">
        <v>465</v>
      </c>
      <c r="AK119" s="4" t="s">
        <v>2689</v>
      </c>
      <c r="AL119" s="62" t="s">
        <v>1781</v>
      </c>
      <c r="AM119" s="62" t="s">
        <v>2751</v>
      </c>
      <c r="AN119" s="2">
        <v>1</v>
      </c>
      <c r="AO119" s="4" t="s">
        <v>2641</v>
      </c>
      <c r="AP119" s="74">
        <v>1387</v>
      </c>
      <c r="AQ119" s="4">
        <v>12.5</v>
      </c>
      <c r="AR119" s="4">
        <v>3</v>
      </c>
      <c r="AS119" s="4" t="s">
        <v>2668</v>
      </c>
      <c r="AT119" s="72">
        <v>6</v>
      </c>
      <c r="AU119" s="2">
        <v>2</v>
      </c>
      <c r="AV119" s="4"/>
      <c r="AW119" s="4"/>
      <c r="AX119" s="4"/>
    </row>
    <row r="120" spans="1:50" ht="15" x14ac:dyDescent="0.2">
      <c r="A120" s="3">
        <v>24578</v>
      </c>
      <c r="B120" s="1" t="s">
        <v>468</v>
      </c>
      <c r="C120" s="3">
        <v>1</v>
      </c>
      <c r="D120" s="3" t="s">
        <v>465</v>
      </c>
      <c r="E120" s="3">
        <v>3</v>
      </c>
      <c r="F120" s="3" t="s">
        <v>472</v>
      </c>
      <c r="G120" s="7" t="s">
        <v>83</v>
      </c>
      <c r="H120" s="3">
        <v>64</v>
      </c>
      <c r="I120" s="3" t="s">
        <v>802</v>
      </c>
      <c r="J120" s="3">
        <v>18</v>
      </c>
      <c r="K120" s="3" t="s">
        <v>1529</v>
      </c>
      <c r="L120" s="3">
        <v>2</v>
      </c>
      <c r="M120" s="3" t="s">
        <v>493</v>
      </c>
      <c r="N120" s="3" t="s">
        <v>803</v>
      </c>
      <c r="O120" s="10">
        <v>26493</v>
      </c>
      <c r="P120" s="10">
        <v>33923</v>
      </c>
      <c r="Q120" s="10"/>
      <c r="R120" s="10">
        <v>45657</v>
      </c>
      <c r="S120" s="23">
        <v>11441.38</v>
      </c>
      <c r="T120" s="3">
        <v>4109907</v>
      </c>
      <c r="U120" s="3">
        <v>27207130201054</v>
      </c>
      <c r="V120" s="4" t="s">
        <v>1784</v>
      </c>
      <c r="W120" s="4"/>
      <c r="X120" s="4" t="s">
        <v>1583</v>
      </c>
      <c r="Y120" s="4">
        <v>1992</v>
      </c>
      <c r="Z120" s="3">
        <f ca="1">DATEDIF(Table1[[#This Row],[تاريخ الميلاد]],TODAY(),"y")</f>
        <v>54</v>
      </c>
      <c r="AA12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54 عام 1  شهر  7  يوم </v>
      </c>
      <c r="AB12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33عام9  شهر  5  يوم </v>
      </c>
      <c r="AC120" s="10">
        <f>DATE(YEAR(Table1[[#This Row],[تاريخ الميلاد]])+60,MONTH(Table1[[#This Row],[تاريخ الميلاد]]),DAY(Table1[[#This Row],[تاريخ الميلاد]]))</f>
        <v>48408</v>
      </c>
      <c r="AD120" s="14">
        <f>DATE(YEAR(Table1[[#This Row],[معاش 01/01]])-1,MONTH(Table1[[#This Row],[تاريخ بلوغ 60 ]]),DAY(Table1[[#This Row],[تاريخ بلوغ 60 ]]))</f>
        <v>48408</v>
      </c>
      <c r="AE12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48773</v>
      </c>
      <c r="AF120" s="10" t="str">
        <f>IFERROR(IF(ISODD(MID(Table1[[#This Row],[الرقم القومي]],13,1)),"ذكر","انثي"),"")</f>
        <v>ذكر</v>
      </c>
      <c r="AG120" s="70" t="s">
        <v>2605</v>
      </c>
      <c r="AH120" s="3">
        <f>IF(MONTH(Table1[[#This Row],[تاريخ بلوغ 60 ]])&lt;&gt;1,1,0)</f>
        <v>1</v>
      </c>
      <c r="AI120" s="3">
        <f>IF(DAY(Table1[[#This Row],[تاريخ بلوغ 60 ]])&lt;&gt;1,1,0)</f>
        <v>1</v>
      </c>
      <c r="AJ120" s="4" t="s">
        <v>465</v>
      </c>
      <c r="AK120" s="4" t="s">
        <v>2636</v>
      </c>
      <c r="AL120" s="62" t="s">
        <v>1783</v>
      </c>
      <c r="AM120" s="62" t="s">
        <v>2752</v>
      </c>
      <c r="AN120" s="2">
        <v>4</v>
      </c>
      <c r="AO120" s="4" t="s">
        <v>2641</v>
      </c>
      <c r="AP120" s="74">
        <v>2000</v>
      </c>
      <c r="AQ120" s="4">
        <v>25</v>
      </c>
      <c r="AR120" s="4">
        <v>3</v>
      </c>
      <c r="AS120" s="4" t="s">
        <v>2668</v>
      </c>
      <c r="AT120" s="72">
        <v>6</v>
      </c>
      <c r="AU120" s="2">
        <v>2</v>
      </c>
      <c r="AV120" s="4"/>
      <c r="AW120" s="4"/>
      <c r="AX120" s="4"/>
    </row>
    <row r="121" spans="1:50" ht="15" x14ac:dyDescent="0.2">
      <c r="A121" s="3">
        <v>24968</v>
      </c>
      <c r="B121" s="1" t="s">
        <v>468</v>
      </c>
      <c r="C121" s="3">
        <v>1</v>
      </c>
      <c r="D121" s="3" t="s">
        <v>465</v>
      </c>
      <c r="E121" s="3">
        <v>21</v>
      </c>
      <c r="F121" s="3" t="s">
        <v>474</v>
      </c>
      <c r="G121" s="7" t="s">
        <v>84</v>
      </c>
      <c r="H121" s="3">
        <v>149</v>
      </c>
      <c r="I121" s="3" t="s">
        <v>1267</v>
      </c>
      <c r="J121" s="3">
        <v>20</v>
      </c>
      <c r="K121" s="3" t="s">
        <v>1531</v>
      </c>
      <c r="L121" s="3">
        <v>5</v>
      </c>
      <c r="M121" s="3" t="s">
        <v>500</v>
      </c>
      <c r="N121" s="3" t="s">
        <v>1269</v>
      </c>
      <c r="O121" s="10">
        <v>25536</v>
      </c>
      <c r="P121" s="10">
        <v>34147</v>
      </c>
      <c r="Q121" s="10"/>
      <c r="R121" s="10">
        <v>44196</v>
      </c>
      <c r="S121" s="23">
        <v>8929.0400000000009</v>
      </c>
      <c r="T121" s="3">
        <v>4106335</v>
      </c>
      <c r="U121" s="3">
        <v>26911291300031</v>
      </c>
      <c r="V121" s="4" t="s">
        <v>1786</v>
      </c>
      <c r="W121" s="4"/>
      <c r="X121" s="4" t="s">
        <v>1583</v>
      </c>
      <c r="Z121" s="3">
        <f ca="1">DATEDIF(Table1[[#This Row],[تاريخ الميلاد]],TODAY(),"y")</f>
        <v>56</v>
      </c>
      <c r="AA12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56 عام 8  شهر  22  يوم </v>
      </c>
      <c r="AB12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33عام1  شهر  24  يوم </v>
      </c>
      <c r="AC121" s="10">
        <f>DATE(YEAR(Table1[[#This Row],[تاريخ الميلاد]])+60,MONTH(Table1[[#This Row],[تاريخ الميلاد]]),DAY(Table1[[#This Row],[تاريخ الميلاد]]))</f>
        <v>47451</v>
      </c>
      <c r="AD121" s="14">
        <f>DATE(YEAR(Table1[[#This Row],[معاش 01/01]])-1,MONTH(Table1[[#This Row],[تاريخ بلوغ 60 ]]),DAY(Table1[[#This Row],[تاريخ بلوغ 60 ]]))</f>
        <v>47451</v>
      </c>
      <c r="AE12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47816</v>
      </c>
      <c r="AF121" s="10" t="str">
        <f>IFERROR(IF(ISODD(MID(Table1[[#This Row],[الرقم القومي]],13,1)),"ذكر","انثي"),"")</f>
        <v>ذكر</v>
      </c>
      <c r="AG121" s="70" t="s">
        <v>2610</v>
      </c>
      <c r="AH121" s="3">
        <f>IF(MONTH(Table1[[#This Row],[تاريخ بلوغ 60 ]])&lt;&gt;1,1,0)</f>
        <v>1</v>
      </c>
      <c r="AI121" s="3">
        <f>IF(DAY(Table1[[#This Row],[تاريخ بلوغ 60 ]])&lt;&gt;1,1,0)</f>
        <v>1</v>
      </c>
      <c r="AJ121" s="4" t="s">
        <v>465</v>
      </c>
      <c r="AK121" s="4" t="s">
        <v>2636</v>
      </c>
      <c r="AL121" s="62" t="s">
        <v>1785</v>
      </c>
      <c r="AM121" s="62" t="s">
        <v>2753</v>
      </c>
      <c r="AN121" s="2">
        <v>4</v>
      </c>
      <c r="AO121" s="4" t="s">
        <v>2641</v>
      </c>
      <c r="AP121" s="74">
        <v>2000</v>
      </c>
      <c r="AQ121" s="4">
        <v>25</v>
      </c>
      <c r="AR121" s="4">
        <v>3</v>
      </c>
      <c r="AS121" s="4" t="s">
        <v>2668</v>
      </c>
      <c r="AT121" s="72">
        <v>6</v>
      </c>
      <c r="AU121" s="2">
        <v>5</v>
      </c>
      <c r="AV121" s="4"/>
      <c r="AW121" s="4"/>
      <c r="AX121" s="4"/>
    </row>
    <row r="122" spans="1:50" ht="15" x14ac:dyDescent="0.2">
      <c r="A122" s="3">
        <v>25091</v>
      </c>
      <c r="B122" s="1" t="s">
        <v>468</v>
      </c>
      <c r="C122" s="3">
        <v>1</v>
      </c>
      <c r="D122" s="3" t="s">
        <v>465</v>
      </c>
      <c r="E122" s="3">
        <v>3</v>
      </c>
      <c r="F122" s="3" t="s">
        <v>472</v>
      </c>
      <c r="G122" s="7" t="s">
        <v>85</v>
      </c>
      <c r="H122" s="3">
        <v>43</v>
      </c>
      <c r="I122" s="3" t="s">
        <v>724</v>
      </c>
      <c r="J122" s="3">
        <v>17</v>
      </c>
      <c r="K122" s="3" t="s">
        <v>1530</v>
      </c>
      <c r="L122" s="3">
        <v>4</v>
      </c>
      <c r="M122" s="3" t="s">
        <v>498</v>
      </c>
      <c r="N122" s="3" t="s">
        <v>716</v>
      </c>
      <c r="O122" s="10">
        <v>24700</v>
      </c>
      <c r="P122" s="10">
        <v>34151</v>
      </c>
      <c r="Q122" s="10"/>
      <c r="R122" s="10">
        <v>44926</v>
      </c>
      <c r="S122" s="23">
        <v>9294.57</v>
      </c>
      <c r="T122" s="3">
        <v>47447843</v>
      </c>
      <c r="U122" s="3">
        <v>26708161900339</v>
      </c>
      <c r="V122" s="4" t="s">
        <v>1788</v>
      </c>
      <c r="W122" s="4"/>
      <c r="X122" s="4" t="s">
        <v>1583</v>
      </c>
      <c r="Y122" s="4">
        <v>1985</v>
      </c>
      <c r="Z122" s="3">
        <f ca="1">DATEDIF(Table1[[#This Row],[تاريخ الميلاد]],TODAY(),"y")</f>
        <v>59</v>
      </c>
      <c r="AA12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59 عام 0  شهر  4  يوم </v>
      </c>
      <c r="AB12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33عام1  شهر  19  يوم </v>
      </c>
      <c r="AC122" s="10">
        <f>DATE(YEAR(Table1[[#This Row],[تاريخ الميلاد]])+60,MONTH(Table1[[#This Row],[تاريخ الميلاد]]),DAY(Table1[[#This Row],[تاريخ الميلاد]]))</f>
        <v>46615</v>
      </c>
      <c r="AD122" s="14">
        <f>DATE(YEAR(Table1[[#This Row],[معاش 01/01]])-1,MONTH(Table1[[#This Row],[تاريخ بلوغ 60 ]]),DAY(Table1[[#This Row],[تاريخ بلوغ 60 ]]))</f>
        <v>46615</v>
      </c>
      <c r="AE12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46981</v>
      </c>
      <c r="AF122" s="10" t="str">
        <f>IFERROR(IF(ISODD(MID(Table1[[#This Row],[الرقم القومي]],13,1)),"ذكر","انثي"),"")</f>
        <v>ذكر</v>
      </c>
      <c r="AG122" s="70" t="s">
        <v>2616</v>
      </c>
      <c r="AH122" s="3">
        <f>IF(MONTH(Table1[[#This Row],[تاريخ بلوغ 60 ]])&lt;&gt;1,1,0)</f>
        <v>1</v>
      </c>
      <c r="AI122" s="3">
        <f>IF(DAY(Table1[[#This Row],[تاريخ بلوغ 60 ]])&lt;&gt;1,1,0)</f>
        <v>1</v>
      </c>
      <c r="AJ122" s="4" t="s">
        <v>465</v>
      </c>
      <c r="AK122" s="4" t="s">
        <v>2636</v>
      </c>
      <c r="AL122" s="62" t="s">
        <v>1787</v>
      </c>
      <c r="AM122" s="62" t="s">
        <v>2754</v>
      </c>
      <c r="AN122" s="2">
        <v>1</v>
      </c>
      <c r="AO122" s="4" t="s">
        <v>2641</v>
      </c>
      <c r="AP122" s="74">
        <v>1100.42</v>
      </c>
      <c r="AQ122" s="4">
        <v>12.5</v>
      </c>
      <c r="AR122" s="4">
        <v>3</v>
      </c>
      <c r="AS122" s="4" t="s">
        <v>2668</v>
      </c>
      <c r="AT122" s="72">
        <v>6</v>
      </c>
      <c r="AU122" s="2">
        <v>4</v>
      </c>
      <c r="AV122" s="4"/>
      <c r="AW122" s="4"/>
      <c r="AX122" s="4"/>
    </row>
    <row r="123" spans="1:50" ht="15" x14ac:dyDescent="0.2">
      <c r="A123" s="3">
        <v>25303</v>
      </c>
      <c r="B123" s="1" t="s">
        <v>468</v>
      </c>
      <c r="C123" s="3">
        <v>1</v>
      </c>
      <c r="D123" s="3" t="s">
        <v>465</v>
      </c>
      <c r="E123" s="3">
        <v>21</v>
      </c>
      <c r="F123" s="3" t="s">
        <v>474</v>
      </c>
      <c r="G123" s="7" t="s">
        <v>86</v>
      </c>
      <c r="H123" s="3">
        <v>226</v>
      </c>
      <c r="I123" s="3" t="s">
        <v>1557</v>
      </c>
      <c r="J123" s="3">
        <v>18</v>
      </c>
      <c r="K123" s="3" t="s">
        <v>1529</v>
      </c>
      <c r="L123" s="3">
        <v>3</v>
      </c>
      <c r="M123" s="3" t="s">
        <v>496</v>
      </c>
      <c r="N123" s="3" t="s">
        <v>1562</v>
      </c>
      <c r="O123" s="10">
        <v>27088</v>
      </c>
      <c r="P123" s="10">
        <v>34258</v>
      </c>
      <c r="Q123" s="10"/>
      <c r="R123" s="10">
        <v>45291</v>
      </c>
      <c r="S123" s="23">
        <v>10486.53</v>
      </c>
      <c r="T123" s="3">
        <v>47597951</v>
      </c>
      <c r="U123" s="3">
        <v>27402281100915</v>
      </c>
      <c r="V123" s="4" t="s">
        <v>1790</v>
      </c>
      <c r="W123" s="4"/>
      <c r="X123" s="4" t="s">
        <v>1583</v>
      </c>
      <c r="Z123" s="3">
        <f ca="1">DATEDIF(Table1[[#This Row],[تاريخ الميلاد]],TODAY(),"y")</f>
        <v>52</v>
      </c>
      <c r="AA12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52 عام 5  شهر  23  يوم </v>
      </c>
      <c r="AB12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32عام10  شهر  4  يوم </v>
      </c>
      <c r="AC123" s="10">
        <f>DATE(YEAR(Table1[[#This Row],[تاريخ الميلاد]])+60,MONTH(Table1[[#This Row],[تاريخ الميلاد]]),DAY(Table1[[#This Row],[تاريخ الميلاد]]))</f>
        <v>49003</v>
      </c>
      <c r="AD123" s="14">
        <f>DATE(YEAR(Table1[[#This Row],[معاش 01/01]])-1,MONTH(Table1[[#This Row],[تاريخ بلوغ 60 ]]),DAY(Table1[[#This Row],[تاريخ بلوغ 60 ]]))</f>
        <v>49003</v>
      </c>
      <c r="AE12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49368</v>
      </c>
      <c r="AF123" s="10" t="str">
        <f>IFERROR(IF(ISODD(MID(Table1[[#This Row],[الرقم القومي]],13,1)),"ذكر","انثي"),"")</f>
        <v>ذكر</v>
      </c>
      <c r="AG123" s="70" t="s">
        <v>2609</v>
      </c>
      <c r="AH123" s="3">
        <f>IF(MONTH(Table1[[#This Row],[تاريخ بلوغ 60 ]])&lt;&gt;1,1,0)</f>
        <v>1</v>
      </c>
      <c r="AI123" s="3">
        <f>IF(DAY(Table1[[#This Row],[تاريخ بلوغ 60 ]])&lt;&gt;1,1,0)</f>
        <v>1</v>
      </c>
      <c r="AJ123" s="4" t="s">
        <v>465</v>
      </c>
      <c r="AK123" s="4">
        <v>0</v>
      </c>
      <c r="AL123" s="62" t="s">
        <v>1789</v>
      </c>
      <c r="AM123" s="62" t="s">
        <v>2755</v>
      </c>
      <c r="AN123" s="2">
        <v>1</v>
      </c>
      <c r="AO123" s="4" t="s">
        <v>2641</v>
      </c>
      <c r="AP123" s="74">
        <v>1243.08</v>
      </c>
      <c r="AQ123" s="4">
        <v>12.5</v>
      </c>
      <c r="AR123" s="4">
        <v>1</v>
      </c>
      <c r="AS123" s="4" t="s">
        <v>2635</v>
      </c>
      <c r="AT123" s="72">
        <v>2</v>
      </c>
      <c r="AU123" s="2">
        <v>3</v>
      </c>
      <c r="AV123" s="4"/>
      <c r="AW123" s="4"/>
      <c r="AX123" s="4"/>
    </row>
    <row r="124" spans="1:50" ht="15" x14ac:dyDescent="0.2">
      <c r="A124" s="3">
        <v>25463</v>
      </c>
      <c r="B124" s="1" t="s">
        <v>468</v>
      </c>
      <c r="C124" s="3">
        <v>1</v>
      </c>
      <c r="D124" s="3" t="s">
        <v>465</v>
      </c>
      <c r="E124" s="3">
        <v>3</v>
      </c>
      <c r="F124" s="3" t="s">
        <v>472</v>
      </c>
      <c r="G124" s="7" t="s">
        <v>87</v>
      </c>
      <c r="H124" s="3">
        <v>104</v>
      </c>
      <c r="I124" s="3" t="s">
        <v>1083</v>
      </c>
      <c r="J124" s="3">
        <v>18</v>
      </c>
      <c r="K124" s="3" t="s">
        <v>1529</v>
      </c>
      <c r="L124" s="3">
        <v>3</v>
      </c>
      <c r="M124" s="3" t="s">
        <v>496</v>
      </c>
      <c r="N124" s="3" t="s">
        <v>1085</v>
      </c>
      <c r="O124" s="10">
        <v>24979</v>
      </c>
      <c r="P124" s="10">
        <v>34335</v>
      </c>
      <c r="Q124" s="10"/>
      <c r="R124" s="10">
        <v>44561</v>
      </c>
      <c r="S124" s="23">
        <v>10490.58</v>
      </c>
      <c r="T124" s="3">
        <v>45122527</v>
      </c>
      <c r="U124" s="3">
        <v>26805210300038</v>
      </c>
      <c r="V124" s="4" t="s">
        <v>1792</v>
      </c>
      <c r="W124" s="4"/>
      <c r="X124" s="4" t="s">
        <v>1583</v>
      </c>
      <c r="Y124" s="4">
        <v>1994</v>
      </c>
      <c r="Z124" s="3">
        <f ca="1">DATEDIF(Table1[[#This Row],[تاريخ الميلاد]],TODAY(),"y")</f>
        <v>58</v>
      </c>
      <c r="AA12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58 عام 2  شهر  30  يوم </v>
      </c>
      <c r="AB12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32عام7  شهر  19  يوم </v>
      </c>
      <c r="AC124" s="10">
        <f>DATE(YEAR(Table1[[#This Row],[تاريخ الميلاد]])+60,MONTH(Table1[[#This Row],[تاريخ الميلاد]]),DAY(Table1[[#This Row],[تاريخ الميلاد]]))</f>
        <v>46894</v>
      </c>
      <c r="AD124" s="14">
        <f>DATE(YEAR(Table1[[#This Row],[معاش 01/01]])-1,MONTH(Table1[[#This Row],[تاريخ بلوغ 60 ]]),DAY(Table1[[#This Row],[تاريخ بلوغ 60 ]]))</f>
        <v>46894</v>
      </c>
      <c r="AE12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47259</v>
      </c>
      <c r="AF124" s="10" t="str">
        <f>IFERROR(IF(ISODD(MID(Table1[[#This Row],[الرقم القومي]],13,1)),"ذكر","انثي"),"")</f>
        <v>ذكر</v>
      </c>
      <c r="AG124" s="70" t="s">
        <v>2606</v>
      </c>
      <c r="AH124" s="3">
        <f>IF(MONTH(Table1[[#This Row],[تاريخ بلوغ 60 ]])&lt;&gt;1,1,0)</f>
        <v>1</v>
      </c>
      <c r="AI124" s="3">
        <f>IF(DAY(Table1[[#This Row],[تاريخ بلوغ 60 ]])&lt;&gt;1,1,0)</f>
        <v>1</v>
      </c>
      <c r="AJ124" s="4" t="s">
        <v>465</v>
      </c>
      <c r="AK124" s="4" t="s">
        <v>2636</v>
      </c>
      <c r="AL124" s="62" t="s">
        <v>1791</v>
      </c>
      <c r="AM124" s="62" t="s">
        <v>2756</v>
      </c>
      <c r="AN124" s="2">
        <v>3</v>
      </c>
      <c r="AO124" s="4" t="s">
        <v>2641</v>
      </c>
      <c r="AP124" s="74">
        <v>1865.35</v>
      </c>
      <c r="AQ124" s="4">
        <v>18.75</v>
      </c>
      <c r="AR124" s="4">
        <v>3</v>
      </c>
      <c r="AS124" s="4" t="s">
        <v>2668</v>
      </c>
      <c r="AT124" s="72">
        <v>6</v>
      </c>
      <c r="AU124" s="2">
        <v>3</v>
      </c>
      <c r="AV124" s="4"/>
      <c r="AW124" s="4"/>
      <c r="AX124" s="4"/>
    </row>
    <row r="125" spans="1:50" ht="15" x14ac:dyDescent="0.2">
      <c r="A125" s="3">
        <v>25522</v>
      </c>
      <c r="B125" s="1" t="s">
        <v>468</v>
      </c>
      <c r="C125" s="3">
        <v>1</v>
      </c>
      <c r="D125" s="3" t="s">
        <v>465</v>
      </c>
      <c r="E125" s="3">
        <v>3</v>
      </c>
      <c r="F125" s="3" t="s">
        <v>472</v>
      </c>
      <c r="G125" s="7" t="s">
        <v>88</v>
      </c>
      <c r="H125" s="3">
        <v>193</v>
      </c>
      <c r="I125" s="3" t="s">
        <v>1486</v>
      </c>
      <c r="J125" s="3">
        <v>22</v>
      </c>
      <c r="K125" s="3" t="s">
        <v>1532</v>
      </c>
      <c r="L125" s="3">
        <v>6</v>
      </c>
      <c r="M125" s="3" t="s">
        <v>502</v>
      </c>
      <c r="N125" s="3" t="s">
        <v>1488</v>
      </c>
      <c r="O125" s="10">
        <v>24677</v>
      </c>
      <c r="P125" s="10">
        <v>34349</v>
      </c>
      <c r="Q125" s="10"/>
      <c r="R125" s="10">
        <v>44926</v>
      </c>
      <c r="S125" s="23">
        <v>7816.6</v>
      </c>
      <c r="T125" s="3">
        <v>27404706</v>
      </c>
      <c r="U125" s="3">
        <v>26707240300073</v>
      </c>
      <c r="V125" s="4" t="s">
        <v>1794</v>
      </c>
      <c r="W125" s="4"/>
      <c r="X125" s="4" t="s">
        <v>1583</v>
      </c>
      <c r="Y125" s="4">
        <v>1980</v>
      </c>
      <c r="Z125" s="3">
        <f ca="1">DATEDIF(Table1[[#This Row],[تاريخ الميلاد]],TODAY(),"y")</f>
        <v>59</v>
      </c>
      <c r="AA12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59 عام 0  شهر  27  يوم </v>
      </c>
      <c r="AB12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32عام7  شهر  5  يوم </v>
      </c>
      <c r="AC125" s="10">
        <f>DATE(YEAR(Table1[[#This Row],[تاريخ الميلاد]])+60,MONTH(Table1[[#This Row],[تاريخ الميلاد]]),DAY(Table1[[#This Row],[تاريخ الميلاد]]))</f>
        <v>46592</v>
      </c>
      <c r="AD125" s="14">
        <f>DATE(YEAR(Table1[[#This Row],[معاش 01/01]])-1,MONTH(Table1[[#This Row],[تاريخ بلوغ 60 ]]),DAY(Table1[[#This Row],[تاريخ بلوغ 60 ]]))</f>
        <v>46592</v>
      </c>
      <c r="AE12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46958</v>
      </c>
      <c r="AF125" s="10" t="str">
        <f>IFERROR(IF(ISODD(MID(Table1[[#This Row],[الرقم القومي]],13,1)),"ذكر","انثي"),"")</f>
        <v>ذكر</v>
      </c>
      <c r="AG125" s="70" t="s">
        <v>2606</v>
      </c>
      <c r="AH125" s="3">
        <f>IF(MONTH(Table1[[#This Row],[تاريخ بلوغ 60 ]])&lt;&gt;1,1,0)</f>
        <v>1</v>
      </c>
      <c r="AI125" s="3">
        <f>IF(DAY(Table1[[#This Row],[تاريخ بلوغ 60 ]])&lt;&gt;1,1,0)</f>
        <v>1</v>
      </c>
      <c r="AJ125" s="4" t="s">
        <v>465</v>
      </c>
      <c r="AK125" s="4" t="s">
        <v>2636</v>
      </c>
      <c r="AL125" s="62" t="s">
        <v>1793</v>
      </c>
      <c r="AM125" s="62" t="s">
        <v>2757</v>
      </c>
      <c r="AN125" s="2">
        <v>1</v>
      </c>
      <c r="AO125" s="4" t="s">
        <v>2641</v>
      </c>
      <c r="AP125" s="74">
        <v>925.68</v>
      </c>
      <c r="AQ125" s="4">
        <v>12.5</v>
      </c>
      <c r="AR125" s="4">
        <v>3</v>
      </c>
      <c r="AS125" s="4" t="s">
        <v>2668</v>
      </c>
      <c r="AT125" s="72">
        <v>6</v>
      </c>
      <c r="AU125" s="2">
        <v>6</v>
      </c>
      <c r="AV125" s="4"/>
      <c r="AW125" s="4"/>
      <c r="AX125" s="4"/>
    </row>
    <row r="126" spans="1:50" ht="15" x14ac:dyDescent="0.2">
      <c r="A126" s="3">
        <v>25640</v>
      </c>
      <c r="B126" s="1" t="s">
        <v>468</v>
      </c>
      <c r="C126" s="3">
        <v>1</v>
      </c>
      <c r="D126" s="3" t="s">
        <v>465</v>
      </c>
      <c r="E126" s="3">
        <v>21</v>
      </c>
      <c r="F126" s="3" t="s">
        <v>474</v>
      </c>
      <c r="G126" s="7" t="s">
        <v>90</v>
      </c>
      <c r="H126" s="3">
        <v>63</v>
      </c>
      <c r="I126" s="3" t="s">
        <v>797</v>
      </c>
      <c r="J126" s="3">
        <v>18</v>
      </c>
      <c r="K126" s="3" t="s">
        <v>1529</v>
      </c>
      <c r="L126" s="3">
        <v>4</v>
      </c>
      <c r="M126" s="3" t="s">
        <v>498</v>
      </c>
      <c r="N126" s="3" t="s">
        <v>798</v>
      </c>
      <c r="O126" s="10">
        <v>24363</v>
      </c>
      <c r="P126" s="10">
        <v>34426</v>
      </c>
      <c r="Q126" s="10"/>
      <c r="R126" s="10">
        <v>46022</v>
      </c>
      <c r="S126" s="23">
        <v>9452</v>
      </c>
      <c r="T126" s="3">
        <v>22080983</v>
      </c>
      <c r="U126" s="3">
        <v>26609130300173</v>
      </c>
      <c r="V126" s="4" t="s">
        <v>1797</v>
      </c>
      <c r="W126" s="4"/>
      <c r="X126" s="4" t="s">
        <v>1583</v>
      </c>
      <c r="Z126" s="3">
        <f ca="1">DATEDIF(Table1[[#This Row],[تاريخ الميلاد]],TODAY(),"y")</f>
        <v>59</v>
      </c>
      <c r="AA12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59 عام 11  شهر  7  يوم </v>
      </c>
      <c r="AB12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32عام4  شهر  18  يوم </v>
      </c>
      <c r="AC126" s="10">
        <f>DATE(YEAR(Table1[[#This Row],[تاريخ الميلاد]])+60,MONTH(Table1[[#This Row],[تاريخ الميلاد]]),DAY(Table1[[#This Row],[تاريخ الميلاد]]))</f>
        <v>46278</v>
      </c>
      <c r="AD126" s="14">
        <f>DATE(YEAR(Table1[[#This Row],[معاش 01/01]])-1,MONTH(Table1[[#This Row],[تاريخ بلوغ 60 ]]),DAY(Table1[[#This Row],[تاريخ بلوغ 60 ]]))</f>
        <v>46278</v>
      </c>
      <c r="AE12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46643</v>
      </c>
      <c r="AF126" s="10" t="str">
        <f>IFERROR(IF(ISODD(MID(Table1[[#This Row],[الرقم القومي]],13,1)),"ذكر","انثي"),"")</f>
        <v>ذكر</v>
      </c>
      <c r="AG126" s="70" t="s">
        <v>2606</v>
      </c>
      <c r="AH126" s="3">
        <f>IF(MONTH(Table1[[#This Row],[تاريخ بلوغ 60 ]])&lt;&gt;1,1,0)</f>
        <v>1</v>
      </c>
      <c r="AI126" s="3">
        <f>IF(DAY(Table1[[#This Row],[تاريخ بلوغ 60 ]])&lt;&gt;1,1,0)</f>
        <v>1</v>
      </c>
      <c r="AJ126" s="4" t="s">
        <v>465</v>
      </c>
      <c r="AK126" s="4" t="s">
        <v>2636</v>
      </c>
      <c r="AL126" s="62" t="s">
        <v>1796</v>
      </c>
      <c r="AM126" s="62" t="s">
        <v>2760</v>
      </c>
      <c r="AN126" s="2">
        <v>4</v>
      </c>
      <c r="AO126" s="4" t="s">
        <v>2641</v>
      </c>
      <c r="AP126" s="74">
        <v>2000</v>
      </c>
      <c r="AQ126" s="4">
        <v>25</v>
      </c>
      <c r="AR126" s="4">
        <v>3</v>
      </c>
      <c r="AS126" s="4" t="s">
        <v>2668</v>
      </c>
      <c r="AT126" s="72">
        <v>6</v>
      </c>
      <c r="AU126" s="2">
        <v>4</v>
      </c>
      <c r="AV126" s="4"/>
      <c r="AW126" s="4"/>
      <c r="AX126" s="4"/>
    </row>
    <row r="127" spans="1:50" ht="15" x14ac:dyDescent="0.2">
      <c r="A127" s="3">
        <v>25713</v>
      </c>
      <c r="B127" s="1" t="s">
        <v>468</v>
      </c>
      <c r="C127" s="3">
        <v>1</v>
      </c>
      <c r="D127" s="3" t="s">
        <v>465</v>
      </c>
      <c r="E127" s="3">
        <v>21</v>
      </c>
      <c r="F127" s="3" t="s">
        <v>474</v>
      </c>
      <c r="G127" s="7" t="s">
        <v>91</v>
      </c>
      <c r="H127" s="3">
        <v>107</v>
      </c>
      <c r="I127" s="3" t="s">
        <v>1107</v>
      </c>
      <c r="J127" s="3">
        <v>18</v>
      </c>
      <c r="K127" s="3" t="s">
        <v>1529</v>
      </c>
      <c r="L127" s="3">
        <v>4</v>
      </c>
      <c r="M127" s="3" t="s">
        <v>498</v>
      </c>
      <c r="N127" s="3" t="s">
        <v>1110</v>
      </c>
      <c r="O127" s="10">
        <v>24289</v>
      </c>
      <c r="P127" s="10">
        <v>34515</v>
      </c>
      <c r="Q127" s="10"/>
      <c r="R127" s="10">
        <v>45291</v>
      </c>
      <c r="S127" s="23">
        <v>8540.0300000000007</v>
      </c>
      <c r="T127" s="3">
        <v>41766661</v>
      </c>
      <c r="U127" s="3">
        <v>26607010300215</v>
      </c>
      <c r="V127" s="4" t="s">
        <v>1799</v>
      </c>
      <c r="W127" s="4"/>
      <c r="X127" s="4" t="s">
        <v>1583</v>
      </c>
      <c r="Z127" s="3">
        <f ca="1">DATEDIF(Table1[[#This Row],[تاريخ الميلاد]],TODAY(),"y")</f>
        <v>60</v>
      </c>
      <c r="AA12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60 عام 1  شهر  19  يوم </v>
      </c>
      <c r="AB12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32عام1  شهر  21  يوم </v>
      </c>
      <c r="AC127" s="10">
        <f>DATE(YEAR(Table1[[#This Row],[تاريخ الميلاد]])+60,MONTH(Table1[[#This Row],[تاريخ الميلاد]]),DAY(Table1[[#This Row],[تاريخ الميلاد]]))</f>
        <v>46204</v>
      </c>
      <c r="AD127" s="14">
        <f>DATE(YEAR(Table1[[#This Row],[معاش 01/01]])-1,MONTH(Table1[[#This Row],[تاريخ بلوغ 60 ]]),DAY(Table1[[#This Row],[تاريخ بلوغ 60 ]]))</f>
        <v>46204</v>
      </c>
      <c r="AE12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46569</v>
      </c>
      <c r="AF127" s="10" t="str">
        <f>IFERROR(IF(ISODD(MID(Table1[[#This Row],[الرقم القومي]],13,1)),"ذكر","انثي"),"")</f>
        <v>ذكر</v>
      </c>
      <c r="AG127" s="70" t="s">
        <v>2606</v>
      </c>
      <c r="AH127" s="3">
        <f>IF(MONTH(Table1[[#This Row],[تاريخ بلوغ 60 ]])&lt;&gt;1,1,0)</f>
        <v>1</v>
      </c>
      <c r="AI127" s="3">
        <f>IF(DAY(Table1[[#This Row],[تاريخ بلوغ 60 ]])&lt;&gt;1,1,0)</f>
        <v>0</v>
      </c>
      <c r="AJ127" s="4" t="s">
        <v>465</v>
      </c>
      <c r="AK127" s="4" t="s">
        <v>2689</v>
      </c>
      <c r="AL127" s="62" t="s">
        <v>1798</v>
      </c>
      <c r="AM127" s="62" t="s">
        <v>2761</v>
      </c>
      <c r="AN127" s="2">
        <v>4</v>
      </c>
      <c r="AO127" s="4" t="s">
        <v>2641</v>
      </c>
      <c r="AP127" s="74">
        <v>2000</v>
      </c>
      <c r="AQ127" s="4">
        <v>25</v>
      </c>
      <c r="AR127" s="4">
        <v>3</v>
      </c>
      <c r="AS127" s="4" t="s">
        <v>2668</v>
      </c>
      <c r="AT127" s="72">
        <v>6</v>
      </c>
      <c r="AU127" s="2">
        <v>4</v>
      </c>
      <c r="AV127" s="4"/>
      <c r="AW127" s="4"/>
      <c r="AX127" s="4"/>
    </row>
    <row r="128" spans="1:50" ht="15" x14ac:dyDescent="0.2">
      <c r="A128" s="3">
        <v>26127</v>
      </c>
      <c r="B128" s="1" t="s">
        <v>468</v>
      </c>
      <c r="C128" s="3">
        <v>1</v>
      </c>
      <c r="D128" s="3" t="s">
        <v>465</v>
      </c>
      <c r="E128" s="3">
        <v>3</v>
      </c>
      <c r="F128" s="3" t="s">
        <v>472</v>
      </c>
      <c r="G128" s="7" t="s">
        <v>92</v>
      </c>
      <c r="H128" s="3">
        <v>193</v>
      </c>
      <c r="I128" s="3" t="s">
        <v>1486</v>
      </c>
      <c r="J128" s="3">
        <v>22</v>
      </c>
      <c r="K128" s="3" t="s">
        <v>1532</v>
      </c>
      <c r="L128" s="3">
        <v>6</v>
      </c>
      <c r="M128" s="3" t="s">
        <v>502</v>
      </c>
      <c r="N128" s="3" t="s">
        <v>1488</v>
      </c>
      <c r="O128" s="10">
        <v>24370</v>
      </c>
      <c r="P128" s="10">
        <v>34846</v>
      </c>
      <c r="Q128" s="10"/>
      <c r="R128" s="10">
        <v>44926</v>
      </c>
      <c r="S128" s="23">
        <v>7797.1</v>
      </c>
      <c r="T128" s="3">
        <v>48711151</v>
      </c>
      <c r="U128" s="3">
        <v>26609200300192</v>
      </c>
      <c r="V128" s="4" t="s">
        <v>1801</v>
      </c>
      <c r="W128" s="4"/>
      <c r="X128" s="4" t="s">
        <v>1583</v>
      </c>
      <c r="Z128" s="3">
        <f ca="1">DATEDIF(Table1[[#This Row],[تاريخ الميلاد]],TODAY(),"y")</f>
        <v>59</v>
      </c>
      <c r="AA12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59 عام 11  شهر  0  يوم </v>
      </c>
      <c r="AB12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31عام2  شهر  24  يوم </v>
      </c>
      <c r="AC128" s="10">
        <f>DATE(YEAR(Table1[[#This Row],[تاريخ الميلاد]])+60,MONTH(Table1[[#This Row],[تاريخ الميلاد]]),DAY(Table1[[#This Row],[تاريخ الميلاد]]))</f>
        <v>46285</v>
      </c>
      <c r="AD128" s="14">
        <f>DATE(YEAR(Table1[[#This Row],[معاش 01/01]])-1,MONTH(Table1[[#This Row],[تاريخ بلوغ 60 ]]),DAY(Table1[[#This Row],[تاريخ بلوغ 60 ]]))</f>
        <v>46285</v>
      </c>
      <c r="AE12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46650</v>
      </c>
      <c r="AF128" s="10" t="str">
        <f>IFERROR(IF(ISODD(MID(Table1[[#This Row],[الرقم القومي]],13,1)),"ذكر","انثي"),"")</f>
        <v>ذكر</v>
      </c>
      <c r="AG128" s="70" t="s">
        <v>2606</v>
      </c>
      <c r="AH128" s="3">
        <f>IF(MONTH(Table1[[#This Row],[تاريخ بلوغ 60 ]])&lt;&gt;1,1,0)</f>
        <v>1</v>
      </c>
      <c r="AI128" s="3">
        <f>IF(DAY(Table1[[#This Row],[تاريخ بلوغ 60 ]])&lt;&gt;1,1,0)</f>
        <v>1</v>
      </c>
      <c r="AJ128" s="4" t="s">
        <v>465</v>
      </c>
      <c r="AK128" s="4" t="s">
        <v>2636</v>
      </c>
      <c r="AL128" s="62" t="s">
        <v>1800</v>
      </c>
      <c r="AM128" s="62" t="s">
        <v>2762</v>
      </c>
      <c r="AN128" s="2">
        <v>1</v>
      </c>
      <c r="AO128" s="4" t="s">
        <v>2641</v>
      </c>
      <c r="AP128" s="74">
        <v>923.37</v>
      </c>
      <c r="AQ128" s="4">
        <v>12.5</v>
      </c>
      <c r="AR128" s="4">
        <v>0</v>
      </c>
      <c r="AS128" s="4" t="s">
        <v>2645</v>
      </c>
      <c r="AT128" s="72">
        <v>0</v>
      </c>
      <c r="AU128" s="2">
        <v>6</v>
      </c>
      <c r="AV128" s="4"/>
      <c r="AW128" s="4"/>
      <c r="AX128" s="4"/>
    </row>
    <row r="129" spans="1:50" ht="15" x14ac:dyDescent="0.2">
      <c r="A129" s="3">
        <v>26138</v>
      </c>
      <c r="B129" s="1" t="s">
        <v>468</v>
      </c>
      <c r="C129" s="3">
        <v>1</v>
      </c>
      <c r="D129" s="3" t="s">
        <v>465</v>
      </c>
      <c r="E129" s="3">
        <v>21</v>
      </c>
      <c r="F129" s="3" t="s">
        <v>474</v>
      </c>
      <c r="G129" s="7" t="s">
        <v>93</v>
      </c>
      <c r="H129" s="3">
        <v>225</v>
      </c>
      <c r="I129" s="3" t="s">
        <v>1551</v>
      </c>
      <c r="J129" s="3">
        <v>18</v>
      </c>
      <c r="K129" s="3" t="s">
        <v>1529</v>
      </c>
      <c r="L129" s="3">
        <v>6</v>
      </c>
      <c r="M129" s="3" t="s">
        <v>502</v>
      </c>
      <c r="N129" s="3" t="s">
        <v>1555</v>
      </c>
      <c r="O129" s="10">
        <v>27518</v>
      </c>
      <c r="P129" s="10">
        <v>34846</v>
      </c>
      <c r="Q129" s="10"/>
      <c r="R129" s="10">
        <v>45291</v>
      </c>
      <c r="S129" s="23">
        <v>7891.7</v>
      </c>
      <c r="T129" s="3">
        <v>24503844</v>
      </c>
      <c r="U129" s="3">
        <v>27505040300216</v>
      </c>
      <c r="V129" s="4" t="s">
        <v>1803</v>
      </c>
      <c r="W129" s="4"/>
      <c r="X129" s="4" t="s">
        <v>1583</v>
      </c>
      <c r="Z129" s="3">
        <f ca="1">DATEDIF(Table1[[#This Row],[تاريخ الميلاد]],TODAY(),"y")</f>
        <v>51</v>
      </c>
      <c r="AA12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51 عام 3  شهر  16  يوم </v>
      </c>
      <c r="AB12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31عام2  شهر  24  يوم </v>
      </c>
      <c r="AC129" s="10">
        <f>DATE(YEAR(Table1[[#This Row],[تاريخ الميلاد]])+60,MONTH(Table1[[#This Row],[تاريخ الميلاد]]),DAY(Table1[[#This Row],[تاريخ الميلاد]]))</f>
        <v>49433</v>
      </c>
      <c r="AD129" s="14">
        <f>DATE(YEAR(Table1[[#This Row],[معاش 01/01]])-1,MONTH(Table1[[#This Row],[تاريخ بلوغ 60 ]]),DAY(Table1[[#This Row],[تاريخ بلوغ 60 ]]))</f>
        <v>49433</v>
      </c>
      <c r="AE12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49799</v>
      </c>
      <c r="AF129" s="10" t="str">
        <f>IFERROR(IF(ISODD(MID(Table1[[#This Row],[الرقم القومي]],13,1)),"ذكر","انثي"),"")</f>
        <v>ذكر</v>
      </c>
      <c r="AG129" s="70" t="s">
        <v>2606</v>
      </c>
      <c r="AH129" s="3">
        <f>IF(MONTH(Table1[[#This Row],[تاريخ بلوغ 60 ]])&lt;&gt;1,1,0)</f>
        <v>1</v>
      </c>
      <c r="AI129" s="3">
        <f>IF(DAY(Table1[[#This Row],[تاريخ بلوغ 60 ]])&lt;&gt;1,1,0)</f>
        <v>1</v>
      </c>
      <c r="AJ129" s="4" t="s">
        <v>465</v>
      </c>
      <c r="AK129" s="4" t="s">
        <v>2666</v>
      </c>
      <c r="AL129" s="62" t="s">
        <v>1802</v>
      </c>
      <c r="AM129" s="62" t="s">
        <v>2763</v>
      </c>
      <c r="AN129" s="2">
        <v>1</v>
      </c>
      <c r="AO129" s="4" t="s">
        <v>2641</v>
      </c>
      <c r="AP129" s="74">
        <v>934.72</v>
      </c>
      <c r="AQ129" s="4">
        <v>12.5</v>
      </c>
      <c r="AR129" s="4">
        <v>3</v>
      </c>
      <c r="AS129" s="4" t="s">
        <v>2668</v>
      </c>
      <c r="AT129" s="72">
        <v>6</v>
      </c>
      <c r="AU129" s="2">
        <v>6</v>
      </c>
      <c r="AV129" s="4"/>
      <c r="AW129" s="4"/>
      <c r="AX129" s="4"/>
    </row>
    <row r="130" spans="1:50" ht="15" x14ac:dyDescent="0.2">
      <c r="A130" s="3">
        <v>26142</v>
      </c>
      <c r="B130" s="1" t="s">
        <v>468</v>
      </c>
      <c r="C130" s="3">
        <v>1</v>
      </c>
      <c r="D130" s="3" t="s">
        <v>465</v>
      </c>
      <c r="E130" s="3">
        <v>3</v>
      </c>
      <c r="F130" s="3" t="s">
        <v>472</v>
      </c>
      <c r="G130" s="7" t="s">
        <v>94</v>
      </c>
      <c r="H130" s="3">
        <v>43</v>
      </c>
      <c r="I130" s="3" t="s">
        <v>724</v>
      </c>
      <c r="J130" s="3">
        <v>17</v>
      </c>
      <c r="K130" s="3" t="s">
        <v>1530</v>
      </c>
      <c r="L130" s="3">
        <v>4</v>
      </c>
      <c r="M130" s="3" t="s">
        <v>498</v>
      </c>
      <c r="N130" s="3" t="s">
        <v>716</v>
      </c>
      <c r="O130" s="10">
        <v>25272</v>
      </c>
      <c r="P130" s="10">
        <v>34846</v>
      </c>
      <c r="Q130" s="10"/>
      <c r="R130" s="10">
        <v>45657</v>
      </c>
      <c r="S130" s="23">
        <v>8579.7800000000007</v>
      </c>
      <c r="T130" s="3">
        <v>48966698</v>
      </c>
      <c r="U130" s="3">
        <v>26903100300051</v>
      </c>
      <c r="V130" s="4" t="s">
        <v>1805</v>
      </c>
      <c r="W130" s="4"/>
      <c r="X130" s="4" t="s">
        <v>1583</v>
      </c>
      <c r="Y130" s="4">
        <v>1986</v>
      </c>
      <c r="Z130" s="3">
        <f ca="1">DATEDIF(Table1[[#This Row],[تاريخ الميلاد]],TODAY(),"y")</f>
        <v>57</v>
      </c>
      <c r="AA13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57 عام 5  شهر  10  يوم </v>
      </c>
      <c r="AB13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31عام2  شهر  24  يوم </v>
      </c>
      <c r="AC130" s="10">
        <f>DATE(YEAR(Table1[[#This Row],[تاريخ الميلاد]])+60,MONTH(Table1[[#This Row],[تاريخ الميلاد]]),DAY(Table1[[#This Row],[تاريخ الميلاد]]))</f>
        <v>47187</v>
      </c>
      <c r="AD130" s="14">
        <f>DATE(YEAR(Table1[[#This Row],[معاش 01/01]])-1,MONTH(Table1[[#This Row],[تاريخ بلوغ 60 ]]),DAY(Table1[[#This Row],[تاريخ بلوغ 60 ]]))</f>
        <v>47187</v>
      </c>
      <c r="AE13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47552</v>
      </c>
      <c r="AF130" s="10" t="str">
        <f>IFERROR(IF(ISODD(MID(Table1[[#This Row],[الرقم القومي]],13,1)),"ذكر","انثي"),"")</f>
        <v>ذكر</v>
      </c>
      <c r="AG130" s="70" t="s">
        <v>2606</v>
      </c>
      <c r="AH130" s="3">
        <f>IF(MONTH(Table1[[#This Row],[تاريخ بلوغ 60 ]])&lt;&gt;1,1,0)</f>
        <v>1</v>
      </c>
      <c r="AI130" s="3">
        <f>IF(DAY(Table1[[#This Row],[تاريخ بلوغ 60 ]])&lt;&gt;1,1,0)</f>
        <v>1</v>
      </c>
      <c r="AJ130" s="4" t="s">
        <v>465</v>
      </c>
      <c r="AK130" s="4" t="s">
        <v>2730</v>
      </c>
      <c r="AL130" s="62" t="s">
        <v>1804</v>
      </c>
      <c r="AM130" s="62" t="s">
        <v>2764</v>
      </c>
      <c r="AN130" s="2">
        <v>2</v>
      </c>
      <c r="AO130" s="4" t="s">
        <v>2641</v>
      </c>
      <c r="AP130" s="74">
        <v>1219.23</v>
      </c>
      <c r="AQ130" s="4">
        <v>15</v>
      </c>
      <c r="AR130" s="4">
        <v>3</v>
      </c>
      <c r="AS130" s="4" t="s">
        <v>2668</v>
      </c>
      <c r="AT130" s="72">
        <v>6</v>
      </c>
      <c r="AU130" s="2">
        <v>4</v>
      </c>
      <c r="AV130" s="4"/>
      <c r="AW130" s="4"/>
      <c r="AX130" s="4"/>
    </row>
    <row r="131" spans="1:50" ht="15" x14ac:dyDescent="0.2">
      <c r="A131" s="3">
        <v>26204</v>
      </c>
      <c r="B131" s="1" t="s">
        <v>468</v>
      </c>
      <c r="C131" s="3">
        <v>1</v>
      </c>
      <c r="D131" s="3" t="s">
        <v>465</v>
      </c>
      <c r="E131" s="3">
        <v>3</v>
      </c>
      <c r="F131" s="3" t="s">
        <v>472</v>
      </c>
      <c r="G131" s="7" t="s">
        <v>95</v>
      </c>
      <c r="H131" s="3">
        <v>104</v>
      </c>
      <c r="I131" s="3" t="s">
        <v>1083</v>
      </c>
      <c r="J131" s="3">
        <v>18</v>
      </c>
      <c r="K131" s="3" t="s">
        <v>1529</v>
      </c>
      <c r="L131" s="3">
        <v>3</v>
      </c>
      <c r="M131" s="3" t="s">
        <v>496</v>
      </c>
      <c r="N131" s="3" t="s">
        <v>1085</v>
      </c>
      <c r="O131" s="10">
        <v>25136</v>
      </c>
      <c r="P131" s="10">
        <v>34933</v>
      </c>
      <c r="Q131" s="10"/>
      <c r="R131" s="10">
        <v>44926</v>
      </c>
      <c r="S131" s="23">
        <v>10395.83</v>
      </c>
      <c r="T131" s="3">
        <v>49160844</v>
      </c>
      <c r="U131" s="3">
        <v>26810250300077</v>
      </c>
      <c r="V131" s="4" t="s">
        <v>1807</v>
      </c>
      <c r="W131" s="4"/>
      <c r="X131" s="4" t="s">
        <v>1583</v>
      </c>
      <c r="Y131" s="4">
        <v>1991</v>
      </c>
      <c r="Z131" s="3">
        <f ca="1">DATEDIF(Table1[[#This Row],[تاريخ الميلاد]],TODAY(),"y")</f>
        <v>57</v>
      </c>
      <c r="AA13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57 عام 9  شهر  26  يوم </v>
      </c>
      <c r="AB13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30عام11  شهر  29  يوم </v>
      </c>
      <c r="AC131" s="10">
        <f>DATE(YEAR(Table1[[#This Row],[تاريخ الميلاد]])+60,MONTH(Table1[[#This Row],[تاريخ الميلاد]]),DAY(Table1[[#This Row],[تاريخ الميلاد]]))</f>
        <v>47051</v>
      </c>
      <c r="AD131" s="14">
        <f>DATE(YEAR(Table1[[#This Row],[معاش 01/01]])-1,MONTH(Table1[[#This Row],[تاريخ بلوغ 60 ]]),DAY(Table1[[#This Row],[تاريخ بلوغ 60 ]]))</f>
        <v>47051</v>
      </c>
      <c r="AE13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47416</v>
      </c>
      <c r="AF131" s="10" t="str">
        <f>IFERROR(IF(ISODD(MID(Table1[[#This Row],[الرقم القومي]],13,1)),"ذكر","انثي"),"")</f>
        <v>ذكر</v>
      </c>
      <c r="AG131" s="70" t="s">
        <v>2606</v>
      </c>
      <c r="AH131" s="3">
        <f>IF(MONTH(Table1[[#This Row],[تاريخ بلوغ 60 ]])&lt;&gt;1,1,0)</f>
        <v>1</v>
      </c>
      <c r="AI131" s="3">
        <f>IF(DAY(Table1[[#This Row],[تاريخ بلوغ 60 ]])&lt;&gt;1,1,0)</f>
        <v>1</v>
      </c>
      <c r="AJ131" s="4" t="s">
        <v>465</v>
      </c>
      <c r="AK131" s="4" t="s">
        <v>2636</v>
      </c>
      <c r="AL131" s="62" t="s">
        <v>1806</v>
      </c>
      <c r="AM131" s="62" t="s">
        <v>2765</v>
      </c>
      <c r="AN131" s="2">
        <v>3</v>
      </c>
      <c r="AO131" s="4" t="s">
        <v>2641</v>
      </c>
      <c r="AP131" s="74">
        <v>1848.3</v>
      </c>
      <c r="AQ131" s="4">
        <v>18.75</v>
      </c>
      <c r="AR131" s="4">
        <v>3</v>
      </c>
      <c r="AS131" s="4" t="s">
        <v>2668</v>
      </c>
      <c r="AT131" s="72">
        <v>6</v>
      </c>
      <c r="AU131" s="2">
        <v>3</v>
      </c>
      <c r="AV131" s="4"/>
      <c r="AW131" s="4"/>
      <c r="AX131" s="4"/>
    </row>
    <row r="132" spans="1:50" ht="15" x14ac:dyDescent="0.2">
      <c r="A132" s="3">
        <v>26239</v>
      </c>
      <c r="B132" s="1" t="s">
        <v>468</v>
      </c>
      <c r="C132" s="3">
        <v>1</v>
      </c>
      <c r="D132" s="3" t="s">
        <v>465</v>
      </c>
      <c r="E132" s="3">
        <v>3</v>
      </c>
      <c r="F132" s="3" t="s">
        <v>472</v>
      </c>
      <c r="G132" s="7" t="s">
        <v>96</v>
      </c>
      <c r="H132" s="3">
        <v>104</v>
      </c>
      <c r="I132" s="3" t="s">
        <v>1083</v>
      </c>
      <c r="J132" s="3">
        <v>18</v>
      </c>
      <c r="K132" s="3" t="s">
        <v>1529</v>
      </c>
      <c r="L132" s="3">
        <v>3</v>
      </c>
      <c r="M132" s="3" t="s">
        <v>496</v>
      </c>
      <c r="N132" s="3" t="s">
        <v>1085</v>
      </c>
      <c r="O132" s="10">
        <v>27349</v>
      </c>
      <c r="P132" s="10">
        <v>34953</v>
      </c>
      <c r="Q132" s="10"/>
      <c r="R132" s="10">
        <v>44926</v>
      </c>
      <c r="S132" s="23">
        <v>10395.83</v>
      </c>
      <c r="T132" s="3">
        <v>5502530</v>
      </c>
      <c r="U132" s="3">
        <v>27411160300151</v>
      </c>
      <c r="V132" s="4" t="s">
        <v>1809</v>
      </c>
      <c r="W132" s="4"/>
      <c r="X132" s="4" t="s">
        <v>1583</v>
      </c>
      <c r="Z132" s="3">
        <f ca="1">DATEDIF(Table1[[#This Row],[تاريخ الميلاد]],TODAY(),"y")</f>
        <v>51</v>
      </c>
      <c r="AA13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51 عام 9  شهر  4  يوم </v>
      </c>
      <c r="AB13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30عام11  شهر  9  يوم </v>
      </c>
      <c r="AC132" s="10">
        <f>DATE(YEAR(Table1[[#This Row],[تاريخ الميلاد]])+60,MONTH(Table1[[#This Row],[تاريخ الميلاد]]),DAY(Table1[[#This Row],[تاريخ الميلاد]]))</f>
        <v>49264</v>
      </c>
      <c r="AD132" s="14">
        <f>DATE(YEAR(Table1[[#This Row],[معاش 01/01]])-1,MONTH(Table1[[#This Row],[تاريخ بلوغ 60 ]]),DAY(Table1[[#This Row],[تاريخ بلوغ 60 ]]))</f>
        <v>49264</v>
      </c>
      <c r="AE13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49629</v>
      </c>
      <c r="AF132" s="10" t="str">
        <f>IFERROR(IF(ISODD(MID(Table1[[#This Row],[الرقم القومي]],13,1)),"ذكر","انثي"),"")</f>
        <v>ذكر</v>
      </c>
      <c r="AG132" s="70" t="s">
        <v>2606</v>
      </c>
      <c r="AH132" s="3">
        <f>IF(MONTH(Table1[[#This Row],[تاريخ بلوغ 60 ]])&lt;&gt;1,1,0)</f>
        <v>1</v>
      </c>
      <c r="AI132" s="3">
        <f>IF(DAY(Table1[[#This Row],[تاريخ بلوغ 60 ]])&lt;&gt;1,1,0)</f>
        <v>1</v>
      </c>
      <c r="AJ132" s="4" t="s">
        <v>465</v>
      </c>
      <c r="AK132" s="4" t="s">
        <v>2636</v>
      </c>
      <c r="AL132" s="62" t="s">
        <v>1808</v>
      </c>
      <c r="AM132" s="62" t="s">
        <v>2766</v>
      </c>
      <c r="AN132" s="2">
        <v>3</v>
      </c>
      <c r="AO132" s="4" t="s">
        <v>2641</v>
      </c>
      <c r="AP132" s="74">
        <v>1848.3</v>
      </c>
      <c r="AQ132" s="4">
        <v>18.75</v>
      </c>
      <c r="AR132" s="4">
        <v>2</v>
      </c>
      <c r="AS132" s="4" t="s">
        <v>2696</v>
      </c>
      <c r="AT132" s="72">
        <v>4</v>
      </c>
      <c r="AU132" s="2">
        <v>3</v>
      </c>
      <c r="AV132" s="4"/>
      <c r="AW132" s="4"/>
      <c r="AX132" s="4"/>
    </row>
    <row r="133" spans="1:50" ht="15" x14ac:dyDescent="0.2">
      <c r="A133" s="3">
        <v>26244</v>
      </c>
      <c r="B133" s="1" t="s">
        <v>468</v>
      </c>
      <c r="C133" s="3">
        <v>1</v>
      </c>
      <c r="D133" s="3" t="s">
        <v>465</v>
      </c>
      <c r="E133" s="3">
        <v>21</v>
      </c>
      <c r="F133" s="3" t="s">
        <v>474</v>
      </c>
      <c r="G133" s="7" t="s">
        <v>97</v>
      </c>
      <c r="H133" s="3">
        <v>63</v>
      </c>
      <c r="I133" s="3" t="s">
        <v>797</v>
      </c>
      <c r="J133" s="3">
        <v>18</v>
      </c>
      <c r="K133" s="3" t="s">
        <v>1529</v>
      </c>
      <c r="L133" s="3">
        <v>3</v>
      </c>
      <c r="M133" s="3" t="s">
        <v>496</v>
      </c>
      <c r="N133" s="3" t="s">
        <v>777</v>
      </c>
      <c r="O133" s="10">
        <v>25204</v>
      </c>
      <c r="P133" s="10">
        <v>35028</v>
      </c>
      <c r="Q133" s="10"/>
      <c r="R133" s="10">
        <v>44926</v>
      </c>
      <c r="S133" s="23">
        <v>10395.83</v>
      </c>
      <c r="T133" s="3">
        <v>6281673</v>
      </c>
      <c r="U133" s="3">
        <v>26901010300491</v>
      </c>
      <c r="V133" s="4" t="s">
        <v>1811</v>
      </c>
      <c r="W133" s="4"/>
      <c r="X133" s="4" t="s">
        <v>1583</v>
      </c>
      <c r="Z133" s="3">
        <f ca="1">DATEDIF(Table1[[#This Row],[تاريخ الميلاد]],TODAY(),"y")</f>
        <v>57</v>
      </c>
      <c r="AA13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57 عام 7  شهر  19  يوم </v>
      </c>
      <c r="AB13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30عام8  شهر  26  يوم </v>
      </c>
      <c r="AC133" s="10">
        <f>DATE(YEAR(Table1[[#This Row],[تاريخ الميلاد]])+60,MONTH(Table1[[#This Row],[تاريخ الميلاد]]),DAY(Table1[[#This Row],[تاريخ الميلاد]]))</f>
        <v>47119</v>
      </c>
      <c r="AD133" s="14">
        <f>DATE(YEAR(Table1[[#This Row],[معاش 01/01]])-1,MONTH(Table1[[#This Row],[تاريخ بلوغ 60 ]]),DAY(Table1[[#This Row],[تاريخ بلوغ 60 ]]))</f>
        <v>46753</v>
      </c>
      <c r="AE13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47119</v>
      </c>
      <c r="AF133" s="10" t="str">
        <f>IFERROR(IF(ISODD(MID(Table1[[#This Row],[الرقم القومي]],13,1)),"ذكر","انثي"),"")</f>
        <v>ذكر</v>
      </c>
      <c r="AG133" s="70" t="s">
        <v>2606</v>
      </c>
      <c r="AH133" s="3">
        <f>IF(MONTH(Table1[[#This Row],[تاريخ بلوغ 60 ]])&lt;&gt;1,1,0)</f>
        <v>0</v>
      </c>
      <c r="AI133" s="3">
        <f>IF(DAY(Table1[[#This Row],[تاريخ بلوغ 60 ]])&lt;&gt;1,1,0)</f>
        <v>0</v>
      </c>
      <c r="AJ133" s="4" t="s">
        <v>465</v>
      </c>
      <c r="AK133" s="4" t="s">
        <v>2636</v>
      </c>
      <c r="AL133" s="4" t="s">
        <v>1810</v>
      </c>
      <c r="AM133" s="62" t="s">
        <v>2767</v>
      </c>
      <c r="AN133" s="2">
        <v>1</v>
      </c>
      <c r="AO133" s="4" t="s">
        <v>2641</v>
      </c>
      <c r="AP133" s="74">
        <v>1232.2</v>
      </c>
      <c r="AQ133" s="4">
        <v>12.5</v>
      </c>
      <c r="AR133" s="4">
        <v>1</v>
      </c>
      <c r="AS133" s="4" t="s">
        <v>2635</v>
      </c>
      <c r="AT133" s="72">
        <v>2</v>
      </c>
      <c r="AU133" s="2">
        <v>3</v>
      </c>
      <c r="AV133" s="4"/>
      <c r="AW133" s="4"/>
      <c r="AX133" s="4"/>
    </row>
    <row r="134" spans="1:50" ht="15" x14ac:dyDescent="0.2">
      <c r="A134" s="3">
        <v>26258</v>
      </c>
      <c r="B134" s="1" t="s">
        <v>468</v>
      </c>
      <c r="C134" s="3">
        <v>1</v>
      </c>
      <c r="D134" s="3" t="s">
        <v>465</v>
      </c>
      <c r="E134" s="3">
        <v>21</v>
      </c>
      <c r="F134" s="3" t="s">
        <v>474</v>
      </c>
      <c r="G134" s="7" t="s">
        <v>98</v>
      </c>
      <c r="H134" s="3">
        <v>63</v>
      </c>
      <c r="I134" s="3" t="s">
        <v>797</v>
      </c>
      <c r="J134" s="3">
        <v>18</v>
      </c>
      <c r="K134" s="3" t="s">
        <v>1529</v>
      </c>
      <c r="L134" s="3">
        <v>4</v>
      </c>
      <c r="M134" s="3" t="s">
        <v>498</v>
      </c>
      <c r="N134" s="3" t="s">
        <v>798</v>
      </c>
      <c r="O134" s="10">
        <v>25334</v>
      </c>
      <c r="P134" s="10">
        <v>35028</v>
      </c>
      <c r="Q134" s="10"/>
      <c r="R134" s="10">
        <v>45657</v>
      </c>
      <c r="S134" s="23">
        <v>9429.18</v>
      </c>
      <c r="T134" s="3">
        <v>45532426</v>
      </c>
      <c r="U134" s="3">
        <v>26905110300051</v>
      </c>
      <c r="V134" s="4" t="s">
        <v>1813</v>
      </c>
      <c r="W134" s="4"/>
      <c r="X134" s="4" t="s">
        <v>1583</v>
      </c>
      <c r="Z134" s="3">
        <f ca="1">DATEDIF(Table1[[#This Row],[تاريخ الميلاد]],TODAY(),"y")</f>
        <v>57</v>
      </c>
      <c r="AA13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57 عام 3  شهر  9  يوم </v>
      </c>
      <c r="AB13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30عام8  شهر  26  يوم </v>
      </c>
      <c r="AC134" s="10">
        <f>DATE(YEAR(Table1[[#This Row],[تاريخ الميلاد]])+60,MONTH(Table1[[#This Row],[تاريخ الميلاد]]),DAY(Table1[[#This Row],[تاريخ الميلاد]]))</f>
        <v>47249</v>
      </c>
      <c r="AD134" s="14">
        <f>DATE(YEAR(Table1[[#This Row],[معاش 01/01]])-1,MONTH(Table1[[#This Row],[تاريخ بلوغ 60 ]]),DAY(Table1[[#This Row],[تاريخ بلوغ 60 ]]))</f>
        <v>47249</v>
      </c>
      <c r="AE13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47614</v>
      </c>
      <c r="AF134" s="10" t="str">
        <f>IFERROR(IF(ISODD(MID(Table1[[#This Row],[الرقم القومي]],13,1)),"ذكر","انثي"),"")</f>
        <v>ذكر</v>
      </c>
      <c r="AG134" s="70" t="s">
        <v>2606</v>
      </c>
      <c r="AH134" s="3">
        <f>IF(MONTH(Table1[[#This Row],[تاريخ بلوغ 60 ]])&lt;&gt;1,1,0)</f>
        <v>1</v>
      </c>
      <c r="AI134" s="3">
        <f>IF(DAY(Table1[[#This Row],[تاريخ بلوغ 60 ]])&lt;&gt;1,1,0)</f>
        <v>1</v>
      </c>
      <c r="AJ134" s="4" t="s">
        <v>465</v>
      </c>
      <c r="AK134" s="4" t="s">
        <v>2636</v>
      </c>
      <c r="AL134" s="4" t="s">
        <v>1812</v>
      </c>
      <c r="AM134" s="62" t="s">
        <v>2768</v>
      </c>
      <c r="AN134" s="2">
        <v>1</v>
      </c>
      <c r="AO134" s="4" t="s">
        <v>2641</v>
      </c>
      <c r="AP134" s="74">
        <v>1116.4000000000001</v>
      </c>
      <c r="AQ134" s="4">
        <v>12.5</v>
      </c>
      <c r="AR134" s="4">
        <v>3</v>
      </c>
      <c r="AS134" s="4" t="s">
        <v>2668</v>
      </c>
      <c r="AT134" s="72">
        <v>6</v>
      </c>
      <c r="AU134" s="2">
        <v>4</v>
      </c>
      <c r="AV134" s="4"/>
      <c r="AW134" s="4"/>
      <c r="AX134" s="4"/>
    </row>
    <row r="135" spans="1:50" ht="15" x14ac:dyDescent="0.2">
      <c r="A135" s="3">
        <v>26271</v>
      </c>
      <c r="B135" s="1" t="s">
        <v>468</v>
      </c>
      <c r="C135" s="3">
        <v>1</v>
      </c>
      <c r="D135" s="3" t="s">
        <v>465</v>
      </c>
      <c r="E135" s="3">
        <v>3</v>
      </c>
      <c r="F135" s="3" t="s">
        <v>472</v>
      </c>
      <c r="G135" s="7" t="s">
        <v>99</v>
      </c>
      <c r="H135" s="3">
        <v>225</v>
      </c>
      <c r="I135" s="3" t="s">
        <v>1551</v>
      </c>
      <c r="J135" s="3">
        <v>18</v>
      </c>
      <c r="K135" s="3" t="s">
        <v>1529</v>
      </c>
      <c r="L135" s="3">
        <v>3</v>
      </c>
      <c r="M135" s="3" t="s">
        <v>496</v>
      </c>
      <c r="N135" s="3" t="s">
        <v>777</v>
      </c>
      <c r="O135" s="10">
        <v>25418</v>
      </c>
      <c r="P135" s="10">
        <v>35028</v>
      </c>
      <c r="Q135" s="10"/>
      <c r="R135" s="10">
        <v>44926</v>
      </c>
      <c r="S135" s="23">
        <v>10395.83</v>
      </c>
      <c r="T135" s="3">
        <v>45552588</v>
      </c>
      <c r="U135" s="3">
        <v>26908030300033</v>
      </c>
      <c r="V135" s="4" t="s">
        <v>1815</v>
      </c>
      <c r="W135" s="4"/>
      <c r="X135" s="4" t="s">
        <v>1583</v>
      </c>
      <c r="Z135" s="3">
        <f ca="1">DATEDIF(Table1[[#This Row],[تاريخ الميلاد]],TODAY(),"y")</f>
        <v>57</v>
      </c>
      <c r="AA13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57 عام 0  شهر  17  يوم </v>
      </c>
      <c r="AB13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30عام8  شهر  26  يوم </v>
      </c>
      <c r="AC135" s="10">
        <f>DATE(YEAR(Table1[[#This Row],[تاريخ الميلاد]])+60,MONTH(Table1[[#This Row],[تاريخ الميلاد]]),DAY(Table1[[#This Row],[تاريخ الميلاد]]))</f>
        <v>47333</v>
      </c>
      <c r="AD135" s="14">
        <f>DATE(YEAR(Table1[[#This Row],[معاش 01/01]])-1,MONTH(Table1[[#This Row],[تاريخ بلوغ 60 ]]),DAY(Table1[[#This Row],[تاريخ بلوغ 60 ]]))</f>
        <v>47333</v>
      </c>
      <c r="AE13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47698</v>
      </c>
      <c r="AF135" s="10" t="str">
        <f>IFERROR(IF(ISODD(MID(Table1[[#This Row],[الرقم القومي]],13,1)),"ذكر","انثي"),"")</f>
        <v>ذكر</v>
      </c>
      <c r="AG135" s="70" t="s">
        <v>2606</v>
      </c>
      <c r="AH135" s="3">
        <f>IF(MONTH(Table1[[#This Row],[تاريخ بلوغ 60 ]])&lt;&gt;1,1,0)</f>
        <v>1</v>
      </c>
      <c r="AI135" s="3">
        <f>IF(DAY(Table1[[#This Row],[تاريخ بلوغ 60 ]])&lt;&gt;1,1,0)</f>
        <v>1</v>
      </c>
      <c r="AJ135" s="4" t="s">
        <v>465</v>
      </c>
      <c r="AK135" s="4" t="s">
        <v>2770</v>
      </c>
      <c r="AL135" s="4" t="s">
        <v>1814</v>
      </c>
      <c r="AM135" s="62" t="s">
        <v>2769</v>
      </c>
      <c r="AN135" s="2">
        <v>1</v>
      </c>
      <c r="AO135" s="4" t="s">
        <v>2641</v>
      </c>
      <c r="AP135" s="74">
        <v>1232.2</v>
      </c>
      <c r="AQ135" s="4">
        <v>12.5</v>
      </c>
      <c r="AR135" s="4">
        <v>3</v>
      </c>
      <c r="AS135" s="4" t="s">
        <v>2668</v>
      </c>
      <c r="AT135" s="72">
        <v>6</v>
      </c>
      <c r="AU135" s="2">
        <v>3</v>
      </c>
      <c r="AV135" s="4"/>
      <c r="AW135" s="4"/>
      <c r="AX135" s="4"/>
    </row>
    <row r="136" spans="1:50" ht="15" x14ac:dyDescent="0.2">
      <c r="A136" s="3">
        <v>26657</v>
      </c>
      <c r="B136" s="1" t="s">
        <v>468</v>
      </c>
      <c r="C136" s="3">
        <v>1</v>
      </c>
      <c r="D136" s="3" t="s">
        <v>465</v>
      </c>
      <c r="E136" s="3">
        <v>3</v>
      </c>
      <c r="F136" s="3" t="s">
        <v>472</v>
      </c>
      <c r="G136" s="7" t="s">
        <v>100</v>
      </c>
      <c r="H136" s="3">
        <v>41</v>
      </c>
      <c r="I136" s="3" t="s">
        <v>713</v>
      </c>
      <c r="J136" s="3">
        <v>17</v>
      </c>
      <c r="K136" s="3" t="s">
        <v>1530</v>
      </c>
      <c r="L136" s="3">
        <v>3</v>
      </c>
      <c r="M136" s="3" t="s">
        <v>496</v>
      </c>
      <c r="N136" s="3" t="s">
        <v>715</v>
      </c>
      <c r="O136" s="10">
        <v>26227</v>
      </c>
      <c r="P136" s="10">
        <v>35226</v>
      </c>
      <c r="Q136" s="10"/>
      <c r="R136" s="10">
        <v>45291</v>
      </c>
      <c r="S136" s="23">
        <v>10726.23</v>
      </c>
      <c r="T136" s="3">
        <v>4703110</v>
      </c>
      <c r="U136" s="3">
        <v>27110211100518</v>
      </c>
      <c r="V136" s="4" t="s">
        <v>1817</v>
      </c>
      <c r="W136" s="4"/>
      <c r="X136" s="4" t="s">
        <v>1583</v>
      </c>
      <c r="Y136" s="4">
        <v>1993</v>
      </c>
      <c r="Z136" s="3">
        <f ca="1">DATEDIF(Table1[[#This Row],[تاريخ الميلاد]],TODAY(),"y")</f>
        <v>54</v>
      </c>
      <c r="AA13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54 عام 9  شهر  30  يوم </v>
      </c>
      <c r="AB13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30عام2  شهر  10  يوم </v>
      </c>
      <c r="AC136" s="10">
        <f>DATE(YEAR(Table1[[#This Row],[تاريخ الميلاد]])+60,MONTH(Table1[[#This Row],[تاريخ الميلاد]]),DAY(Table1[[#This Row],[تاريخ الميلاد]]))</f>
        <v>48142</v>
      </c>
      <c r="AD136" s="14">
        <f>DATE(YEAR(Table1[[#This Row],[معاش 01/01]])-1,MONTH(Table1[[#This Row],[تاريخ بلوغ 60 ]]),DAY(Table1[[#This Row],[تاريخ بلوغ 60 ]]))</f>
        <v>48142</v>
      </c>
      <c r="AE13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48508</v>
      </c>
      <c r="AF136" s="10" t="str">
        <f>IFERROR(IF(ISODD(MID(Table1[[#This Row],[الرقم القومي]],13,1)),"ذكر","انثي"),"")</f>
        <v>ذكر</v>
      </c>
      <c r="AG136" s="70" t="s">
        <v>2609</v>
      </c>
      <c r="AH136" s="3">
        <f>IF(MONTH(Table1[[#This Row],[تاريخ بلوغ 60 ]])&lt;&gt;1,1,0)</f>
        <v>1</v>
      </c>
      <c r="AI136" s="3">
        <f>IF(DAY(Table1[[#This Row],[تاريخ بلوغ 60 ]])&lt;&gt;1,1,0)</f>
        <v>1</v>
      </c>
      <c r="AJ136" s="4" t="s">
        <v>465</v>
      </c>
      <c r="AK136" s="4" t="s">
        <v>2638</v>
      </c>
      <c r="AL136" s="4" t="s">
        <v>1816</v>
      </c>
      <c r="AM136" s="62" t="s">
        <v>2771</v>
      </c>
      <c r="AN136" s="2">
        <v>1</v>
      </c>
      <c r="AO136" s="4" t="s">
        <v>2641</v>
      </c>
      <c r="AP136" s="74">
        <v>1271.8399999999999</v>
      </c>
      <c r="AQ136" s="4">
        <v>12.5</v>
      </c>
      <c r="AR136" s="4">
        <v>3</v>
      </c>
      <c r="AS136" s="4" t="s">
        <v>2668</v>
      </c>
      <c r="AT136" s="72">
        <v>6</v>
      </c>
      <c r="AU136" s="2">
        <v>3</v>
      </c>
      <c r="AV136" s="4"/>
      <c r="AW136" s="4"/>
      <c r="AX136" s="4"/>
    </row>
    <row r="137" spans="1:50" ht="15" x14ac:dyDescent="0.2">
      <c r="A137" s="3">
        <v>26706</v>
      </c>
      <c r="B137" s="1" t="s">
        <v>468</v>
      </c>
      <c r="C137" s="3">
        <v>1</v>
      </c>
      <c r="D137" s="3" t="s">
        <v>465</v>
      </c>
      <c r="E137" s="3">
        <v>3</v>
      </c>
      <c r="F137" s="3" t="s">
        <v>472</v>
      </c>
      <c r="G137" s="7" t="s">
        <v>101</v>
      </c>
      <c r="H137" s="3">
        <v>102</v>
      </c>
      <c r="I137" s="3" t="s">
        <v>1068</v>
      </c>
      <c r="J137" s="3">
        <v>18</v>
      </c>
      <c r="K137" s="3" t="s">
        <v>1529</v>
      </c>
      <c r="L137" s="3">
        <v>3</v>
      </c>
      <c r="M137" s="3" t="s">
        <v>496</v>
      </c>
      <c r="N137" s="3" t="s">
        <v>1063</v>
      </c>
      <c r="O137" s="10">
        <v>25831</v>
      </c>
      <c r="P137" s="10">
        <v>35323</v>
      </c>
      <c r="Q137" s="10"/>
      <c r="R137" s="10">
        <v>45291</v>
      </c>
      <c r="S137" s="23">
        <v>11390.43</v>
      </c>
      <c r="T137" s="3">
        <v>50214373</v>
      </c>
      <c r="U137" s="3">
        <v>27009201601451</v>
      </c>
      <c r="V137" s="4" t="s">
        <v>1819</v>
      </c>
      <c r="W137" s="4"/>
      <c r="X137" s="4" t="s">
        <v>1583</v>
      </c>
      <c r="Y137" s="4">
        <v>1991</v>
      </c>
      <c r="Z137" s="3">
        <f ca="1">DATEDIF(Table1[[#This Row],[تاريخ الميلاد]],TODAY(),"y")</f>
        <v>55</v>
      </c>
      <c r="AA13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55 عام 11  شهر  0  يوم </v>
      </c>
      <c r="AB13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29عام11  شهر  5  يوم </v>
      </c>
      <c r="AC137" s="10">
        <f>DATE(YEAR(Table1[[#This Row],[تاريخ الميلاد]])+60,MONTH(Table1[[#This Row],[تاريخ الميلاد]]),DAY(Table1[[#This Row],[تاريخ الميلاد]]))</f>
        <v>47746</v>
      </c>
      <c r="AD137" s="14">
        <f>DATE(YEAR(Table1[[#This Row],[معاش 01/01]])-1,MONTH(Table1[[#This Row],[تاريخ بلوغ 60 ]]),DAY(Table1[[#This Row],[تاريخ بلوغ 60 ]]))</f>
        <v>47746</v>
      </c>
      <c r="AE13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48111</v>
      </c>
      <c r="AF137" s="10" t="str">
        <f>IFERROR(IF(ISODD(MID(Table1[[#This Row],[الرقم القومي]],13,1)),"ذكر","انثي"),"")</f>
        <v>ذكر</v>
      </c>
      <c r="AG137" s="70" t="s">
        <v>2613</v>
      </c>
      <c r="AH137" s="3">
        <f>IF(MONTH(Table1[[#This Row],[تاريخ بلوغ 60 ]])&lt;&gt;1,1,0)</f>
        <v>1</v>
      </c>
      <c r="AI137" s="3">
        <f>IF(DAY(Table1[[#This Row],[تاريخ بلوغ 60 ]])&lt;&gt;1,1,0)</f>
        <v>1</v>
      </c>
      <c r="AJ137" s="4" t="s">
        <v>465</v>
      </c>
      <c r="AK137" s="4" t="s">
        <v>2636</v>
      </c>
      <c r="AL137" s="4" t="s">
        <v>1818</v>
      </c>
      <c r="AM137" s="62" t="s">
        <v>2772</v>
      </c>
      <c r="AN137" s="2">
        <v>4</v>
      </c>
      <c r="AO137" s="4" t="s">
        <v>2641</v>
      </c>
      <c r="AP137" s="74">
        <v>2000</v>
      </c>
      <c r="AQ137" s="4">
        <v>25</v>
      </c>
      <c r="AR137" s="4">
        <v>3</v>
      </c>
      <c r="AS137" s="4" t="s">
        <v>2668</v>
      </c>
      <c r="AT137" s="72">
        <v>6</v>
      </c>
      <c r="AU137" s="2">
        <v>3</v>
      </c>
      <c r="AV137" s="4"/>
      <c r="AW137" s="4"/>
      <c r="AX137" s="4"/>
    </row>
    <row r="138" spans="1:50" ht="15" x14ac:dyDescent="0.2">
      <c r="A138" s="3">
        <v>26710</v>
      </c>
      <c r="B138" s="1" t="s">
        <v>468</v>
      </c>
      <c r="C138" s="3">
        <v>1</v>
      </c>
      <c r="D138" s="3" t="s">
        <v>465</v>
      </c>
      <c r="E138" s="3">
        <v>3</v>
      </c>
      <c r="F138" s="3" t="s">
        <v>472</v>
      </c>
      <c r="G138" s="7" t="s">
        <v>102</v>
      </c>
      <c r="H138" s="3">
        <v>102</v>
      </c>
      <c r="I138" s="3" t="s">
        <v>1068</v>
      </c>
      <c r="J138" s="3">
        <v>18</v>
      </c>
      <c r="K138" s="3" t="s">
        <v>1529</v>
      </c>
      <c r="L138" s="3">
        <v>3</v>
      </c>
      <c r="M138" s="3" t="s">
        <v>496</v>
      </c>
      <c r="N138" s="3" t="s">
        <v>1063</v>
      </c>
      <c r="O138" s="10">
        <v>26881</v>
      </c>
      <c r="P138" s="10">
        <v>35327</v>
      </c>
      <c r="Q138" s="10"/>
      <c r="R138" s="10">
        <v>45291</v>
      </c>
      <c r="S138" s="23">
        <v>11525.59</v>
      </c>
      <c r="T138" s="3">
        <v>20275626</v>
      </c>
      <c r="U138" s="3">
        <v>27308051202291</v>
      </c>
      <c r="V138" s="4" t="s">
        <v>1821</v>
      </c>
      <c r="W138" s="4"/>
      <c r="X138" s="4" t="s">
        <v>1583</v>
      </c>
      <c r="Y138" s="4">
        <v>1993</v>
      </c>
      <c r="Z138" s="3">
        <f ca="1">DATEDIF(Table1[[#This Row],[تاريخ الميلاد]],TODAY(),"y")</f>
        <v>53</v>
      </c>
      <c r="AA13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53 عام 0  شهر  15  يوم </v>
      </c>
      <c r="AB13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29عام11  شهر  1  يوم </v>
      </c>
      <c r="AC138" s="10">
        <f>DATE(YEAR(Table1[[#This Row],[تاريخ الميلاد]])+60,MONTH(Table1[[#This Row],[تاريخ الميلاد]]),DAY(Table1[[#This Row],[تاريخ الميلاد]]))</f>
        <v>48796</v>
      </c>
      <c r="AD138" s="14">
        <f>DATE(YEAR(Table1[[#This Row],[معاش 01/01]])-1,MONTH(Table1[[#This Row],[تاريخ بلوغ 60 ]]),DAY(Table1[[#This Row],[تاريخ بلوغ 60 ]]))</f>
        <v>48796</v>
      </c>
      <c r="AE13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49161</v>
      </c>
      <c r="AF138" s="10" t="str">
        <f>IFERROR(IF(ISODD(MID(Table1[[#This Row],[الرقم القومي]],13,1)),"ذكر","انثي"),"")</f>
        <v>ذكر</v>
      </c>
      <c r="AG138" s="70" t="s">
        <v>1635</v>
      </c>
      <c r="AH138" s="3">
        <f>IF(MONTH(Table1[[#This Row],[تاريخ بلوغ 60 ]])&lt;&gt;1,1,0)</f>
        <v>1</v>
      </c>
      <c r="AI138" s="3">
        <f>IF(DAY(Table1[[#This Row],[تاريخ بلوغ 60 ]])&lt;&gt;1,1,0)</f>
        <v>1</v>
      </c>
      <c r="AJ138" s="4" t="s">
        <v>465</v>
      </c>
      <c r="AK138" s="4" t="s">
        <v>2636</v>
      </c>
      <c r="AL138" s="4" t="s">
        <v>1820</v>
      </c>
      <c r="AM138" s="62" t="s">
        <v>2773</v>
      </c>
      <c r="AN138" s="2">
        <v>4</v>
      </c>
      <c r="AO138" s="4" t="s">
        <v>2641</v>
      </c>
      <c r="AP138" s="74">
        <v>2000</v>
      </c>
      <c r="AQ138" s="4">
        <v>25</v>
      </c>
      <c r="AR138" s="4">
        <v>3</v>
      </c>
      <c r="AS138" s="4" t="s">
        <v>2668</v>
      </c>
      <c r="AT138" s="72">
        <v>6</v>
      </c>
      <c r="AU138" s="2">
        <v>3</v>
      </c>
      <c r="AV138" s="4"/>
      <c r="AW138" s="4"/>
      <c r="AX138" s="4"/>
    </row>
    <row r="139" spans="1:50" ht="15" x14ac:dyDescent="0.2">
      <c r="A139" s="3">
        <v>26716</v>
      </c>
      <c r="B139" s="1" t="s">
        <v>468</v>
      </c>
      <c r="C139" s="3">
        <v>1</v>
      </c>
      <c r="D139" s="3" t="s">
        <v>465</v>
      </c>
      <c r="E139" s="3">
        <v>21</v>
      </c>
      <c r="F139" s="3" t="s">
        <v>474</v>
      </c>
      <c r="G139" s="7" t="s">
        <v>103</v>
      </c>
      <c r="H139" s="3">
        <v>99</v>
      </c>
      <c r="I139" s="3" t="s">
        <v>1047</v>
      </c>
      <c r="J139" s="3">
        <v>18</v>
      </c>
      <c r="K139" s="3" t="s">
        <v>1529</v>
      </c>
      <c r="L139" s="3">
        <v>4</v>
      </c>
      <c r="M139" s="3" t="s">
        <v>498</v>
      </c>
      <c r="N139" s="3" t="s">
        <v>1050</v>
      </c>
      <c r="O139" s="10">
        <v>24701</v>
      </c>
      <c r="P139" s="10">
        <v>35339</v>
      </c>
      <c r="Q139" s="10"/>
      <c r="R139" s="10">
        <v>45291</v>
      </c>
      <c r="S139" s="23">
        <v>8351.48</v>
      </c>
      <c r="T139" s="3">
        <v>1412091</v>
      </c>
      <c r="U139" s="3">
        <v>26708170300034</v>
      </c>
      <c r="V139" s="4" t="s">
        <v>1823</v>
      </c>
      <c r="W139" s="4"/>
      <c r="X139" s="4" t="s">
        <v>1583</v>
      </c>
      <c r="Z139" s="3">
        <f ca="1">DATEDIF(Table1[[#This Row],[تاريخ الميلاد]],TODAY(),"y")</f>
        <v>59</v>
      </c>
      <c r="AA13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59 عام 0  شهر  3  يوم </v>
      </c>
      <c r="AB13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29عام10  شهر  19  يوم </v>
      </c>
      <c r="AC139" s="10">
        <f>DATE(YEAR(Table1[[#This Row],[تاريخ الميلاد]])+60,MONTH(Table1[[#This Row],[تاريخ الميلاد]]),DAY(Table1[[#This Row],[تاريخ الميلاد]]))</f>
        <v>46616</v>
      </c>
      <c r="AD139" s="14">
        <f>DATE(YEAR(Table1[[#This Row],[معاش 01/01]])-1,MONTH(Table1[[#This Row],[تاريخ بلوغ 60 ]]),DAY(Table1[[#This Row],[تاريخ بلوغ 60 ]]))</f>
        <v>46616</v>
      </c>
      <c r="AE13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46982</v>
      </c>
      <c r="AF139" s="10" t="str">
        <f>IFERROR(IF(ISODD(MID(Table1[[#This Row],[الرقم القومي]],13,1)),"ذكر","انثي"),"")</f>
        <v>ذكر</v>
      </c>
      <c r="AG139" s="70" t="s">
        <v>2606</v>
      </c>
      <c r="AH139" s="3">
        <f>IF(MONTH(Table1[[#This Row],[تاريخ بلوغ 60 ]])&lt;&gt;1,1,0)</f>
        <v>1</v>
      </c>
      <c r="AI139" s="3">
        <f>IF(DAY(Table1[[#This Row],[تاريخ بلوغ 60 ]])&lt;&gt;1,1,0)</f>
        <v>1</v>
      </c>
      <c r="AJ139" s="4" t="s">
        <v>465</v>
      </c>
      <c r="AK139" s="4" t="s">
        <v>2636</v>
      </c>
      <c r="AL139" s="4" t="s">
        <v>1822</v>
      </c>
      <c r="AM139" s="62" t="s">
        <v>2774</v>
      </c>
      <c r="AN139" s="2">
        <v>4</v>
      </c>
      <c r="AO139" s="4" t="s">
        <v>2641</v>
      </c>
      <c r="AP139" s="74">
        <v>1978.13</v>
      </c>
      <c r="AQ139" s="4">
        <v>25</v>
      </c>
      <c r="AR139" s="4">
        <v>3</v>
      </c>
      <c r="AS139" s="4" t="s">
        <v>2668</v>
      </c>
      <c r="AT139" s="72">
        <v>6</v>
      </c>
      <c r="AU139" s="2">
        <v>4</v>
      </c>
      <c r="AV139" s="4"/>
      <c r="AW139" s="4"/>
      <c r="AX139" s="4"/>
    </row>
    <row r="140" spans="1:50" ht="15" x14ac:dyDescent="0.2">
      <c r="A140" s="3">
        <v>26811</v>
      </c>
      <c r="B140" s="1" t="s">
        <v>468</v>
      </c>
      <c r="C140" s="3">
        <v>1</v>
      </c>
      <c r="D140" s="3" t="s">
        <v>465</v>
      </c>
      <c r="E140" s="3">
        <v>21</v>
      </c>
      <c r="F140" s="3" t="s">
        <v>474</v>
      </c>
      <c r="G140" s="7" t="s">
        <v>104</v>
      </c>
      <c r="H140" s="3">
        <v>100</v>
      </c>
      <c r="I140" s="3" t="s">
        <v>1054</v>
      </c>
      <c r="J140" s="3">
        <v>18</v>
      </c>
      <c r="K140" s="3" t="s">
        <v>1529</v>
      </c>
      <c r="L140" s="3">
        <v>3</v>
      </c>
      <c r="M140" s="3" t="s">
        <v>496</v>
      </c>
      <c r="N140" s="3" t="s">
        <v>1056</v>
      </c>
      <c r="O140" s="10">
        <v>27870</v>
      </c>
      <c r="P140" s="10">
        <v>35400</v>
      </c>
      <c r="Q140" s="10"/>
      <c r="R140" s="10">
        <v>45291</v>
      </c>
      <c r="S140" s="23">
        <v>10443.58</v>
      </c>
      <c r="T140" s="3">
        <v>16198766</v>
      </c>
      <c r="U140" s="3">
        <v>27604200300151</v>
      </c>
      <c r="V140" s="4" t="s">
        <v>1825</v>
      </c>
      <c r="W140" s="4"/>
      <c r="X140" s="4" t="s">
        <v>1583</v>
      </c>
      <c r="Z140" s="3">
        <f ca="1">DATEDIF(Table1[[#This Row],[تاريخ الميلاد]],TODAY(),"y")</f>
        <v>50</v>
      </c>
      <c r="AA14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50 عام 4  شهر  0  يوم </v>
      </c>
      <c r="AB14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29عام8  شهر  19  يوم </v>
      </c>
      <c r="AC140" s="10">
        <f>DATE(YEAR(Table1[[#This Row],[تاريخ الميلاد]])+60,MONTH(Table1[[#This Row],[تاريخ الميلاد]]),DAY(Table1[[#This Row],[تاريخ الميلاد]]))</f>
        <v>49785</v>
      </c>
      <c r="AD140" s="14">
        <f>DATE(YEAR(Table1[[#This Row],[معاش 01/01]])-1,MONTH(Table1[[#This Row],[تاريخ بلوغ 60 ]]),DAY(Table1[[#This Row],[تاريخ بلوغ 60 ]]))</f>
        <v>49785</v>
      </c>
      <c r="AE14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50150</v>
      </c>
      <c r="AF140" s="10" t="str">
        <f>IFERROR(IF(ISODD(MID(Table1[[#This Row],[الرقم القومي]],13,1)),"ذكر","انثي"),"")</f>
        <v>ذكر</v>
      </c>
      <c r="AG140" s="70" t="s">
        <v>2606</v>
      </c>
      <c r="AH140" s="3">
        <f>IF(MONTH(Table1[[#This Row],[تاريخ بلوغ 60 ]])&lt;&gt;1,1,0)</f>
        <v>1</v>
      </c>
      <c r="AI140" s="3">
        <f>IF(DAY(Table1[[#This Row],[تاريخ بلوغ 60 ]])&lt;&gt;1,1,0)</f>
        <v>1</v>
      </c>
      <c r="AJ140" s="4" t="s">
        <v>465</v>
      </c>
      <c r="AK140" s="4" t="s">
        <v>2636</v>
      </c>
      <c r="AL140" s="4" t="s">
        <v>1824</v>
      </c>
      <c r="AM140" s="62" t="s">
        <v>2775</v>
      </c>
      <c r="AN140" s="2">
        <v>2</v>
      </c>
      <c r="AO140" s="4" t="s">
        <v>2641</v>
      </c>
      <c r="AP140" s="74">
        <v>1485.51</v>
      </c>
      <c r="AQ140" s="4">
        <v>15</v>
      </c>
      <c r="AR140" s="4">
        <v>3</v>
      </c>
      <c r="AS140" s="4" t="s">
        <v>2668</v>
      </c>
      <c r="AT140" s="72">
        <v>6</v>
      </c>
      <c r="AU140" s="2">
        <v>3</v>
      </c>
      <c r="AV140" s="4"/>
      <c r="AW140" s="4"/>
      <c r="AX140" s="4"/>
    </row>
    <row r="141" spans="1:50" ht="15" x14ac:dyDescent="0.2">
      <c r="A141" s="3">
        <v>26884</v>
      </c>
      <c r="B141" s="1" t="s">
        <v>468</v>
      </c>
      <c r="C141" s="3">
        <v>1</v>
      </c>
      <c r="D141" s="3" t="s">
        <v>465</v>
      </c>
      <c r="E141" s="3">
        <v>3</v>
      </c>
      <c r="F141" s="3" t="s">
        <v>472</v>
      </c>
      <c r="G141" s="7" t="s">
        <v>105</v>
      </c>
      <c r="H141" s="3">
        <v>224</v>
      </c>
      <c r="I141" s="3" t="s">
        <v>1550</v>
      </c>
      <c r="J141" s="3">
        <v>18</v>
      </c>
      <c r="K141" s="3" t="s">
        <v>1529</v>
      </c>
      <c r="L141" s="3">
        <v>3</v>
      </c>
      <c r="M141" s="3" t="s">
        <v>496</v>
      </c>
      <c r="N141" s="3" t="s">
        <v>1548</v>
      </c>
      <c r="O141" s="10">
        <v>28451</v>
      </c>
      <c r="P141" s="10">
        <v>35428</v>
      </c>
      <c r="Q141" s="10"/>
      <c r="R141" s="10">
        <v>45291</v>
      </c>
      <c r="S141" s="23">
        <v>10725.06</v>
      </c>
      <c r="T141" s="3">
        <v>35470110</v>
      </c>
      <c r="U141" s="3">
        <v>27711220300132</v>
      </c>
      <c r="V141" s="4" t="s">
        <v>1827</v>
      </c>
      <c r="W141" s="4"/>
      <c r="X141" s="4" t="s">
        <v>1583</v>
      </c>
      <c r="Z141" s="3">
        <f ca="1">DATEDIF(Table1[[#This Row],[تاريخ الميلاد]],TODAY(),"y")</f>
        <v>48</v>
      </c>
      <c r="AA14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48 عام 8  شهر  29  يوم </v>
      </c>
      <c r="AB14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29عام7  شهر  22  يوم </v>
      </c>
      <c r="AC141" s="10">
        <f>DATE(YEAR(Table1[[#This Row],[تاريخ الميلاد]])+60,MONTH(Table1[[#This Row],[تاريخ الميلاد]]),DAY(Table1[[#This Row],[تاريخ الميلاد]]))</f>
        <v>50366</v>
      </c>
      <c r="AD141" s="14">
        <f>DATE(YEAR(Table1[[#This Row],[معاش 01/01]])-1,MONTH(Table1[[#This Row],[تاريخ بلوغ 60 ]]),DAY(Table1[[#This Row],[تاريخ بلوغ 60 ]]))</f>
        <v>50366</v>
      </c>
      <c r="AE14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50731</v>
      </c>
      <c r="AF141" s="10" t="str">
        <f>IFERROR(IF(ISODD(MID(Table1[[#This Row],[الرقم القومي]],13,1)),"ذكر","انثي"),"")</f>
        <v>ذكر</v>
      </c>
      <c r="AG141" s="70" t="s">
        <v>2606</v>
      </c>
      <c r="AH141" s="3">
        <f>IF(MONTH(Table1[[#This Row],[تاريخ بلوغ 60 ]])&lt;&gt;1,1,0)</f>
        <v>1</v>
      </c>
      <c r="AI141" s="3">
        <f>IF(DAY(Table1[[#This Row],[تاريخ بلوغ 60 ]])&lt;&gt;1,1,0)</f>
        <v>1</v>
      </c>
      <c r="AJ141" s="4" t="s">
        <v>465</v>
      </c>
      <c r="AK141" s="4" t="s">
        <v>2636</v>
      </c>
      <c r="AL141" s="4" t="s">
        <v>1826</v>
      </c>
      <c r="AM141" s="62" t="s">
        <v>2776</v>
      </c>
      <c r="AN141" s="2">
        <v>1</v>
      </c>
      <c r="AO141" s="4" t="s">
        <v>2641</v>
      </c>
      <c r="AP141" s="74">
        <v>1271.7</v>
      </c>
      <c r="AQ141" s="4">
        <v>12.5</v>
      </c>
      <c r="AR141" s="4">
        <v>3</v>
      </c>
      <c r="AS141" s="4" t="s">
        <v>2668</v>
      </c>
      <c r="AT141" s="72">
        <v>6</v>
      </c>
      <c r="AU141" s="2">
        <v>3</v>
      </c>
      <c r="AV141" s="4"/>
      <c r="AW141" s="4"/>
      <c r="AX141" s="4"/>
    </row>
    <row r="142" spans="1:50" ht="15" x14ac:dyDescent="0.2">
      <c r="A142" s="3">
        <v>27020</v>
      </c>
      <c r="B142" s="1" t="s">
        <v>468</v>
      </c>
      <c r="C142" s="3">
        <v>1</v>
      </c>
      <c r="D142" s="3" t="s">
        <v>465</v>
      </c>
      <c r="E142" s="3">
        <v>3</v>
      </c>
      <c r="F142" s="3" t="s">
        <v>472</v>
      </c>
      <c r="G142" s="7" t="s">
        <v>106</v>
      </c>
      <c r="H142" s="3">
        <v>104</v>
      </c>
      <c r="I142" s="3" t="s">
        <v>1083</v>
      </c>
      <c r="J142" s="3">
        <v>18</v>
      </c>
      <c r="K142" s="3" t="s">
        <v>1529</v>
      </c>
      <c r="L142" s="3">
        <v>3</v>
      </c>
      <c r="M142" s="3" t="s">
        <v>496</v>
      </c>
      <c r="N142" s="3" t="s">
        <v>1085</v>
      </c>
      <c r="O142" s="10">
        <v>24747</v>
      </c>
      <c r="P142" s="10">
        <v>35452</v>
      </c>
      <c r="Q142" s="10"/>
      <c r="R142" s="10">
        <v>45657</v>
      </c>
      <c r="S142" s="23">
        <v>10439.18</v>
      </c>
      <c r="T142" s="3">
        <v>50441976</v>
      </c>
      <c r="U142" s="3">
        <v>26710022601291</v>
      </c>
      <c r="V142" s="4" t="s">
        <v>1829</v>
      </c>
      <c r="W142" s="4"/>
      <c r="X142" s="4" t="s">
        <v>1583</v>
      </c>
      <c r="Y142" s="4">
        <v>1996</v>
      </c>
      <c r="Z142" s="3">
        <f ca="1">DATEDIF(Table1[[#This Row],[تاريخ الميلاد]],TODAY(),"y")</f>
        <v>58</v>
      </c>
      <c r="AA14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58 عام 10  شهر  18  يوم </v>
      </c>
      <c r="AB14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29عام6  شهر  29  يوم </v>
      </c>
      <c r="AC142" s="10">
        <f>DATE(YEAR(Table1[[#This Row],[تاريخ الميلاد]])+60,MONTH(Table1[[#This Row],[تاريخ الميلاد]]),DAY(Table1[[#This Row],[تاريخ الميلاد]]))</f>
        <v>46662</v>
      </c>
      <c r="AD142" s="14">
        <f>DATE(YEAR(Table1[[#This Row],[معاش 01/01]])-1,MONTH(Table1[[#This Row],[تاريخ بلوغ 60 ]]),DAY(Table1[[#This Row],[تاريخ بلوغ 60 ]]))</f>
        <v>46662</v>
      </c>
      <c r="AE14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47028</v>
      </c>
      <c r="AF142" s="10" t="str">
        <f>IFERROR(IF(ISODD(MID(Table1[[#This Row],[الرقم القومي]],13,1)),"ذكر","انثي"),"")</f>
        <v>ذكر</v>
      </c>
      <c r="AG142" s="70" t="s">
        <v>2620</v>
      </c>
      <c r="AH142" s="3">
        <f>IF(MONTH(Table1[[#This Row],[تاريخ بلوغ 60 ]])&lt;&gt;1,1,0)</f>
        <v>1</v>
      </c>
      <c r="AI142" s="3">
        <f>IF(DAY(Table1[[#This Row],[تاريخ بلوغ 60 ]])&lt;&gt;1,1,0)</f>
        <v>1</v>
      </c>
      <c r="AJ142" s="4" t="s">
        <v>465</v>
      </c>
      <c r="AK142" s="4" t="s">
        <v>2636</v>
      </c>
      <c r="AL142" s="4" t="s">
        <v>1828</v>
      </c>
      <c r="AM142" s="62" t="s">
        <v>2777</v>
      </c>
      <c r="AN142" s="2">
        <v>2</v>
      </c>
      <c r="AO142" s="4" t="s">
        <v>2641</v>
      </c>
      <c r="AP142" s="74">
        <v>1484.88</v>
      </c>
      <c r="AQ142" s="4">
        <v>15</v>
      </c>
      <c r="AR142" s="4">
        <v>3</v>
      </c>
      <c r="AS142" s="4" t="s">
        <v>2668</v>
      </c>
      <c r="AT142" s="72">
        <v>6</v>
      </c>
      <c r="AU142" s="2">
        <v>3</v>
      </c>
      <c r="AV142" s="4"/>
      <c r="AW142" s="4"/>
      <c r="AX142" s="4"/>
    </row>
    <row r="143" spans="1:50" ht="15" x14ac:dyDescent="0.2">
      <c r="A143" s="3">
        <v>27021</v>
      </c>
      <c r="B143" s="1" t="s">
        <v>468</v>
      </c>
      <c r="C143" s="3">
        <v>1</v>
      </c>
      <c r="D143" s="3" t="s">
        <v>465</v>
      </c>
      <c r="E143" s="3">
        <v>3</v>
      </c>
      <c r="F143" s="3" t="s">
        <v>472</v>
      </c>
      <c r="G143" s="7" t="s">
        <v>107</v>
      </c>
      <c r="H143" s="3">
        <v>104</v>
      </c>
      <c r="I143" s="3" t="s">
        <v>1083</v>
      </c>
      <c r="J143" s="3">
        <v>18</v>
      </c>
      <c r="K143" s="3" t="s">
        <v>1529</v>
      </c>
      <c r="L143" s="3">
        <v>3</v>
      </c>
      <c r="M143" s="3" t="s">
        <v>496</v>
      </c>
      <c r="N143" s="3" t="s">
        <v>1085</v>
      </c>
      <c r="O143" s="10">
        <v>25765</v>
      </c>
      <c r="P143" s="10">
        <v>35452</v>
      </c>
      <c r="Q143" s="10"/>
      <c r="R143" s="10">
        <v>45657</v>
      </c>
      <c r="S143" s="23">
        <v>9904.11</v>
      </c>
      <c r="T143" s="3">
        <v>5848430</v>
      </c>
      <c r="U143" s="3">
        <v>27007161200197</v>
      </c>
      <c r="V143" s="4" t="s">
        <v>1831</v>
      </c>
      <c r="W143" s="4"/>
      <c r="X143" s="4" t="s">
        <v>1583</v>
      </c>
      <c r="Y143" s="4">
        <v>1996</v>
      </c>
      <c r="Z143" s="3">
        <f ca="1">DATEDIF(Table1[[#This Row],[تاريخ الميلاد]],TODAY(),"y")</f>
        <v>56</v>
      </c>
      <c r="AA14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56 عام 1  شهر  4  يوم </v>
      </c>
      <c r="AB14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29عام6  شهر  29  يوم </v>
      </c>
      <c r="AC143" s="10">
        <f>DATE(YEAR(Table1[[#This Row],[تاريخ الميلاد]])+60,MONTH(Table1[[#This Row],[تاريخ الميلاد]]),DAY(Table1[[#This Row],[تاريخ الميلاد]]))</f>
        <v>47680</v>
      </c>
      <c r="AD143" s="14">
        <f>DATE(YEAR(Table1[[#This Row],[معاش 01/01]])-1,MONTH(Table1[[#This Row],[تاريخ بلوغ 60 ]]),DAY(Table1[[#This Row],[تاريخ بلوغ 60 ]]))</f>
        <v>47680</v>
      </c>
      <c r="AE14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48045</v>
      </c>
      <c r="AF143" s="10" t="str">
        <f>IFERROR(IF(ISODD(MID(Table1[[#This Row],[الرقم القومي]],13,1)),"ذكر","انثي"),"")</f>
        <v>ذكر</v>
      </c>
      <c r="AG143" s="70" t="s">
        <v>1635</v>
      </c>
      <c r="AH143" s="3">
        <f>IF(MONTH(Table1[[#This Row],[تاريخ بلوغ 60 ]])&lt;&gt;1,1,0)</f>
        <v>1</v>
      </c>
      <c r="AI143" s="3">
        <f>IF(DAY(Table1[[#This Row],[تاريخ بلوغ 60 ]])&lt;&gt;1,1,0)</f>
        <v>1</v>
      </c>
      <c r="AJ143" s="4" t="s">
        <v>465</v>
      </c>
      <c r="AK143" s="4" t="s">
        <v>2636</v>
      </c>
      <c r="AL143" s="4" t="s">
        <v>1830</v>
      </c>
      <c r="AM143" s="62" t="s">
        <v>2778</v>
      </c>
      <c r="AN143" s="2">
        <v>3</v>
      </c>
      <c r="AO143" s="4" t="s">
        <v>2641</v>
      </c>
      <c r="AP143" s="74">
        <v>1759.81</v>
      </c>
      <c r="AQ143" s="4">
        <v>18.75</v>
      </c>
      <c r="AR143" s="4">
        <v>3</v>
      </c>
      <c r="AS143" s="4" t="s">
        <v>2668</v>
      </c>
      <c r="AT143" s="72">
        <v>6</v>
      </c>
      <c r="AU143" s="2">
        <v>3</v>
      </c>
      <c r="AV143" s="4"/>
      <c r="AW143" s="4"/>
      <c r="AX143" s="4"/>
    </row>
    <row r="144" spans="1:50" ht="15" x14ac:dyDescent="0.2">
      <c r="A144" s="3">
        <v>27024</v>
      </c>
      <c r="B144" s="1" t="s">
        <v>468</v>
      </c>
      <c r="C144" s="3">
        <v>1</v>
      </c>
      <c r="D144" s="3" t="s">
        <v>465</v>
      </c>
      <c r="E144" s="3">
        <v>3</v>
      </c>
      <c r="F144" s="3" t="s">
        <v>472</v>
      </c>
      <c r="G144" s="7" t="s">
        <v>108</v>
      </c>
      <c r="H144" s="3">
        <v>104</v>
      </c>
      <c r="I144" s="3" t="s">
        <v>1083</v>
      </c>
      <c r="J144" s="3">
        <v>18</v>
      </c>
      <c r="K144" s="3" t="s">
        <v>1529</v>
      </c>
      <c r="L144" s="3">
        <v>3</v>
      </c>
      <c r="M144" s="3" t="s">
        <v>496</v>
      </c>
      <c r="N144" s="3" t="s">
        <v>1085</v>
      </c>
      <c r="O144" s="10">
        <v>24913</v>
      </c>
      <c r="P144" s="10">
        <v>35452</v>
      </c>
      <c r="Q144" s="10"/>
      <c r="R144" s="10">
        <v>45657</v>
      </c>
      <c r="S144" s="23">
        <v>10439.18</v>
      </c>
      <c r="T144" s="3">
        <v>50441957</v>
      </c>
      <c r="U144" s="3">
        <v>26803160300179</v>
      </c>
      <c r="V144" s="4" t="s">
        <v>1833</v>
      </c>
      <c r="W144" s="4"/>
      <c r="X144" s="4" t="s">
        <v>1583</v>
      </c>
      <c r="Y144" s="4">
        <v>1996</v>
      </c>
      <c r="Z144" s="3">
        <f ca="1">DATEDIF(Table1[[#This Row],[تاريخ الميلاد]],TODAY(),"y")</f>
        <v>58</v>
      </c>
      <c r="AA14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58 عام 5  شهر  4  يوم </v>
      </c>
      <c r="AB14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29عام6  شهر  29  يوم </v>
      </c>
      <c r="AC144" s="10">
        <f>DATE(YEAR(Table1[[#This Row],[تاريخ الميلاد]])+60,MONTH(Table1[[#This Row],[تاريخ الميلاد]]),DAY(Table1[[#This Row],[تاريخ الميلاد]]))</f>
        <v>46828</v>
      </c>
      <c r="AD144" s="14">
        <f>DATE(YEAR(Table1[[#This Row],[معاش 01/01]])-1,MONTH(Table1[[#This Row],[تاريخ بلوغ 60 ]]),DAY(Table1[[#This Row],[تاريخ بلوغ 60 ]]))</f>
        <v>46828</v>
      </c>
      <c r="AE14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47193</v>
      </c>
      <c r="AF144" s="10" t="str">
        <f>IFERROR(IF(ISODD(MID(Table1[[#This Row],[الرقم القومي]],13,1)),"ذكر","انثي"),"")</f>
        <v>ذكر</v>
      </c>
      <c r="AG144" s="70" t="s">
        <v>2606</v>
      </c>
      <c r="AH144" s="3">
        <f>IF(MONTH(Table1[[#This Row],[تاريخ بلوغ 60 ]])&lt;&gt;1,1,0)</f>
        <v>1</v>
      </c>
      <c r="AI144" s="3">
        <f>IF(DAY(Table1[[#This Row],[تاريخ بلوغ 60 ]])&lt;&gt;1,1,0)</f>
        <v>1</v>
      </c>
      <c r="AJ144" s="4" t="s">
        <v>465</v>
      </c>
      <c r="AK144" s="4" t="s">
        <v>2636</v>
      </c>
      <c r="AL144" s="4" t="s">
        <v>1832</v>
      </c>
      <c r="AM144" s="62" t="s">
        <v>2779</v>
      </c>
      <c r="AN144" s="2">
        <v>3</v>
      </c>
      <c r="AO144" s="4" t="s">
        <v>2641</v>
      </c>
      <c r="AP144" s="74">
        <v>1856.1</v>
      </c>
      <c r="AQ144" s="4">
        <v>18.75</v>
      </c>
      <c r="AR144" s="4">
        <v>7</v>
      </c>
      <c r="AS144" s="4" t="s">
        <v>2642</v>
      </c>
      <c r="AT144" s="72">
        <v>0</v>
      </c>
      <c r="AU144" s="2">
        <v>3</v>
      </c>
      <c r="AV144" s="4"/>
      <c r="AW144" s="4"/>
      <c r="AX144" s="4"/>
    </row>
    <row r="145" spans="1:50" ht="15" x14ac:dyDescent="0.2">
      <c r="A145" s="3">
        <v>27121</v>
      </c>
      <c r="B145" s="1" t="s">
        <v>468</v>
      </c>
      <c r="C145" s="3">
        <v>1</v>
      </c>
      <c r="D145" s="3" t="s">
        <v>465</v>
      </c>
      <c r="E145" s="3">
        <v>3</v>
      </c>
      <c r="F145" s="3" t="s">
        <v>472</v>
      </c>
      <c r="G145" s="7" t="s">
        <v>109</v>
      </c>
      <c r="H145" s="3">
        <v>131</v>
      </c>
      <c r="I145" s="3" t="s">
        <v>1175</v>
      </c>
      <c r="J145" s="3">
        <v>21</v>
      </c>
      <c r="K145" s="3" t="s">
        <v>1533</v>
      </c>
      <c r="L145" s="3">
        <v>6</v>
      </c>
      <c r="M145" s="3" t="s">
        <v>502</v>
      </c>
      <c r="N145" s="3" t="s">
        <v>1178</v>
      </c>
      <c r="O145" s="10">
        <v>27441</v>
      </c>
      <c r="P145" s="10">
        <v>35543</v>
      </c>
      <c r="Q145" s="10"/>
      <c r="R145" s="10">
        <v>45657</v>
      </c>
      <c r="S145" s="23">
        <v>7997.38</v>
      </c>
      <c r="T145" s="3">
        <v>14238487</v>
      </c>
      <c r="U145" s="3">
        <v>27502160300113</v>
      </c>
      <c r="V145" s="4" t="s">
        <v>1835</v>
      </c>
      <c r="W145" s="4"/>
      <c r="X145" s="4" t="s">
        <v>1583</v>
      </c>
      <c r="Z145" s="3">
        <f ca="1">DATEDIF(Table1[[#This Row],[تاريخ الميلاد]],TODAY(),"y")</f>
        <v>51</v>
      </c>
      <c r="AA14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51 عام 6  شهر  4  يوم </v>
      </c>
      <c r="AB14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29عام3  شهر  28  يوم </v>
      </c>
      <c r="AC145" s="10">
        <f>DATE(YEAR(Table1[[#This Row],[تاريخ الميلاد]])+60,MONTH(Table1[[#This Row],[تاريخ الميلاد]]),DAY(Table1[[#This Row],[تاريخ الميلاد]]))</f>
        <v>49356</v>
      </c>
      <c r="AD145" s="14">
        <f>DATE(YEAR(Table1[[#This Row],[معاش 01/01]])-1,MONTH(Table1[[#This Row],[تاريخ بلوغ 60 ]]),DAY(Table1[[#This Row],[تاريخ بلوغ 60 ]]))</f>
        <v>49356</v>
      </c>
      <c r="AE14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49721</v>
      </c>
      <c r="AF145" s="10" t="str">
        <f>IFERROR(IF(ISODD(MID(Table1[[#This Row],[الرقم القومي]],13,1)),"ذكر","انثي"),"")</f>
        <v>ذكر</v>
      </c>
      <c r="AG145" s="70" t="s">
        <v>2606</v>
      </c>
      <c r="AH145" s="3">
        <f>IF(MONTH(Table1[[#This Row],[تاريخ بلوغ 60 ]])&lt;&gt;1,1,0)</f>
        <v>1</v>
      </c>
      <c r="AI145" s="3">
        <f>IF(DAY(Table1[[#This Row],[تاريخ بلوغ 60 ]])&lt;&gt;1,1,0)</f>
        <v>1</v>
      </c>
      <c r="AJ145" s="4" t="s">
        <v>465</v>
      </c>
      <c r="AK145" s="4" t="s">
        <v>2636</v>
      </c>
      <c r="AL145" s="4" t="s">
        <v>1834</v>
      </c>
      <c r="AM145" s="62" t="s">
        <v>2780</v>
      </c>
      <c r="AN145" s="2">
        <v>1</v>
      </c>
      <c r="AO145" s="4" t="s">
        <v>2641</v>
      </c>
      <c r="AP145" s="74">
        <v>947.2</v>
      </c>
      <c r="AQ145" s="4">
        <v>12.5</v>
      </c>
      <c r="AR145" s="4">
        <v>9</v>
      </c>
      <c r="AS145" s="4" t="s">
        <v>2781</v>
      </c>
      <c r="AT145" s="72">
        <v>4</v>
      </c>
      <c r="AU145" s="2">
        <v>6</v>
      </c>
      <c r="AV145" s="4"/>
      <c r="AW145" s="4"/>
      <c r="AX145" s="4"/>
    </row>
    <row r="146" spans="1:50" ht="15" x14ac:dyDescent="0.2">
      <c r="A146" s="3">
        <v>27136</v>
      </c>
      <c r="B146" s="1" t="s">
        <v>468</v>
      </c>
      <c r="C146" s="3">
        <v>1</v>
      </c>
      <c r="D146" s="3" t="s">
        <v>465</v>
      </c>
      <c r="E146" s="3">
        <v>21</v>
      </c>
      <c r="F146" s="3" t="s">
        <v>474</v>
      </c>
      <c r="G146" s="7" t="s">
        <v>110</v>
      </c>
      <c r="H146" s="3">
        <v>158</v>
      </c>
      <c r="I146" s="3" t="s">
        <v>1330</v>
      </c>
      <c r="J146" s="3">
        <v>20</v>
      </c>
      <c r="K146" s="3" t="s">
        <v>1531</v>
      </c>
      <c r="L146" s="3">
        <v>5</v>
      </c>
      <c r="M146" s="3" t="s">
        <v>500</v>
      </c>
      <c r="N146" s="3" t="s">
        <v>1332</v>
      </c>
      <c r="O146" s="10">
        <v>26341</v>
      </c>
      <c r="P146" s="10">
        <v>35543</v>
      </c>
      <c r="Q146" s="10"/>
      <c r="R146" s="10">
        <v>45657</v>
      </c>
      <c r="S146" s="23">
        <v>8659.57</v>
      </c>
      <c r="T146" s="3">
        <v>48966707</v>
      </c>
      <c r="U146" s="3">
        <v>27202121100758</v>
      </c>
      <c r="V146" s="4" t="s">
        <v>1837</v>
      </c>
      <c r="W146" s="4"/>
      <c r="X146" s="4" t="s">
        <v>1583</v>
      </c>
      <c r="Z146" s="3">
        <f ca="1">DATEDIF(Table1[[#This Row],[تاريخ الميلاد]],TODAY(),"y")</f>
        <v>54</v>
      </c>
      <c r="AA14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54 عام 6  شهر  8  يوم </v>
      </c>
      <c r="AB14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29عام3  شهر  28  يوم </v>
      </c>
      <c r="AC146" s="10">
        <f>DATE(YEAR(Table1[[#This Row],[تاريخ الميلاد]])+60,MONTH(Table1[[#This Row],[تاريخ الميلاد]]),DAY(Table1[[#This Row],[تاريخ الميلاد]]))</f>
        <v>48256</v>
      </c>
      <c r="AD146" s="14">
        <f>DATE(YEAR(Table1[[#This Row],[معاش 01/01]])-1,MONTH(Table1[[#This Row],[تاريخ بلوغ 60 ]]),DAY(Table1[[#This Row],[تاريخ بلوغ 60 ]]))</f>
        <v>48256</v>
      </c>
      <c r="AE14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48622</v>
      </c>
      <c r="AF146" s="10" t="str">
        <f>IFERROR(IF(ISODD(MID(Table1[[#This Row],[الرقم القومي]],13,1)),"ذكر","انثي"),"")</f>
        <v>ذكر</v>
      </c>
      <c r="AG146" s="70" t="s">
        <v>2609</v>
      </c>
      <c r="AH146" s="3">
        <f>IF(MONTH(Table1[[#This Row],[تاريخ بلوغ 60 ]])&lt;&gt;1,1,0)</f>
        <v>1</v>
      </c>
      <c r="AI146" s="3">
        <f>IF(DAY(Table1[[#This Row],[تاريخ بلوغ 60 ]])&lt;&gt;1,1,0)</f>
        <v>1</v>
      </c>
      <c r="AJ146" s="4" t="s">
        <v>465</v>
      </c>
      <c r="AK146" s="4" t="s">
        <v>2666</v>
      </c>
      <c r="AL146" s="4" t="s">
        <v>1836</v>
      </c>
      <c r="AM146" s="62" t="s">
        <v>2782</v>
      </c>
      <c r="AN146" s="2">
        <v>4</v>
      </c>
      <c r="AO146" s="4" t="s">
        <v>2641</v>
      </c>
      <c r="AP146" s="74">
        <v>2000</v>
      </c>
      <c r="AQ146" s="4">
        <v>25</v>
      </c>
      <c r="AR146" s="4">
        <v>3</v>
      </c>
      <c r="AS146" s="4" t="s">
        <v>2668</v>
      </c>
      <c r="AT146" s="72">
        <v>6</v>
      </c>
      <c r="AU146" s="2">
        <v>5</v>
      </c>
      <c r="AV146" s="4"/>
      <c r="AW146" s="4"/>
      <c r="AX146" s="4"/>
    </row>
    <row r="147" spans="1:50" ht="15" x14ac:dyDescent="0.2">
      <c r="A147" s="3">
        <v>27402</v>
      </c>
      <c r="B147" s="1" t="s">
        <v>468</v>
      </c>
      <c r="C147" s="3">
        <v>1</v>
      </c>
      <c r="D147" s="3" t="s">
        <v>465</v>
      </c>
      <c r="E147" s="3">
        <v>3</v>
      </c>
      <c r="F147" s="3" t="s">
        <v>472</v>
      </c>
      <c r="G147" s="7" t="s">
        <v>111</v>
      </c>
      <c r="H147" s="3">
        <v>82</v>
      </c>
      <c r="I147" s="3" t="s">
        <v>922</v>
      </c>
      <c r="J147" s="3">
        <v>18</v>
      </c>
      <c r="K147" s="3" t="s">
        <v>1529</v>
      </c>
      <c r="L147" s="3">
        <v>3</v>
      </c>
      <c r="M147" s="3" t="s">
        <v>496</v>
      </c>
      <c r="N147" s="3" t="s">
        <v>924</v>
      </c>
      <c r="O147" s="10">
        <v>29073</v>
      </c>
      <c r="P147" s="10">
        <v>35924</v>
      </c>
      <c r="Q147" s="10"/>
      <c r="R147" s="10">
        <v>46022</v>
      </c>
      <c r="S147" s="23">
        <v>10299.07</v>
      </c>
      <c r="T147" s="3">
        <v>28971220</v>
      </c>
      <c r="U147" s="3">
        <v>27908060300058</v>
      </c>
      <c r="V147" s="4" t="s">
        <v>1839</v>
      </c>
      <c r="W147" s="4"/>
      <c r="X147" s="4" t="s">
        <v>1583</v>
      </c>
      <c r="Z147" s="3">
        <f ca="1">DATEDIF(Table1[[#This Row],[تاريخ الميلاد]],TODAY(),"y")</f>
        <v>47</v>
      </c>
      <c r="AA14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47 عام 0  شهر  14  يوم </v>
      </c>
      <c r="AB14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28عام3  شهر  11  يوم </v>
      </c>
      <c r="AC147" s="10">
        <f>DATE(YEAR(Table1[[#This Row],[تاريخ الميلاد]])+60,MONTH(Table1[[#This Row],[تاريخ الميلاد]]),DAY(Table1[[#This Row],[تاريخ الميلاد]]))</f>
        <v>50988</v>
      </c>
      <c r="AD147" s="14">
        <f>DATE(YEAR(Table1[[#This Row],[معاش 01/01]])-1,MONTH(Table1[[#This Row],[تاريخ بلوغ 60 ]]),DAY(Table1[[#This Row],[تاريخ بلوغ 60 ]]))</f>
        <v>50988</v>
      </c>
      <c r="AE14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51354</v>
      </c>
      <c r="AF147" s="10" t="str">
        <f>IFERROR(IF(ISODD(MID(Table1[[#This Row],[الرقم القومي]],13,1)),"ذكر","انثي"),"")</f>
        <v>ذكر</v>
      </c>
      <c r="AG147" s="70" t="s">
        <v>2606</v>
      </c>
      <c r="AH147" s="3">
        <f>IF(MONTH(Table1[[#This Row],[تاريخ بلوغ 60 ]])&lt;&gt;1,1,0)</f>
        <v>1</v>
      </c>
      <c r="AI147" s="3">
        <f>IF(DAY(Table1[[#This Row],[تاريخ بلوغ 60 ]])&lt;&gt;1,1,0)</f>
        <v>1</v>
      </c>
      <c r="AJ147" s="4" t="s">
        <v>465</v>
      </c>
      <c r="AK147" s="4" t="s">
        <v>2638</v>
      </c>
      <c r="AL147" s="4" t="s">
        <v>1838</v>
      </c>
      <c r="AM147" s="62" t="s">
        <v>2783</v>
      </c>
      <c r="AN147" s="2">
        <v>1</v>
      </c>
      <c r="AO147" s="4" t="s">
        <v>2641</v>
      </c>
      <c r="AP147" s="74">
        <v>1223.98</v>
      </c>
      <c r="AQ147" s="4">
        <v>12.5</v>
      </c>
      <c r="AR147" s="4">
        <v>3</v>
      </c>
      <c r="AS147" s="4" t="s">
        <v>2668</v>
      </c>
      <c r="AT147" s="72">
        <v>6</v>
      </c>
      <c r="AU147" s="2">
        <v>3</v>
      </c>
      <c r="AV147" s="4"/>
      <c r="AW147" s="4"/>
      <c r="AX147" s="4"/>
    </row>
    <row r="148" spans="1:50" ht="15" x14ac:dyDescent="0.2">
      <c r="A148" s="3">
        <v>27422</v>
      </c>
      <c r="B148" s="1" t="s">
        <v>468</v>
      </c>
      <c r="C148" s="3">
        <v>1</v>
      </c>
      <c r="D148" s="3" t="s">
        <v>465</v>
      </c>
      <c r="E148" s="3">
        <v>21</v>
      </c>
      <c r="F148" s="3" t="s">
        <v>474</v>
      </c>
      <c r="G148" s="7" t="s">
        <v>1584</v>
      </c>
      <c r="H148" s="3">
        <v>82</v>
      </c>
      <c r="I148" s="3" t="s">
        <v>922</v>
      </c>
      <c r="J148" s="3">
        <v>18</v>
      </c>
      <c r="K148" s="3" t="s">
        <v>1529</v>
      </c>
      <c r="L148" s="3">
        <v>4</v>
      </c>
      <c r="M148" s="3" t="s">
        <v>498</v>
      </c>
      <c r="N148" s="3" t="s">
        <v>925</v>
      </c>
      <c r="O148" s="10">
        <v>29155</v>
      </c>
      <c r="P148" s="10">
        <v>35924</v>
      </c>
      <c r="Q148" s="10"/>
      <c r="R148" s="10">
        <v>44196</v>
      </c>
      <c r="S148" s="23">
        <v>9100.4699999999993</v>
      </c>
      <c r="T148" s="3">
        <v>29097422</v>
      </c>
      <c r="U148" s="3">
        <v>27910270300276</v>
      </c>
      <c r="V148" s="4" t="s">
        <v>1586</v>
      </c>
      <c r="W148" s="4"/>
      <c r="X148" s="4" t="s">
        <v>1583</v>
      </c>
      <c r="Z148" s="3">
        <f ca="1">DATEDIF(Table1[[#This Row],[تاريخ الميلاد]],TODAY(),"y")</f>
        <v>46</v>
      </c>
      <c r="AA14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46 عام 9  شهر  24  يوم </v>
      </c>
      <c r="AB14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28عام3  شهر  11  يوم </v>
      </c>
      <c r="AC148" s="10">
        <f>DATE(YEAR(Table1[[#This Row],[تاريخ الميلاد]])+60,MONTH(Table1[[#This Row],[تاريخ الميلاد]]),DAY(Table1[[#This Row],[تاريخ الميلاد]]))</f>
        <v>51070</v>
      </c>
      <c r="AD148" s="14">
        <f>DATE(YEAR(Table1[[#This Row],[معاش 01/01]])-1,MONTH(Table1[[#This Row],[تاريخ بلوغ 60 ]]),DAY(Table1[[#This Row],[تاريخ بلوغ 60 ]]))</f>
        <v>51070</v>
      </c>
      <c r="AE14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51436</v>
      </c>
      <c r="AF148" s="10" t="str">
        <f>IFERROR(IF(ISODD(MID(Table1[[#This Row],[الرقم القومي]],13,1)),"ذكر","انثي"),"")</f>
        <v>ذكر</v>
      </c>
      <c r="AG148" s="70" t="s">
        <v>2606</v>
      </c>
      <c r="AH148" s="3">
        <f>IF(MONTH(Table1[[#This Row],[تاريخ بلوغ 60 ]])&lt;&gt;1,1,0)</f>
        <v>1</v>
      </c>
      <c r="AI148" s="3">
        <f>IF(DAY(Table1[[#This Row],[تاريخ بلوغ 60 ]])&lt;&gt;1,1,0)</f>
        <v>1</v>
      </c>
      <c r="AJ148" s="4" t="s">
        <v>465</v>
      </c>
      <c r="AK148" s="4">
        <v>0</v>
      </c>
      <c r="AL148" s="4" t="s">
        <v>1585</v>
      </c>
      <c r="AM148" s="62" t="s">
        <v>2784</v>
      </c>
      <c r="AN148" s="2">
        <v>1</v>
      </c>
      <c r="AO148" s="4" t="s">
        <v>2641</v>
      </c>
      <c r="AP148" s="74">
        <v>1073.5899999999999</v>
      </c>
      <c r="AQ148" s="4">
        <v>12.5</v>
      </c>
      <c r="AR148" s="4">
        <v>3</v>
      </c>
      <c r="AS148" s="4" t="s">
        <v>2668</v>
      </c>
      <c r="AT148" s="72">
        <v>6</v>
      </c>
      <c r="AU148" s="2">
        <v>4</v>
      </c>
      <c r="AV148" s="4"/>
      <c r="AW148" s="4"/>
      <c r="AX148" s="4"/>
    </row>
    <row r="149" spans="1:50" ht="15" x14ac:dyDescent="0.2">
      <c r="A149" s="3">
        <v>27566</v>
      </c>
      <c r="B149" s="1" t="s">
        <v>468</v>
      </c>
      <c r="C149" s="3">
        <v>1</v>
      </c>
      <c r="D149" s="3" t="s">
        <v>465</v>
      </c>
      <c r="E149" s="3">
        <v>3</v>
      </c>
      <c r="F149" s="3" t="s">
        <v>472</v>
      </c>
      <c r="G149" s="7" t="s">
        <v>112</v>
      </c>
      <c r="H149" s="3">
        <v>103</v>
      </c>
      <c r="I149" s="3" t="s">
        <v>1075</v>
      </c>
      <c r="J149" s="3">
        <v>18</v>
      </c>
      <c r="K149" s="3" t="s">
        <v>1529</v>
      </c>
      <c r="L149" s="3">
        <v>4</v>
      </c>
      <c r="M149" s="3" t="s">
        <v>498</v>
      </c>
      <c r="N149" s="3" t="s">
        <v>1078</v>
      </c>
      <c r="O149" s="10">
        <v>26986</v>
      </c>
      <c r="P149" s="10">
        <v>36100</v>
      </c>
      <c r="Q149" s="10"/>
      <c r="R149" s="10">
        <v>44561</v>
      </c>
      <c r="S149" s="23">
        <v>10555.22</v>
      </c>
      <c r="T149" s="3">
        <v>7132959</v>
      </c>
      <c r="U149" s="3">
        <v>27311181602314</v>
      </c>
      <c r="V149" s="4" t="s">
        <v>1841</v>
      </c>
      <c r="W149" s="4"/>
      <c r="X149" s="4" t="s">
        <v>1583</v>
      </c>
      <c r="Y149" s="4">
        <v>1994</v>
      </c>
      <c r="Z149" s="3">
        <f ca="1">DATEDIF(Table1[[#This Row],[تاريخ الميلاد]],TODAY(),"y")</f>
        <v>52</v>
      </c>
      <c r="AA14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52 عام 9  شهر  2  يوم </v>
      </c>
      <c r="AB14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27عام9  شهر  19  يوم </v>
      </c>
      <c r="AC149" s="10">
        <f>DATE(YEAR(Table1[[#This Row],[تاريخ الميلاد]])+60,MONTH(Table1[[#This Row],[تاريخ الميلاد]]),DAY(Table1[[#This Row],[تاريخ الميلاد]]))</f>
        <v>48901</v>
      </c>
      <c r="AD149" s="14">
        <f>DATE(YEAR(Table1[[#This Row],[معاش 01/01]])-1,MONTH(Table1[[#This Row],[تاريخ بلوغ 60 ]]),DAY(Table1[[#This Row],[تاريخ بلوغ 60 ]]))</f>
        <v>48901</v>
      </c>
      <c r="AE14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49266</v>
      </c>
      <c r="AF149" s="10" t="str">
        <f>IFERROR(IF(ISODD(MID(Table1[[#This Row],[الرقم القومي]],13,1)),"ذكر","انثي"),"")</f>
        <v>ذكر</v>
      </c>
      <c r="AG149" s="70" t="s">
        <v>2613</v>
      </c>
      <c r="AH149" s="3">
        <f>IF(MONTH(Table1[[#This Row],[تاريخ بلوغ 60 ]])&lt;&gt;1,1,0)</f>
        <v>1</v>
      </c>
      <c r="AI149" s="3">
        <f>IF(DAY(Table1[[#This Row],[تاريخ بلوغ 60 ]])&lt;&gt;1,1,0)</f>
        <v>1</v>
      </c>
      <c r="AJ149" s="4" t="s">
        <v>465</v>
      </c>
      <c r="AK149" s="4" t="s">
        <v>2689</v>
      </c>
      <c r="AL149" s="4" t="s">
        <v>1840</v>
      </c>
      <c r="AM149" s="62" t="s">
        <v>2785</v>
      </c>
      <c r="AN149" s="2">
        <v>1</v>
      </c>
      <c r="AO149" s="4" t="s">
        <v>2641</v>
      </c>
      <c r="AP149" s="74">
        <v>1251.32</v>
      </c>
      <c r="AQ149" s="4">
        <v>12.5</v>
      </c>
      <c r="AR149" s="4">
        <v>3</v>
      </c>
      <c r="AS149" s="4" t="s">
        <v>2668</v>
      </c>
      <c r="AT149" s="72">
        <v>6</v>
      </c>
      <c r="AU149" s="2">
        <v>4</v>
      </c>
      <c r="AV149" s="4"/>
      <c r="AW149" s="4"/>
      <c r="AX149" s="4"/>
    </row>
    <row r="150" spans="1:50" ht="15" x14ac:dyDescent="0.2">
      <c r="A150" s="3">
        <v>27668</v>
      </c>
      <c r="B150" s="1" t="s">
        <v>468</v>
      </c>
      <c r="C150" s="3">
        <v>1</v>
      </c>
      <c r="D150" s="3" t="s">
        <v>465</v>
      </c>
      <c r="E150" s="3">
        <v>3</v>
      </c>
      <c r="F150" s="3" t="s">
        <v>472</v>
      </c>
      <c r="G150" s="7" t="s">
        <v>113</v>
      </c>
      <c r="H150" s="3">
        <v>74</v>
      </c>
      <c r="I150" s="3" t="s">
        <v>864</v>
      </c>
      <c r="J150" s="3">
        <v>18</v>
      </c>
      <c r="K150" s="3" t="s">
        <v>1529</v>
      </c>
      <c r="L150" s="3">
        <v>4</v>
      </c>
      <c r="M150" s="3" t="s">
        <v>498</v>
      </c>
      <c r="N150" s="3" t="s">
        <v>867</v>
      </c>
      <c r="O150" s="10">
        <v>29436</v>
      </c>
      <c r="P150" s="10">
        <v>36232</v>
      </c>
      <c r="Q150" s="10"/>
      <c r="R150" s="10">
        <v>44561</v>
      </c>
      <c r="S150" s="23">
        <v>9494.0499999999993</v>
      </c>
      <c r="T150" s="3">
        <v>52263825</v>
      </c>
      <c r="U150" s="3">
        <v>28008030300315</v>
      </c>
      <c r="V150" s="4" t="s">
        <v>1843</v>
      </c>
      <c r="W150" s="4"/>
      <c r="X150" s="4" t="s">
        <v>1583</v>
      </c>
      <c r="Z150" s="3">
        <f ca="1">DATEDIF(Table1[[#This Row],[تاريخ الميلاد]],TODAY(),"y")</f>
        <v>46</v>
      </c>
      <c r="AA15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46 عام 0  شهر  17  يوم </v>
      </c>
      <c r="AB15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27عام5  شهر  7  يوم </v>
      </c>
      <c r="AC150" s="10">
        <f>DATE(YEAR(Table1[[#This Row],[تاريخ الميلاد]])+60,MONTH(Table1[[#This Row],[تاريخ الميلاد]]),DAY(Table1[[#This Row],[تاريخ الميلاد]]))</f>
        <v>51351</v>
      </c>
      <c r="AD150" s="14">
        <f>DATE(YEAR(Table1[[#This Row],[معاش 01/01]])-1,MONTH(Table1[[#This Row],[تاريخ بلوغ 60 ]]),DAY(Table1[[#This Row],[تاريخ بلوغ 60 ]]))</f>
        <v>51351</v>
      </c>
      <c r="AE15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51716</v>
      </c>
      <c r="AF150" s="10" t="str">
        <f>IFERROR(IF(ISODD(MID(Table1[[#This Row],[الرقم القومي]],13,1)),"ذكر","انثي"),"")</f>
        <v>ذكر</v>
      </c>
      <c r="AG150" s="70" t="s">
        <v>2606</v>
      </c>
      <c r="AH150" s="3">
        <f>IF(MONTH(Table1[[#This Row],[تاريخ بلوغ 60 ]])&lt;&gt;1,1,0)</f>
        <v>1</v>
      </c>
      <c r="AI150" s="3">
        <f>IF(DAY(Table1[[#This Row],[تاريخ بلوغ 60 ]])&lt;&gt;1,1,0)</f>
        <v>1</v>
      </c>
      <c r="AJ150" s="4" t="s">
        <v>465</v>
      </c>
      <c r="AK150" s="4" t="s">
        <v>2636</v>
      </c>
      <c r="AL150" s="4" t="s">
        <v>1842</v>
      </c>
      <c r="AM150" s="62" t="s">
        <v>2786</v>
      </c>
      <c r="AN150" s="2">
        <v>2</v>
      </c>
      <c r="AO150" s="4" t="s">
        <v>2641</v>
      </c>
      <c r="AP150" s="74">
        <v>1348.81</v>
      </c>
      <c r="AQ150" s="4">
        <v>15</v>
      </c>
      <c r="AR150" s="4">
        <v>3</v>
      </c>
      <c r="AS150" s="4" t="s">
        <v>2668</v>
      </c>
      <c r="AT150" s="72">
        <v>6</v>
      </c>
      <c r="AU150" s="2">
        <v>4</v>
      </c>
      <c r="AV150" s="4"/>
      <c r="AW150" s="4"/>
      <c r="AX150" s="4"/>
    </row>
    <row r="151" spans="1:50" ht="15" x14ac:dyDescent="0.2">
      <c r="A151" s="3">
        <v>27784</v>
      </c>
      <c r="B151" s="1" t="s">
        <v>468</v>
      </c>
      <c r="C151" s="3">
        <v>1</v>
      </c>
      <c r="D151" s="3" t="s">
        <v>465</v>
      </c>
      <c r="E151" s="3">
        <v>3</v>
      </c>
      <c r="F151" s="3" t="s">
        <v>472</v>
      </c>
      <c r="G151" s="7" t="s">
        <v>114</v>
      </c>
      <c r="H151" s="3">
        <v>82</v>
      </c>
      <c r="I151" s="3" t="s">
        <v>922</v>
      </c>
      <c r="J151" s="3">
        <v>18</v>
      </c>
      <c r="K151" s="3" t="s">
        <v>1529</v>
      </c>
      <c r="L151" s="3">
        <v>4</v>
      </c>
      <c r="M151" s="3" t="s">
        <v>498</v>
      </c>
      <c r="N151" s="3" t="s">
        <v>925</v>
      </c>
      <c r="O151" s="10">
        <v>29394</v>
      </c>
      <c r="P151" s="10">
        <v>36288</v>
      </c>
      <c r="Q151" s="10"/>
      <c r="R151" s="10">
        <v>44561</v>
      </c>
      <c r="S151" s="23">
        <v>9494.0499999999993</v>
      </c>
      <c r="T151" s="3">
        <v>4198555</v>
      </c>
      <c r="U151" s="3">
        <v>28006220300271</v>
      </c>
      <c r="V151" s="4" t="s">
        <v>1845</v>
      </c>
      <c r="W151" s="4"/>
      <c r="X151" s="4" t="s">
        <v>1583</v>
      </c>
      <c r="Y151" s="4">
        <v>1998</v>
      </c>
      <c r="Z151" s="3">
        <f ca="1">DATEDIF(Table1[[#This Row],[تاريخ الميلاد]],TODAY(),"y")</f>
        <v>46</v>
      </c>
      <c r="AA15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46 عام 1  شهر  29  يوم </v>
      </c>
      <c r="AB15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27عام3  شهر  12  يوم </v>
      </c>
      <c r="AC151" s="10">
        <f>DATE(YEAR(Table1[[#This Row],[تاريخ الميلاد]])+60,MONTH(Table1[[#This Row],[تاريخ الميلاد]]),DAY(Table1[[#This Row],[تاريخ الميلاد]]))</f>
        <v>51309</v>
      </c>
      <c r="AD151" s="14">
        <f>DATE(YEAR(Table1[[#This Row],[معاش 01/01]])-1,MONTH(Table1[[#This Row],[تاريخ بلوغ 60 ]]),DAY(Table1[[#This Row],[تاريخ بلوغ 60 ]]))</f>
        <v>51309</v>
      </c>
      <c r="AE15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51674</v>
      </c>
      <c r="AF151" s="10" t="str">
        <f>IFERROR(IF(ISODD(MID(Table1[[#This Row],[الرقم القومي]],13,1)),"ذكر","انثي"),"")</f>
        <v>ذكر</v>
      </c>
      <c r="AG151" s="70" t="s">
        <v>2606</v>
      </c>
      <c r="AH151" s="3">
        <f>IF(MONTH(Table1[[#This Row],[تاريخ بلوغ 60 ]])&lt;&gt;1,1,0)</f>
        <v>1</v>
      </c>
      <c r="AI151" s="3">
        <f>IF(DAY(Table1[[#This Row],[تاريخ بلوغ 60 ]])&lt;&gt;1,1,0)</f>
        <v>1</v>
      </c>
      <c r="AJ151" s="4" t="s">
        <v>465</v>
      </c>
      <c r="AK151" s="4" t="s">
        <v>2689</v>
      </c>
      <c r="AL151" s="4" t="s">
        <v>1844</v>
      </c>
      <c r="AM151" s="62" t="s">
        <v>2787</v>
      </c>
      <c r="AN151" s="2">
        <v>1</v>
      </c>
      <c r="AO151" s="4" t="s">
        <v>2641</v>
      </c>
      <c r="AP151" s="74">
        <v>1124.01</v>
      </c>
      <c r="AQ151" s="4">
        <v>12.5</v>
      </c>
      <c r="AR151" s="4">
        <v>3</v>
      </c>
      <c r="AS151" s="4" t="s">
        <v>2668</v>
      </c>
      <c r="AT151" s="72">
        <v>6</v>
      </c>
      <c r="AU151" s="2">
        <v>4</v>
      </c>
      <c r="AV151" s="4"/>
      <c r="AW151" s="4"/>
      <c r="AX151" s="4"/>
    </row>
    <row r="152" spans="1:50" ht="15" x14ac:dyDescent="0.2">
      <c r="A152" s="3">
        <v>27791</v>
      </c>
      <c r="B152" s="1" t="s">
        <v>468</v>
      </c>
      <c r="C152" s="3">
        <v>1</v>
      </c>
      <c r="D152" s="3" t="s">
        <v>465</v>
      </c>
      <c r="E152" s="3">
        <v>3</v>
      </c>
      <c r="F152" s="3" t="s">
        <v>472</v>
      </c>
      <c r="G152" s="7" t="s">
        <v>115</v>
      </c>
      <c r="H152" s="3">
        <v>104</v>
      </c>
      <c r="I152" s="3" t="s">
        <v>1083</v>
      </c>
      <c r="J152" s="3">
        <v>18</v>
      </c>
      <c r="K152" s="3" t="s">
        <v>1529</v>
      </c>
      <c r="L152" s="3">
        <v>4</v>
      </c>
      <c r="M152" s="3" t="s">
        <v>498</v>
      </c>
      <c r="N152" s="3" t="s">
        <v>1086</v>
      </c>
      <c r="O152" s="10">
        <v>27382</v>
      </c>
      <c r="P152" s="10">
        <v>36373</v>
      </c>
      <c r="Q152" s="10"/>
      <c r="R152" s="10">
        <v>44561</v>
      </c>
      <c r="S152" s="23">
        <v>9089.43</v>
      </c>
      <c r="T152" s="3">
        <v>25733060</v>
      </c>
      <c r="U152" s="3">
        <v>27412190300143</v>
      </c>
      <c r="V152" s="4" t="s">
        <v>1847</v>
      </c>
      <c r="W152" s="4"/>
      <c r="X152" s="4" t="s">
        <v>1583</v>
      </c>
      <c r="Y152" s="4">
        <v>1992</v>
      </c>
      <c r="Z152" s="3">
        <f ca="1">DATEDIF(Table1[[#This Row],[تاريخ الميلاد]],TODAY(),"y")</f>
        <v>51</v>
      </c>
      <c r="AA15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51 عام 8  شهر  1  يوم </v>
      </c>
      <c r="AB15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27عام0  شهر  19  يوم </v>
      </c>
      <c r="AC152" s="10">
        <f>DATE(YEAR(Table1[[#This Row],[تاريخ الميلاد]])+60,MONTH(Table1[[#This Row],[تاريخ الميلاد]]),DAY(Table1[[#This Row],[تاريخ الميلاد]]))</f>
        <v>49297</v>
      </c>
      <c r="AD152" s="14">
        <f>DATE(YEAR(Table1[[#This Row],[معاش 01/01]])-1,MONTH(Table1[[#This Row],[تاريخ بلوغ 60 ]]),DAY(Table1[[#This Row],[تاريخ بلوغ 60 ]]))</f>
        <v>49297</v>
      </c>
      <c r="AE15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49662</v>
      </c>
      <c r="AF152" s="10" t="str">
        <f>IFERROR(IF(ISODD(MID(Table1[[#This Row],[الرقم القومي]],13,1)),"ذكر","انثي"),"")</f>
        <v>انثي</v>
      </c>
      <c r="AG152" s="70" t="s">
        <v>2606</v>
      </c>
      <c r="AH152" s="3">
        <f>IF(MONTH(Table1[[#This Row],[تاريخ بلوغ 60 ]])&lt;&gt;1,1,0)</f>
        <v>1</v>
      </c>
      <c r="AI152" s="3">
        <f>IF(DAY(Table1[[#This Row],[تاريخ بلوغ 60 ]])&lt;&gt;1,1,0)</f>
        <v>1</v>
      </c>
      <c r="AJ152" s="4" t="s">
        <v>465</v>
      </c>
      <c r="AK152" s="4" t="s">
        <v>2636</v>
      </c>
      <c r="AL152" s="4" t="s">
        <v>1846</v>
      </c>
      <c r="AM152" s="62" t="s">
        <v>2788</v>
      </c>
      <c r="AN152" s="2">
        <v>3</v>
      </c>
      <c r="AO152" s="4" t="s">
        <v>2641</v>
      </c>
      <c r="AP152" s="74">
        <v>1614.12</v>
      </c>
      <c r="AQ152" s="4">
        <v>18.75</v>
      </c>
      <c r="AR152" s="4">
        <v>1</v>
      </c>
      <c r="AS152" s="4" t="s">
        <v>2635</v>
      </c>
      <c r="AT152" s="72">
        <v>2</v>
      </c>
      <c r="AU152" s="2">
        <v>4</v>
      </c>
      <c r="AV152" s="4"/>
      <c r="AW152" s="4"/>
      <c r="AX152" s="4"/>
    </row>
    <row r="153" spans="1:50" ht="15" x14ac:dyDescent="0.2">
      <c r="A153" s="3">
        <v>27792</v>
      </c>
      <c r="B153" s="1" t="s">
        <v>468</v>
      </c>
      <c r="C153" s="3">
        <v>1</v>
      </c>
      <c r="D153" s="3" t="s">
        <v>465</v>
      </c>
      <c r="E153" s="3">
        <v>3</v>
      </c>
      <c r="F153" s="3" t="s">
        <v>472</v>
      </c>
      <c r="G153" s="7" t="s">
        <v>116</v>
      </c>
      <c r="H153" s="3">
        <v>104</v>
      </c>
      <c r="I153" s="3" t="s">
        <v>1083</v>
      </c>
      <c r="J153" s="3">
        <v>18</v>
      </c>
      <c r="K153" s="3" t="s">
        <v>1529</v>
      </c>
      <c r="L153" s="3">
        <v>4</v>
      </c>
      <c r="M153" s="3" t="s">
        <v>498</v>
      </c>
      <c r="N153" s="3" t="s">
        <v>1086</v>
      </c>
      <c r="O153" s="10">
        <v>27781</v>
      </c>
      <c r="P153" s="10">
        <v>36373</v>
      </c>
      <c r="Q153" s="10"/>
      <c r="R153" s="10">
        <v>44561</v>
      </c>
      <c r="S153" s="23">
        <v>9176.15</v>
      </c>
      <c r="T153" s="3">
        <v>48813938</v>
      </c>
      <c r="U153" s="3">
        <v>27601221203262</v>
      </c>
      <c r="V153" s="4" t="s">
        <v>1849</v>
      </c>
      <c r="W153" s="4"/>
      <c r="X153" s="4" t="s">
        <v>1583</v>
      </c>
      <c r="Y153" s="4">
        <v>1992</v>
      </c>
      <c r="Z153" s="3">
        <f ca="1">DATEDIF(Table1[[#This Row],[تاريخ الميلاد]],TODAY(),"y")</f>
        <v>50</v>
      </c>
      <c r="AA15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50 عام 6  شهر  29  يوم </v>
      </c>
      <c r="AB15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27عام0  شهر  19  يوم </v>
      </c>
      <c r="AC153" s="10">
        <f>DATE(YEAR(Table1[[#This Row],[تاريخ الميلاد]])+60,MONTH(Table1[[#This Row],[تاريخ الميلاد]]),DAY(Table1[[#This Row],[تاريخ الميلاد]]))</f>
        <v>49696</v>
      </c>
      <c r="AD153" s="14">
        <f>DATE(YEAR(Table1[[#This Row],[معاش 01/01]])-1,MONTH(Table1[[#This Row],[تاريخ بلوغ 60 ]]),DAY(Table1[[#This Row],[تاريخ بلوغ 60 ]]))</f>
        <v>49696</v>
      </c>
      <c r="AE15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50062</v>
      </c>
      <c r="AF153" s="10" t="str">
        <f>IFERROR(IF(ISODD(MID(Table1[[#This Row],[الرقم القومي]],13,1)),"ذكر","انثي"),"")</f>
        <v>انثي</v>
      </c>
      <c r="AG153" s="70" t="s">
        <v>1635</v>
      </c>
      <c r="AH153" s="3">
        <f>IF(MONTH(Table1[[#This Row],[تاريخ بلوغ 60 ]])&lt;&gt;1,1,0)</f>
        <v>0</v>
      </c>
      <c r="AI153" s="3">
        <f>IF(DAY(Table1[[#This Row],[تاريخ بلوغ 60 ]])&lt;&gt;1,1,0)</f>
        <v>1</v>
      </c>
      <c r="AJ153" s="4" t="s">
        <v>465</v>
      </c>
      <c r="AK153" s="4" t="s">
        <v>2666</v>
      </c>
      <c r="AL153" s="62" t="s">
        <v>1848</v>
      </c>
      <c r="AM153" s="62" t="s">
        <v>2789</v>
      </c>
      <c r="AN153" s="2">
        <v>3</v>
      </c>
      <c r="AO153" s="4" t="s">
        <v>2641</v>
      </c>
      <c r="AP153" s="74">
        <v>1629.49</v>
      </c>
      <c r="AQ153" s="4">
        <v>18.75</v>
      </c>
      <c r="AR153" s="4">
        <v>1</v>
      </c>
      <c r="AS153" s="4" t="s">
        <v>2635</v>
      </c>
      <c r="AT153" s="72">
        <v>2</v>
      </c>
      <c r="AU153" s="2">
        <v>4</v>
      </c>
      <c r="AV153" s="4"/>
      <c r="AW153" s="4"/>
      <c r="AX153" s="4"/>
    </row>
    <row r="154" spans="1:50" ht="15" x14ac:dyDescent="0.2">
      <c r="A154" s="3">
        <v>27794</v>
      </c>
      <c r="B154" s="1" t="s">
        <v>468</v>
      </c>
      <c r="C154" s="3">
        <v>1</v>
      </c>
      <c r="D154" s="3" t="s">
        <v>465</v>
      </c>
      <c r="E154" s="3">
        <v>3</v>
      </c>
      <c r="F154" s="3" t="s">
        <v>472</v>
      </c>
      <c r="G154" s="7" t="s">
        <v>117</v>
      </c>
      <c r="H154" s="3">
        <v>104</v>
      </c>
      <c r="I154" s="3" t="s">
        <v>1083</v>
      </c>
      <c r="J154" s="3">
        <v>18</v>
      </c>
      <c r="K154" s="3" t="s">
        <v>1529</v>
      </c>
      <c r="L154" s="3">
        <v>4</v>
      </c>
      <c r="M154" s="3" t="s">
        <v>498</v>
      </c>
      <c r="N154" s="3" t="s">
        <v>1086</v>
      </c>
      <c r="O154" s="10">
        <v>27802</v>
      </c>
      <c r="P154" s="10">
        <v>36373</v>
      </c>
      <c r="Q154" s="10"/>
      <c r="R154" s="10">
        <v>44561</v>
      </c>
      <c r="S154" s="23">
        <v>9176.15</v>
      </c>
      <c r="T154" s="3">
        <v>16729306</v>
      </c>
      <c r="U154" s="3">
        <v>27602121203024</v>
      </c>
      <c r="V154" s="4" t="s">
        <v>1851</v>
      </c>
      <c r="W154" s="4"/>
      <c r="X154" s="4" t="s">
        <v>1583</v>
      </c>
      <c r="Y154" s="4">
        <v>1995</v>
      </c>
      <c r="Z154" s="3">
        <f ca="1">DATEDIF(Table1[[#This Row],[تاريخ الميلاد]],TODAY(),"y")</f>
        <v>50</v>
      </c>
      <c r="AA15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50 عام 6  شهر  8  يوم </v>
      </c>
      <c r="AB15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27عام0  شهر  19  يوم </v>
      </c>
      <c r="AC154" s="10">
        <f>DATE(YEAR(Table1[[#This Row],[تاريخ الميلاد]])+60,MONTH(Table1[[#This Row],[تاريخ الميلاد]]),DAY(Table1[[#This Row],[تاريخ الميلاد]]))</f>
        <v>49717</v>
      </c>
      <c r="AD154" s="14">
        <f>DATE(YEAR(Table1[[#This Row],[معاش 01/01]])-1,MONTH(Table1[[#This Row],[تاريخ بلوغ 60 ]]),DAY(Table1[[#This Row],[تاريخ بلوغ 60 ]]))</f>
        <v>49717</v>
      </c>
      <c r="AE15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50083</v>
      </c>
      <c r="AF154" s="10" t="str">
        <f>IFERROR(IF(ISODD(MID(Table1[[#This Row],[الرقم القومي]],13,1)),"ذكر","انثي"),"")</f>
        <v>انثي</v>
      </c>
      <c r="AG154" s="70" t="s">
        <v>1635</v>
      </c>
      <c r="AH154" s="3">
        <f>IF(MONTH(Table1[[#This Row],[تاريخ بلوغ 60 ]])&lt;&gt;1,1,0)</f>
        <v>1</v>
      </c>
      <c r="AI154" s="3">
        <f>IF(DAY(Table1[[#This Row],[تاريخ بلوغ 60 ]])&lt;&gt;1,1,0)</f>
        <v>1</v>
      </c>
      <c r="AJ154" s="4" t="s">
        <v>465</v>
      </c>
      <c r="AK154" s="4" t="s">
        <v>2636</v>
      </c>
      <c r="AL154" s="4" t="s">
        <v>1850</v>
      </c>
      <c r="AM154" s="62" t="s">
        <v>2790</v>
      </c>
      <c r="AN154" s="2">
        <v>3</v>
      </c>
      <c r="AO154" s="4" t="s">
        <v>2641</v>
      </c>
      <c r="AP154" s="74">
        <v>1629.49</v>
      </c>
      <c r="AQ154" s="4">
        <v>18.75</v>
      </c>
      <c r="AR154" s="4">
        <v>1</v>
      </c>
      <c r="AS154" s="4" t="s">
        <v>2635</v>
      </c>
      <c r="AT154" s="72">
        <v>2</v>
      </c>
      <c r="AU154" s="2">
        <v>4</v>
      </c>
      <c r="AV154" s="4"/>
      <c r="AW154" s="4"/>
      <c r="AX154" s="4"/>
    </row>
    <row r="155" spans="1:50" ht="15" x14ac:dyDescent="0.2">
      <c r="A155" s="3">
        <v>27802</v>
      </c>
      <c r="B155" s="1" t="s">
        <v>468</v>
      </c>
      <c r="C155" s="3">
        <v>1</v>
      </c>
      <c r="D155" s="3" t="s">
        <v>465</v>
      </c>
      <c r="E155" s="3">
        <v>3</v>
      </c>
      <c r="F155" s="3" t="s">
        <v>472</v>
      </c>
      <c r="G155" s="7" t="s">
        <v>118</v>
      </c>
      <c r="H155" s="3">
        <v>104</v>
      </c>
      <c r="I155" s="3" t="s">
        <v>1083</v>
      </c>
      <c r="J155" s="3">
        <v>18</v>
      </c>
      <c r="K155" s="3" t="s">
        <v>1529</v>
      </c>
      <c r="L155" s="3">
        <v>4</v>
      </c>
      <c r="M155" s="3" t="s">
        <v>498</v>
      </c>
      <c r="N155" s="3" t="s">
        <v>1086</v>
      </c>
      <c r="O155" s="10">
        <v>27339</v>
      </c>
      <c r="P155" s="10">
        <v>36373</v>
      </c>
      <c r="Q155" s="10"/>
      <c r="R155" s="10">
        <v>44561</v>
      </c>
      <c r="S155" s="23">
        <v>9176.15</v>
      </c>
      <c r="T155" s="3">
        <v>30772617</v>
      </c>
      <c r="U155" s="3">
        <v>27411060300102</v>
      </c>
      <c r="V155" s="4" t="s">
        <v>1853</v>
      </c>
      <c r="W155" s="4"/>
      <c r="X155" s="4" t="s">
        <v>1583</v>
      </c>
      <c r="Y155" s="4">
        <v>1992</v>
      </c>
      <c r="Z155" s="3">
        <f ca="1">DATEDIF(Table1[[#This Row],[تاريخ الميلاد]],TODAY(),"y")</f>
        <v>51</v>
      </c>
      <c r="AA15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51 عام 9  شهر  14  يوم </v>
      </c>
      <c r="AB15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27عام0  شهر  19  يوم </v>
      </c>
      <c r="AC155" s="10">
        <f>DATE(YEAR(Table1[[#This Row],[تاريخ الميلاد]])+60,MONTH(Table1[[#This Row],[تاريخ الميلاد]]),DAY(Table1[[#This Row],[تاريخ الميلاد]]))</f>
        <v>49254</v>
      </c>
      <c r="AD155" s="14">
        <f>DATE(YEAR(Table1[[#This Row],[معاش 01/01]])-1,MONTH(Table1[[#This Row],[تاريخ بلوغ 60 ]]),DAY(Table1[[#This Row],[تاريخ بلوغ 60 ]]))</f>
        <v>49254</v>
      </c>
      <c r="AE15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49619</v>
      </c>
      <c r="AF155" s="10" t="str">
        <f>IFERROR(IF(ISODD(MID(Table1[[#This Row],[الرقم القومي]],13,1)),"ذكر","انثي"),"")</f>
        <v>انثي</v>
      </c>
      <c r="AG155" s="70" t="s">
        <v>2606</v>
      </c>
      <c r="AH155" s="3">
        <f>IF(MONTH(Table1[[#This Row],[تاريخ بلوغ 60 ]])&lt;&gt;1,1,0)</f>
        <v>1</v>
      </c>
      <c r="AI155" s="3">
        <f>IF(DAY(Table1[[#This Row],[تاريخ بلوغ 60 ]])&lt;&gt;1,1,0)</f>
        <v>1</v>
      </c>
      <c r="AJ155" s="4" t="s">
        <v>465</v>
      </c>
      <c r="AK155" s="4" t="s">
        <v>2666</v>
      </c>
      <c r="AL155" s="4" t="s">
        <v>1852</v>
      </c>
      <c r="AM155" s="62" t="s">
        <v>2791</v>
      </c>
      <c r="AN155" s="2">
        <v>3</v>
      </c>
      <c r="AO155" s="4" t="s">
        <v>2641</v>
      </c>
      <c r="AP155" s="74">
        <v>1629.49</v>
      </c>
      <c r="AQ155" s="4">
        <v>18.75</v>
      </c>
      <c r="AR155" s="4">
        <v>1</v>
      </c>
      <c r="AS155" s="4" t="s">
        <v>2635</v>
      </c>
      <c r="AT155" s="72">
        <v>2</v>
      </c>
      <c r="AU155" s="2">
        <v>4</v>
      </c>
      <c r="AV155" s="4"/>
      <c r="AW155" s="4"/>
      <c r="AX155" s="4"/>
    </row>
    <row r="156" spans="1:50" ht="15" x14ac:dyDescent="0.2">
      <c r="A156" s="3">
        <v>27803</v>
      </c>
      <c r="B156" s="1" t="s">
        <v>468</v>
      </c>
      <c r="C156" s="3">
        <v>1</v>
      </c>
      <c r="D156" s="3" t="s">
        <v>465</v>
      </c>
      <c r="E156" s="3">
        <v>3</v>
      </c>
      <c r="F156" s="3" t="s">
        <v>472</v>
      </c>
      <c r="G156" s="7" t="s">
        <v>119</v>
      </c>
      <c r="H156" s="3">
        <v>104</v>
      </c>
      <c r="I156" s="3" t="s">
        <v>1083</v>
      </c>
      <c r="J156" s="3">
        <v>18</v>
      </c>
      <c r="K156" s="3" t="s">
        <v>1529</v>
      </c>
      <c r="L156" s="3">
        <v>4</v>
      </c>
      <c r="M156" s="3" t="s">
        <v>498</v>
      </c>
      <c r="N156" s="3" t="s">
        <v>1086</v>
      </c>
      <c r="O156" s="10">
        <v>28158</v>
      </c>
      <c r="P156" s="10">
        <v>36373</v>
      </c>
      <c r="Q156" s="10"/>
      <c r="R156" s="10">
        <v>44561</v>
      </c>
      <c r="S156" s="23">
        <v>9176.15</v>
      </c>
      <c r="T156" s="3">
        <v>41759923</v>
      </c>
      <c r="U156" s="3">
        <v>27702021500441</v>
      </c>
      <c r="V156" s="4" t="s">
        <v>1855</v>
      </c>
      <c r="W156" s="4"/>
      <c r="X156" s="4" t="s">
        <v>1583</v>
      </c>
      <c r="Y156" s="4">
        <v>1992</v>
      </c>
      <c r="Z156" s="3">
        <f ca="1">DATEDIF(Table1[[#This Row],[تاريخ الميلاد]],TODAY(),"y")</f>
        <v>49</v>
      </c>
      <c r="AA15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49 عام 6  شهر  18  يوم </v>
      </c>
      <c r="AB15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27عام0  شهر  19  يوم </v>
      </c>
      <c r="AC156" s="10">
        <f>DATE(YEAR(Table1[[#This Row],[تاريخ الميلاد]])+60,MONTH(Table1[[#This Row],[تاريخ الميلاد]]),DAY(Table1[[#This Row],[تاريخ الميلاد]]))</f>
        <v>50073</v>
      </c>
      <c r="AD156" s="14">
        <f>DATE(YEAR(Table1[[#This Row],[معاش 01/01]])-1,MONTH(Table1[[#This Row],[تاريخ بلوغ 60 ]]),DAY(Table1[[#This Row],[تاريخ بلوغ 60 ]]))</f>
        <v>50073</v>
      </c>
      <c r="AE15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50438</v>
      </c>
      <c r="AF156" s="10" t="str">
        <f>IFERROR(IF(ISODD(MID(Table1[[#This Row],[الرقم القومي]],13,1)),"ذكر","انثي"),"")</f>
        <v>انثي</v>
      </c>
      <c r="AG156" s="70" t="s">
        <v>2612</v>
      </c>
      <c r="AH156" s="3">
        <f>IF(MONTH(Table1[[#This Row],[تاريخ بلوغ 60 ]])&lt;&gt;1,1,0)</f>
        <v>1</v>
      </c>
      <c r="AI156" s="3">
        <f>IF(DAY(Table1[[#This Row],[تاريخ بلوغ 60 ]])&lt;&gt;1,1,0)</f>
        <v>1</v>
      </c>
      <c r="AJ156" s="4" t="s">
        <v>465</v>
      </c>
      <c r="AK156" s="4" t="s">
        <v>2666</v>
      </c>
      <c r="AL156" s="4" t="s">
        <v>1854</v>
      </c>
      <c r="AM156" s="62" t="s">
        <v>2792</v>
      </c>
      <c r="AN156" s="2">
        <v>3</v>
      </c>
      <c r="AO156" s="4" t="s">
        <v>2641</v>
      </c>
      <c r="AP156" s="74">
        <v>1629.49</v>
      </c>
      <c r="AQ156" s="4">
        <v>18.75</v>
      </c>
      <c r="AR156" s="4">
        <v>1</v>
      </c>
      <c r="AS156" s="4" t="s">
        <v>2635</v>
      </c>
      <c r="AT156" s="72">
        <v>2</v>
      </c>
      <c r="AU156" s="2">
        <v>4</v>
      </c>
      <c r="AV156" s="4"/>
      <c r="AW156" s="4"/>
      <c r="AX156" s="4"/>
    </row>
    <row r="157" spans="1:50" ht="15" x14ac:dyDescent="0.2">
      <c r="A157" s="3">
        <v>27804</v>
      </c>
      <c r="B157" s="1" t="s">
        <v>468</v>
      </c>
      <c r="C157" s="3">
        <v>1</v>
      </c>
      <c r="D157" s="3" t="s">
        <v>465</v>
      </c>
      <c r="E157" s="3">
        <v>3</v>
      </c>
      <c r="F157" s="3" t="s">
        <v>472</v>
      </c>
      <c r="G157" s="7" t="s">
        <v>120</v>
      </c>
      <c r="H157" s="3">
        <v>104</v>
      </c>
      <c r="I157" s="3" t="s">
        <v>1083</v>
      </c>
      <c r="J157" s="3">
        <v>18</v>
      </c>
      <c r="K157" s="3" t="s">
        <v>1529</v>
      </c>
      <c r="L157" s="3">
        <v>4</v>
      </c>
      <c r="M157" s="3" t="s">
        <v>498</v>
      </c>
      <c r="N157" s="3" t="s">
        <v>1086</v>
      </c>
      <c r="O157" s="10">
        <v>28064</v>
      </c>
      <c r="P157" s="10">
        <v>36373</v>
      </c>
      <c r="Q157" s="10"/>
      <c r="R157" s="10">
        <v>44561</v>
      </c>
      <c r="S157" s="23">
        <v>9176.15</v>
      </c>
      <c r="T157" s="3">
        <v>3127096</v>
      </c>
      <c r="U157" s="3">
        <v>27610310300068</v>
      </c>
      <c r="V157" s="4" t="s">
        <v>1857</v>
      </c>
      <c r="W157" s="4"/>
      <c r="X157" s="4" t="s">
        <v>1583</v>
      </c>
      <c r="Y157" s="4">
        <v>1995</v>
      </c>
      <c r="Z157" s="3">
        <f ca="1">DATEDIF(Table1[[#This Row],[تاريخ الميلاد]],TODAY(),"y")</f>
        <v>49</v>
      </c>
      <c r="AA15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49 عام 9  شهر  20  يوم </v>
      </c>
      <c r="AB15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27عام0  شهر  19  يوم </v>
      </c>
      <c r="AC157" s="10">
        <f>DATE(YEAR(Table1[[#This Row],[تاريخ الميلاد]])+60,MONTH(Table1[[#This Row],[تاريخ الميلاد]]),DAY(Table1[[#This Row],[تاريخ الميلاد]]))</f>
        <v>49979</v>
      </c>
      <c r="AD157" s="14">
        <f>DATE(YEAR(Table1[[#This Row],[معاش 01/01]])-1,MONTH(Table1[[#This Row],[تاريخ بلوغ 60 ]]),DAY(Table1[[#This Row],[تاريخ بلوغ 60 ]]))</f>
        <v>49979</v>
      </c>
      <c r="AE15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50344</v>
      </c>
      <c r="AF157" s="10" t="str">
        <f>IFERROR(IF(ISODD(MID(Table1[[#This Row],[الرقم القومي]],13,1)),"ذكر","انثي"),"")</f>
        <v>انثي</v>
      </c>
      <c r="AG157" s="70" t="s">
        <v>2606</v>
      </c>
      <c r="AH157" s="3">
        <f>IF(MONTH(Table1[[#This Row],[تاريخ بلوغ 60 ]])&lt;&gt;1,1,0)</f>
        <v>1</v>
      </c>
      <c r="AI157" s="3">
        <f>IF(DAY(Table1[[#This Row],[تاريخ بلوغ 60 ]])&lt;&gt;1,1,0)</f>
        <v>1</v>
      </c>
      <c r="AJ157" s="4" t="s">
        <v>465</v>
      </c>
      <c r="AK157" s="4" t="s">
        <v>2636</v>
      </c>
      <c r="AL157" s="4" t="s">
        <v>1856</v>
      </c>
      <c r="AM157" s="62" t="s">
        <v>2793</v>
      </c>
      <c r="AN157" s="2">
        <v>3</v>
      </c>
      <c r="AO157" s="4" t="s">
        <v>2641</v>
      </c>
      <c r="AP157" s="74">
        <v>1629.49</v>
      </c>
      <c r="AQ157" s="4">
        <v>18.75</v>
      </c>
      <c r="AR157" s="4">
        <v>1</v>
      </c>
      <c r="AS157" s="4" t="s">
        <v>2635</v>
      </c>
      <c r="AT157" s="72">
        <v>2</v>
      </c>
      <c r="AU157" s="2">
        <v>4</v>
      </c>
      <c r="AV157" s="4"/>
      <c r="AW157" s="4"/>
      <c r="AX157" s="4"/>
    </row>
    <row r="158" spans="1:50" ht="15" x14ac:dyDescent="0.2">
      <c r="A158" s="3">
        <v>27807</v>
      </c>
      <c r="B158" s="1" t="s">
        <v>468</v>
      </c>
      <c r="C158" s="3">
        <v>1</v>
      </c>
      <c r="D158" s="3" t="s">
        <v>465</v>
      </c>
      <c r="E158" s="3">
        <v>3</v>
      </c>
      <c r="F158" s="3" t="s">
        <v>472</v>
      </c>
      <c r="G158" s="7" t="s">
        <v>121</v>
      </c>
      <c r="H158" s="3">
        <v>104</v>
      </c>
      <c r="I158" s="3" t="s">
        <v>1083</v>
      </c>
      <c r="J158" s="3">
        <v>18</v>
      </c>
      <c r="K158" s="3" t="s">
        <v>1529</v>
      </c>
      <c r="L158" s="3">
        <v>4</v>
      </c>
      <c r="M158" s="3" t="s">
        <v>498</v>
      </c>
      <c r="N158" s="3" t="s">
        <v>1086</v>
      </c>
      <c r="O158" s="10">
        <v>27658</v>
      </c>
      <c r="P158" s="10">
        <v>36373</v>
      </c>
      <c r="Q158" s="10"/>
      <c r="R158" s="10">
        <v>44561</v>
      </c>
      <c r="S158" s="23">
        <v>9176.15</v>
      </c>
      <c r="T158" s="3">
        <v>50387624</v>
      </c>
      <c r="U158" s="3">
        <v>27509210300122</v>
      </c>
      <c r="V158" s="4" t="s">
        <v>1859</v>
      </c>
      <c r="W158" s="4"/>
      <c r="X158" s="4" t="s">
        <v>1583</v>
      </c>
      <c r="Y158" s="4">
        <v>1993</v>
      </c>
      <c r="Z158" s="3">
        <f ca="1">DATEDIF(Table1[[#This Row],[تاريخ الميلاد]],TODAY(),"y")</f>
        <v>50</v>
      </c>
      <c r="AA15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50 عام 10  شهر  30  يوم </v>
      </c>
      <c r="AB15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27عام0  شهر  19  يوم </v>
      </c>
      <c r="AC158" s="10">
        <f>DATE(YEAR(Table1[[#This Row],[تاريخ الميلاد]])+60,MONTH(Table1[[#This Row],[تاريخ الميلاد]]),DAY(Table1[[#This Row],[تاريخ الميلاد]]))</f>
        <v>49573</v>
      </c>
      <c r="AD158" s="14">
        <f>DATE(YEAR(Table1[[#This Row],[معاش 01/01]])-1,MONTH(Table1[[#This Row],[تاريخ بلوغ 60 ]]),DAY(Table1[[#This Row],[تاريخ بلوغ 60 ]]))</f>
        <v>49573</v>
      </c>
      <c r="AE15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49939</v>
      </c>
      <c r="AF158" s="10" t="str">
        <f>IFERROR(IF(ISODD(MID(Table1[[#This Row],[الرقم القومي]],13,1)),"ذكر","انثي"),"")</f>
        <v>انثي</v>
      </c>
      <c r="AG158" s="70" t="s">
        <v>2606</v>
      </c>
      <c r="AH158" s="3">
        <f>IF(MONTH(Table1[[#This Row],[تاريخ بلوغ 60 ]])&lt;&gt;1,1,0)</f>
        <v>1</v>
      </c>
      <c r="AI158" s="3">
        <f>IF(DAY(Table1[[#This Row],[تاريخ بلوغ 60 ]])&lt;&gt;1,1,0)</f>
        <v>1</v>
      </c>
      <c r="AJ158" s="4" t="s">
        <v>465</v>
      </c>
      <c r="AK158" s="4" t="s">
        <v>2636</v>
      </c>
      <c r="AL158" s="4" t="s">
        <v>1858</v>
      </c>
      <c r="AM158" s="62" t="s">
        <v>2794</v>
      </c>
      <c r="AN158" s="2">
        <v>3</v>
      </c>
      <c r="AO158" s="4" t="s">
        <v>2641</v>
      </c>
      <c r="AP158" s="74">
        <v>1629.49</v>
      </c>
      <c r="AQ158" s="4">
        <v>18.75</v>
      </c>
      <c r="AR158" s="4">
        <v>1</v>
      </c>
      <c r="AS158" s="4" t="s">
        <v>2635</v>
      </c>
      <c r="AT158" s="72">
        <v>2</v>
      </c>
      <c r="AU158" s="2">
        <v>4</v>
      </c>
      <c r="AV158" s="4"/>
      <c r="AW158" s="4"/>
      <c r="AX158" s="4"/>
    </row>
    <row r="159" spans="1:50" ht="15" x14ac:dyDescent="0.2">
      <c r="A159" s="3">
        <v>27808</v>
      </c>
      <c r="B159" s="1" t="s">
        <v>468</v>
      </c>
      <c r="C159" s="3">
        <v>1</v>
      </c>
      <c r="D159" s="3" t="s">
        <v>465</v>
      </c>
      <c r="E159" s="3">
        <v>3</v>
      </c>
      <c r="F159" s="3" t="s">
        <v>472</v>
      </c>
      <c r="G159" s="7" t="s">
        <v>122</v>
      </c>
      <c r="H159" s="3">
        <v>104</v>
      </c>
      <c r="I159" s="3" t="s">
        <v>1083</v>
      </c>
      <c r="J159" s="3">
        <v>18</v>
      </c>
      <c r="K159" s="3" t="s">
        <v>1529</v>
      </c>
      <c r="L159" s="3">
        <v>4</v>
      </c>
      <c r="M159" s="3" t="s">
        <v>498</v>
      </c>
      <c r="N159" s="3" t="s">
        <v>1086</v>
      </c>
      <c r="O159" s="10">
        <v>28400</v>
      </c>
      <c r="P159" s="10">
        <v>36373</v>
      </c>
      <c r="Q159" s="10"/>
      <c r="R159" s="10">
        <v>44561</v>
      </c>
      <c r="S159" s="23">
        <v>9176.15</v>
      </c>
      <c r="T159" s="3">
        <v>14752423</v>
      </c>
      <c r="U159" s="3">
        <v>27710020300166</v>
      </c>
      <c r="V159" s="4" t="s">
        <v>1861</v>
      </c>
      <c r="W159" s="4"/>
      <c r="X159" s="4" t="s">
        <v>1583</v>
      </c>
      <c r="Y159" s="4">
        <v>1995</v>
      </c>
      <c r="Z159" s="3">
        <f ca="1">DATEDIF(Table1[[#This Row],[تاريخ الميلاد]],TODAY(),"y")</f>
        <v>48</v>
      </c>
      <c r="AA15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48 عام 10  شهر  18  يوم </v>
      </c>
      <c r="AB15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27عام0  شهر  19  يوم </v>
      </c>
      <c r="AC159" s="10">
        <f>DATE(YEAR(Table1[[#This Row],[تاريخ الميلاد]])+60,MONTH(Table1[[#This Row],[تاريخ الميلاد]]),DAY(Table1[[#This Row],[تاريخ الميلاد]]))</f>
        <v>50315</v>
      </c>
      <c r="AD159" s="14">
        <f>DATE(YEAR(Table1[[#This Row],[معاش 01/01]])-1,MONTH(Table1[[#This Row],[تاريخ بلوغ 60 ]]),DAY(Table1[[#This Row],[تاريخ بلوغ 60 ]]))</f>
        <v>50315</v>
      </c>
      <c r="AE15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50680</v>
      </c>
      <c r="AF159" s="10" t="str">
        <f>IFERROR(IF(ISODD(MID(Table1[[#This Row],[الرقم القومي]],13,1)),"ذكر","انثي"),"")</f>
        <v>انثي</v>
      </c>
      <c r="AG159" s="70" t="s">
        <v>2606</v>
      </c>
      <c r="AH159" s="3">
        <f>IF(MONTH(Table1[[#This Row],[تاريخ بلوغ 60 ]])&lt;&gt;1,1,0)</f>
        <v>1</v>
      </c>
      <c r="AI159" s="3">
        <f>IF(DAY(Table1[[#This Row],[تاريخ بلوغ 60 ]])&lt;&gt;1,1,0)</f>
        <v>1</v>
      </c>
      <c r="AJ159" s="4" t="s">
        <v>465</v>
      </c>
      <c r="AK159" s="4" t="s">
        <v>2636</v>
      </c>
      <c r="AL159" s="4" t="s">
        <v>1860</v>
      </c>
      <c r="AM159" s="62" t="s">
        <v>2795</v>
      </c>
      <c r="AN159" s="2">
        <v>3</v>
      </c>
      <c r="AO159" s="4" t="s">
        <v>2641</v>
      </c>
      <c r="AP159" s="74">
        <v>1629.49</v>
      </c>
      <c r="AQ159" s="4">
        <v>18.75</v>
      </c>
      <c r="AR159" s="4">
        <v>0</v>
      </c>
      <c r="AS159" s="4" t="s">
        <v>2645</v>
      </c>
      <c r="AT159" s="72">
        <v>0</v>
      </c>
      <c r="AU159" s="2">
        <v>4</v>
      </c>
      <c r="AV159" s="4"/>
      <c r="AW159" s="4"/>
      <c r="AX159" s="4"/>
    </row>
    <row r="160" spans="1:50" ht="15" x14ac:dyDescent="0.2">
      <c r="A160" s="3">
        <v>27811</v>
      </c>
      <c r="B160" s="1" t="s">
        <v>468</v>
      </c>
      <c r="C160" s="3">
        <v>1</v>
      </c>
      <c r="D160" s="3" t="s">
        <v>465</v>
      </c>
      <c r="E160" s="3">
        <v>3</v>
      </c>
      <c r="F160" s="3" t="s">
        <v>472</v>
      </c>
      <c r="G160" s="7" t="s">
        <v>123</v>
      </c>
      <c r="H160" s="3">
        <v>104</v>
      </c>
      <c r="I160" s="3" t="s">
        <v>1083</v>
      </c>
      <c r="J160" s="3">
        <v>18</v>
      </c>
      <c r="K160" s="3" t="s">
        <v>1529</v>
      </c>
      <c r="L160" s="3">
        <v>4</v>
      </c>
      <c r="M160" s="3" t="s">
        <v>498</v>
      </c>
      <c r="N160" s="3" t="s">
        <v>1086</v>
      </c>
      <c r="O160" s="10">
        <v>27242</v>
      </c>
      <c r="P160" s="10">
        <v>36376</v>
      </c>
      <c r="Q160" s="10"/>
      <c r="R160" s="10">
        <v>44561</v>
      </c>
      <c r="S160" s="23">
        <v>9176.15</v>
      </c>
      <c r="T160" s="3">
        <v>48969194</v>
      </c>
      <c r="U160" s="3">
        <v>27408011100865</v>
      </c>
      <c r="V160" s="4" t="s">
        <v>1863</v>
      </c>
      <c r="W160" s="4"/>
      <c r="X160" s="4" t="s">
        <v>1583</v>
      </c>
      <c r="Y160" s="4">
        <v>1992</v>
      </c>
      <c r="Z160" s="3">
        <f ca="1">DATEDIF(Table1[[#This Row],[تاريخ الميلاد]],TODAY(),"y")</f>
        <v>52</v>
      </c>
      <c r="AA16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52 عام 0  شهر  19  يوم </v>
      </c>
      <c r="AB16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27عام0  شهر  16  يوم </v>
      </c>
      <c r="AC160" s="10">
        <f>DATE(YEAR(Table1[[#This Row],[تاريخ الميلاد]])+60,MONTH(Table1[[#This Row],[تاريخ الميلاد]]),DAY(Table1[[#This Row],[تاريخ الميلاد]]))</f>
        <v>49157</v>
      </c>
      <c r="AD160" s="14">
        <f>DATE(YEAR(Table1[[#This Row],[معاش 01/01]])-1,MONTH(Table1[[#This Row],[تاريخ بلوغ 60 ]]),DAY(Table1[[#This Row],[تاريخ بلوغ 60 ]]))</f>
        <v>49157</v>
      </c>
      <c r="AE16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49522</v>
      </c>
      <c r="AF160" s="10" t="str">
        <f>IFERROR(IF(ISODD(MID(Table1[[#This Row],[الرقم القومي]],13,1)),"ذكر","انثي"),"")</f>
        <v>انثي</v>
      </c>
      <c r="AG160" s="70" t="s">
        <v>2609</v>
      </c>
      <c r="AH160" s="3">
        <f>IF(MONTH(Table1[[#This Row],[تاريخ بلوغ 60 ]])&lt;&gt;1,1,0)</f>
        <v>1</v>
      </c>
      <c r="AI160" s="3">
        <f>IF(DAY(Table1[[#This Row],[تاريخ بلوغ 60 ]])&lt;&gt;1,1,0)</f>
        <v>0</v>
      </c>
      <c r="AJ160" s="4" t="s">
        <v>465</v>
      </c>
      <c r="AK160" s="4" t="s">
        <v>2636</v>
      </c>
      <c r="AL160" s="4" t="s">
        <v>1862</v>
      </c>
      <c r="AM160" s="62" t="s">
        <v>2796</v>
      </c>
      <c r="AN160" s="2">
        <v>3</v>
      </c>
      <c r="AO160" s="4" t="s">
        <v>2641</v>
      </c>
      <c r="AP160" s="74">
        <v>1629.49</v>
      </c>
      <c r="AQ160" s="4">
        <v>18.75</v>
      </c>
      <c r="AR160" s="4">
        <v>1</v>
      </c>
      <c r="AS160" s="4" t="s">
        <v>2635</v>
      </c>
      <c r="AT160" s="72">
        <v>2</v>
      </c>
      <c r="AU160" s="2">
        <v>4</v>
      </c>
      <c r="AV160" s="4"/>
      <c r="AW160" s="4"/>
      <c r="AX160" s="4"/>
    </row>
    <row r="161" spans="1:50" ht="15" x14ac:dyDescent="0.2">
      <c r="A161" s="3">
        <v>27812</v>
      </c>
      <c r="B161" s="1" t="s">
        <v>468</v>
      </c>
      <c r="C161" s="3">
        <v>1</v>
      </c>
      <c r="D161" s="3" t="s">
        <v>465</v>
      </c>
      <c r="E161" s="3">
        <v>3</v>
      </c>
      <c r="F161" s="3" t="s">
        <v>472</v>
      </c>
      <c r="G161" s="7" t="s">
        <v>124</v>
      </c>
      <c r="H161" s="3">
        <v>104</v>
      </c>
      <c r="I161" s="3" t="s">
        <v>1083</v>
      </c>
      <c r="J161" s="3">
        <v>18</v>
      </c>
      <c r="K161" s="3" t="s">
        <v>1529</v>
      </c>
      <c r="L161" s="3">
        <v>4</v>
      </c>
      <c r="M161" s="3" t="s">
        <v>498</v>
      </c>
      <c r="N161" s="3" t="s">
        <v>1086</v>
      </c>
      <c r="O161" s="10">
        <v>27249</v>
      </c>
      <c r="P161" s="10">
        <v>36379</v>
      </c>
      <c r="Q161" s="10"/>
      <c r="R161" s="10">
        <v>44561</v>
      </c>
      <c r="S161" s="23">
        <v>9176.15</v>
      </c>
      <c r="T161" s="3">
        <v>8700289</v>
      </c>
      <c r="U161" s="3">
        <v>27408080300086</v>
      </c>
      <c r="V161" s="4" t="s">
        <v>1865</v>
      </c>
      <c r="W161" s="4"/>
      <c r="X161" s="4" t="s">
        <v>1583</v>
      </c>
      <c r="Y161" s="4">
        <v>1993</v>
      </c>
      <c r="Z161" s="3">
        <f ca="1">DATEDIF(Table1[[#This Row],[تاريخ الميلاد]],TODAY(),"y")</f>
        <v>52</v>
      </c>
      <c r="AA16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52 عام 0  شهر  12  يوم </v>
      </c>
      <c r="AB16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27عام0  شهر  13  يوم </v>
      </c>
      <c r="AC161" s="10">
        <f>DATE(YEAR(Table1[[#This Row],[تاريخ الميلاد]])+60,MONTH(Table1[[#This Row],[تاريخ الميلاد]]),DAY(Table1[[#This Row],[تاريخ الميلاد]]))</f>
        <v>49164</v>
      </c>
      <c r="AD161" s="14">
        <f>DATE(YEAR(Table1[[#This Row],[معاش 01/01]])-1,MONTH(Table1[[#This Row],[تاريخ بلوغ 60 ]]),DAY(Table1[[#This Row],[تاريخ بلوغ 60 ]]))</f>
        <v>49164</v>
      </c>
      <c r="AE16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49529</v>
      </c>
      <c r="AF161" s="10" t="str">
        <f>IFERROR(IF(ISODD(MID(Table1[[#This Row],[الرقم القومي]],13,1)),"ذكر","انثي"),"")</f>
        <v>انثي</v>
      </c>
      <c r="AG161" s="70" t="s">
        <v>2606</v>
      </c>
      <c r="AH161" s="3">
        <f>IF(MONTH(Table1[[#This Row],[تاريخ بلوغ 60 ]])&lt;&gt;1,1,0)</f>
        <v>1</v>
      </c>
      <c r="AI161" s="3">
        <f>IF(DAY(Table1[[#This Row],[تاريخ بلوغ 60 ]])&lt;&gt;1,1,0)</f>
        <v>1</v>
      </c>
      <c r="AJ161" s="4" t="s">
        <v>465</v>
      </c>
      <c r="AK161" s="4" t="s">
        <v>2689</v>
      </c>
      <c r="AL161" s="4" t="s">
        <v>1864</v>
      </c>
      <c r="AM161" s="62" t="s">
        <v>2797</v>
      </c>
      <c r="AN161" s="2">
        <v>3</v>
      </c>
      <c r="AO161" s="4" t="s">
        <v>2641</v>
      </c>
      <c r="AP161" s="74">
        <v>1629.49</v>
      </c>
      <c r="AQ161" s="4">
        <v>18.75</v>
      </c>
      <c r="AR161" s="4">
        <v>1</v>
      </c>
      <c r="AS161" s="4" t="s">
        <v>2635</v>
      </c>
      <c r="AT161" s="72">
        <v>2</v>
      </c>
      <c r="AU161" s="2">
        <v>4</v>
      </c>
      <c r="AV161" s="4"/>
      <c r="AW161" s="4"/>
      <c r="AX161" s="4"/>
    </row>
    <row r="162" spans="1:50" ht="15" x14ac:dyDescent="0.2">
      <c r="A162" s="3">
        <v>27813</v>
      </c>
      <c r="B162" s="1" t="s">
        <v>468</v>
      </c>
      <c r="C162" s="3">
        <v>1</v>
      </c>
      <c r="D162" s="3" t="s">
        <v>465</v>
      </c>
      <c r="E162" s="3">
        <v>3</v>
      </c>
      <c r="F162" s="3" t="s">
        <v>472</v>
      </c>
      <c r="G162" s="7" t="s">
        <v>125</v>
      </c>
      <c r="H162" s="3">
        <v>104</v>
      </c>
      <c r="I162" s="3" t="s">
        <v>1083</v>
      </c>
      <c r="J162" s="3">
        <v>18</v>
      </c>
      <c r="K162" s="3" t="s">
        <v>1529</v>
      </c>
      <c r="L162" s="3">
        <v>4</v>
      </c>
      <c r="M162" s="3" t="s">
        <v>498</v>
      </c>
      <c r="N162" s="3" t="s">
        <v>1086</v>
      </c>
      <c r="O162" s="10">
        <v>26662</v>
      </c>
      <c r="P162" s="10">
        <v>36382</v>
      </c>
      <c r="Q162" s="10"/>
      <c r="R162" s="10">
        <v>44561</v>
      </c>
      <c r="S162" s="23">
        <v>9176.15</v>
      </c>
      <c r="T162" s="3">
        <v>9710439</v>
      </c>
      <c r="U162" s="3">
        <v>27212290300044</v>
      </c>
      <c r="V162" s="4" t="s">
        <v>1867</v>
      </c>
      <c r="W162" s="4"/>
      <c r="X162" s="4" t="s">
        <v>1583</v>
      </c>
      <c r="Y162" s="4">
        <v>1999</v>
      </c>
      <c r="Z162" s="3">
        <f ca="1">DATEDIF(Table1[[#This Row],[تاريخ الميلاد]],TODAY(),"y")</f>
        <v>53</v>
      </c>
      <c r="AA16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53 عام 7  شهر  22  يوم </v>
      </c>
      <c r="AB16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27عام0  شهر  10  يوم </v>
      </c>
      <c r="AC162" s="10">
        <f>DATE(YEAR(Table1[[#This Row],[تاريخ الميلاد]])+60,MONTH(Table1[[#This Row],[تاريخ الميلاد]]),DAY(Table1[[#This Row],[تاريخ الميلاد]]))</f>
        <v>48577</v>
      </c>
      <c r="AD162" s="14">
        <f>DATE(YEAR(Table1[[#This Row],[معاش 01/01]])-1,MONTH(Table1[[#This Row],[تاريخ بلوغ 60 ]]),DAY(Table1[[#This Row],[تاريخ بلوغ 60 ]]))</f>
        <v>48577</v>
      </c>
      <c r="AE16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48942</v>
      </c>
      <c r="AF162" s="10" t="str">
        <f>IFERROR(IF(ISODD(MID(Table1[[#This Row],[الرقم القومي]],13,1)),"ذكر","انثي"),"")</f>
        <v>انثي</v>
      </c>
      <c r="AG162" s="70" t="s">
        <v>2606</v>
      </c>
      <c r="AH162" s="3">
        <f>IF(MONTH(Table1[[#This Row],[تاريخ بلوغ 60 ]])&lt;&gt;1,1,0)</f>
        <v>1</v>
      </c>
      <c r="AI162" s="3">
        <f>IF(DAY(Table1[[#This Row],[تاريخ بلوغ 60 ]])&lt;&gt;1,1,0)</f>
        <v>1</v>
      </c>
      <c r="AJ162" s="4" t="s">
        <v>465</v>
      </c>
      <c r="AK162" s="4" t="s">
        <v>2636</v>
      </c>
      <c r="AL162" s="4" t="s">
        <v>1866</v>
      </c>
      <c r="AM162" s="62" t="s">
        <v>2798</v>
      </c>
      <c r="AN162" s="2">
        <v>3</v>
      </c>
      <c r="AO162" s="4" t="s">
        <v>2641</v>
      </c>
      <c r="AP162" s="74">
        <v>1629.49</v>
      </c>
      <c r="AQ162" s="4">
        <v>18.75</v>
      </c>
      <c r="AR162" s="4">
        <v>1</v>
      </c>
      <c r="AS162" s="4" t="s">
        <v>2635</v>
      </c>
      <c r="AT162" s="72">
        <v>2</v>
      </c>
      <c r="AU162" s="2">
        <v>4</v>
      </c>
      <c r="AV162" s="4"/>
      <c r="AW162" s="4"/>
      <c r="AX162" s="4"/>
    </row>
    <row r="163" spans="1:50" ht="15" x14ac:dyDescent="0.2">
      <c r="A163" s="3">
        <v>27894</v>
      </c>
      <c r="B163" s="1" t="s">
        <v>468</v>
      </c>
      <c r="C163" s="3">
        <v>1</v>
      </c>
      <c r="D163" s="3" t="s">
        <v>465</v>
      </c>
      <c r="E163" s="3">
        <v>21</v>
      </c>
      <c r="F163" s="3" t="s">
        <v>474</v>
      </c>
      <c r="G163" s="7" t="s">
        <v>126</v>
      </c>
      <c r="H163" s="3">
        <v>86</v>
      </c>
      <c r="I163" s="3" t="s">
        <v>2601</v>
      </c>
      <c r="J163" s="3">
        <v>18</v>
      </c>
      <c r="K163" s="3" t="s">
        <v>1529</v>
      </c>
      <c r="L163" s="3">
        <v>4</v>
      </c>
      <c r="M163" s="3" t="s">
        <v>498</v>
      </c>
      <c r="N163" s="3" t="s">
        <v>955</v>
      </c>
      <c r="O163" s="10">
        <v>29785</v>
      </c>
      <c r="P163" s="10">
        <v>36617</v>
      </c>
      <c r="Q163" s="10">
        <v>37364</v>
      </c>
      <c r="R163" s="10">
        <v>44926</v>
      </c>
      <c r="S163" s="23">
        <v>8593.08</v>
      </c>
      <c r="T163" s="3">
        <v>45842893</v>
      </c>
      <c r="U163" s="3">
        <v>28107180300257</v>
      </c>
      <c r="V163" s="4" t="s">
        <v>1588</v>
      </c>
      <c r="W163" s="4"/>
      <c r="X163" s="4" t="s">
        <v>1583</v>
      </c>
      <c r="Z163" s="3">
        <f ca="1">DATEDIF(Table1[[#This Row],[تاريخ الميلاد]],TODAY(),"y")</f>
        <v>45</v>
      </c>
      <c r="AA16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45 عام 1  شهر  2  يوم </v>
      </c>
      <c r="AB16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26عام4  شهر  19  يوم </v>
      </c>
      <c r="AC163" s="10">
        <f>DATE(YEAR(Table1[[#This Row],[تاريخ الميلاد]])+60,MONTH(Table1[[#This Row],[تاريخ الميلاد]]),DAY(Table1[[#This Row],[تاريخ الميلاد]]))</f>
        <v>51700</v>
      </c>
      <c r="AD163" s="14">
        <f>DATE(YEAR(Table1[[#This Row],[معاش 01/01]])-1,MONTH(Table1[[#This Row],[تاريخ بلوغ 60 ]]),DAY(Table1[[#This Row],[تاريخ بلوغ 60 ]]))</f>
        <v>51700</v>
      </c>
      <c r="AE16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52065</v>
      </c>
      <c r="AF163" s="10" t="str">
        <f>IFERROR(IF(ISODD(MID(Table1[[#This Row],[الرقم القومي]],13,1)),"ذكر","انثي"),"")</f>
        <v>ذكر</v>
      </c>
      <c r="AG163" s="70" t="s">
        <v>2606</v>
      </c>
      <c r="AH163" s="3">
        <f>IF(MONTH(Table1[[#This Row],[تاريخ بلوغ 60 ]])&lt;&gt;1,1,0)</f>
        <v>1</v>
      </c>
      <c r="AI163" s="3">
        <f>IF(DAY(Table1[[#This Row],[تاريخ بلوغ 60 ]])&lt;&gt;1,1,0)</f>
        <v>1</v>
      </c>
      <c r="AJ163" s="4" t="s">
        <v>465</v>
      </c>
      <c r="AK163" s="4">
        <v>0</v>
      </c>
      <c r="AL163" s="4" t="s">
        <v>1587</v>
      </c>
      <c r="AM163" s="62" t="s">
        <v>2799</v>
      </c>
      <c r="AN163" s="2">
        <v>3</v>
      </c>
      <c r="AO163" s="4" t="s">
        <v>2641</v>
      </c>
      <c r="AP163" s="74">
        <v>1520.13</v>
      </c>
      <c r="AQ163" s="4">
        <v>18.75</v>
      </c>
      <c r="AR163" s="4">
        <v>3</v>
      </c>
      <c r="AS163" s="4" t="s">
        <v>2668</v>
      </c>
      <c r="AT163" s="72">
        <v>6</v>
      </c>
      <c r="AU163" s="2">
        <v>4</v>
      </c>
      <c r="AV163" s="4"/>
      <c r="AW163" s="4"/>
      <c r="AX163" s="4"/>
    </row>
    <row r="164" spans="1:50" ht="15" x14ac:dyDescent="0.2">
      <c r="A164" s="3">
        <v>28014</v>
      </c>
      <c r="B164" s="1" t="s">
        <v>468</v>
      </c>
      <c r="C164" s="3">
        <v>1</v>
      </c>
      <c r="D164" s="3" t="s">
        <v>465</v>
      </c>
      <c r="E164" s="3">
        <v>21</v>
      </c>
      <c r="F164" s="3" t="s">
        <v>474</v>
      </c>
      <c r="G164" s="7" t="s">
        <v>1589</v>
      </c>
      <c r="H164" s="3">
        <v>226</v>
      </c>
      <c r="I164" s="3" t="s">
        <v>1557</v>
      </c>
      <c r="J164" s="3">
        <v>18</v>
      </c>
      <c r="K164" s="3" t="s">
        <v>1529</v>
      </c>
      <c r="L164" s="3">
        <v>4</v>
      </c>
      <c r="M164" s="3" t="s">
        <v>498</v>
      </c>
      <c r="N164" s="3" t="s">
        <v>1558</v>
      </c>
      <c r="O164" s="10">
        <v>29753</v>
      </c>
      <c r="P164" s="10">
        <v>36617</v>
      </c>
      <c r="Q164" s="10">
        <v>37352</v>
      </c>
      <c r="R164" s="10">
        <v>45291</v>
      </c>
      <c r="S164" s="23">
        <v>9186.15</v>
      </c>
      <c r="T164" s="3">
        <v>12822697</v>
      </c>
      <c r="U164" s="3">
        <v>28106160300254</v>
      </c>
      <c r="V164" s="4" t="s">
        <v>1591</v>
      </c>
      <c r="W164" s="4"/>
      <c r="X164" s="4" t="s">
        <v>1583</v>
      </c>
      <c r="Z164" s="3">
        <f ca="1">DATEDIF(Table1[[#This Row],[تاريخ الميلاد]],TODAY(),"y")</f>
        <v>45</v>
      </c>
      <c r="AA16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45 عام 2  شهر  4  يوم </v>
      </c>
      <c r="AB16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26عام4  شهر  19  يوم </v>
      </c>
      <c r="AC164" s="10">
        <f>DATE(YEAR(Table1[[#This Row],[تاريخ الميلاد]])+60,MONTH(Table1[[#This Row],[تاريخ الميلاد]]),DAY(Table1[[#This Row],[تاريخ الميلاد]]))</f>
        <v>51668</v>
      </c>
      <c r="AD164" s="14">
        <f>DATE(YEAR(Table1[[#This Row],[معاش 01/01]])-1,MONTH(Table1[[#This Row],[تاريخ بلوغ 60 ]]),DAY(Table1[[#This Row],[تاريخ بلوغ 60 ]]))</f>
        <v>51668</v>
      </c>
      <c r="AE16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52033</v>
      </c>
      <c r="AF164" s="10" t="str">
        <f>IFERROR(IF(ISODD(MID(Table1[[#This Row],[الرقم القومي]],13,1)),"ذكر","انثي"),"")</f>
        <v>ذكر</v>
      </c>
      <c r="AG164" s="70" t="s">
        <v>2606</v>
      </c>
      <c r="AH164" s="3">
        <f>IF(MONTH(Table1[[#This Row],[تاريخ بلوغ 60 ]])&lt;&gt;1,1,0)</f>
        <v>1</v>
      </c>
      <c r="AI164" s="3">
        <f>IF(DAY(Table1[[#This Row],[تاريخ بلوغ 60 ]])&lt;&gt;1,1,0)</f>
        <v>1</v>
      </c>
      <c r="AJ164" s="4" t="s">
        <v>465</v>
      </c>
      <c r="AK164" s="4">
        <v>0</v>
      </c>
      <c r="AL164" s="4" t="s">
        <v>1590</v>
      </c>
      <c r="AM164" s="62" t="s">
        <v>2800</v>
      </c>
      <c r="AN164" s="2">
        <v>1</v>
      </c>
      <c r="AO164" s="4" t="s">
        <v>2641</v>
      </c>
      <c r="AP164" s="74">
        <v>1087.74</v>
      </c>
      <c r="AQ164" s="4">
        <v>12.5</v>
      </c>
      <c r="AR164" s="4">
        <v>3</v>
      </c>
      <c r="AS164" s="4" t="s">
        <v>2668</v>
      </c>
      <c r="AT164" s="72">
        <v>6</v>
      </c>
      <c r="AU164" s="2">
        <v>4</v>
      </c>
      <c r="AV164" s="4"/>
      <c r="AW164" s="4"/>
      <c r="AX164" s="4"/>
    </row>
    <row r="165" spans="1:50" ht="15" x14ac:dyDescent="0.2">
      <c r="A165" s="3">
        <v>28023</v>
      </c>
      <c r="B165" s="1" t="s">
        <v>468</v>
      </c>
      <c r="C165" s="3">
        <v>1</v>
      </c>
      <c r="D165" s="3" t="s">
        <v>465</v>
      </c>
      <c r="E165" s="3">
        <v>3</v>
      </c>
      <c r="F165" s="3" t="s">
        <v>472</v>
      </c>
      <c r="G165" s="7" t="s">
        <v>127</v>
      </c>
      <c r="H165" s="3">
        <v>100</v>
      </c>
      <c r="I165" s="3" t="s">
        <v>1054</v>
      </c>
      <c r="J165" s="3">
        <v>18</v>
      </c>
      <c r="K165" s="3" t="s">
        <v>1529</v>
      </c>
      <c r="L165" s="3">
        <v>4</v>
      </c>
      <c r="M165" s="3" t="s">
        <v>498</v>
      </c>
      <c r="N165" s="3" t="s">
        <v>1057</v>
      </c>
      <c r="O165" s="10">
        <v>29619</v>
      </c>
      <c r="P165" s="10">
        <v>36662</v>
      </c>
      <c r="Q165" s="10"/>
      <c r="R165" s="10">
        <v>44926</v>
      </c>
      <c r="S165" s="23">
        <v>9194.59</v>
      </c>
      <c r="T165" s="3">
        <v>53322952</v>
      </c>
      <c r="U165" s="3">
        <v>28102020300356</v>
      </c>
      <c r="V165" s="4" t="s">
        <v>1869</v>
      </c>
      <c r="W165" s="4"/>
      <c r="X165" s="4" t="s">
        <v>1583</v>
      </c>
      <c r="Y165" s="4">
        <v>2000</v>
      </c>
      <c r="Z165" s="3">
        <f ca="1">DATEDIF(Table1[[#This Row],[تاريخ الميلاد]],TODAY(),"y")</f>
        <v>45</v>
      </c>
      <c r="AA16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45 عام 6  شهر  18  يوم </v>
      </c>
      <c r="AB16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26عام3  شهر  4  يوم </v>
      </c>
      <c r="AC165" s="10">
        <f>DATE(YEAR(Table1[[#This Row],[تاريخ الميلاد]])+60,MONTH(Table1[[#This Row],[تاريخ الميلاد]]),DAY(Table1[[#This Row],[تاريخ الميلاد]]))</f>
        <v>51534</v>
      </c>
      <c r="AD165" s="14">
        <f>DATE(YEAR(Table1[[#This Row],[معاش 01/01]])-1,MONTH(Table1[[#This Row],[تاريخ بلوغ 60 ]]),DAY(Table1[[#This Row],[تاريخ بلوغ 60 ]]))</f>
        <v>51534</v>
      </c>
      <c r="AE16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51899</v>
      </c>
      <c r="AF165" s="10" t="str">
        <f>IFERROR(IF(ISODD(MID(Table1[[#This Row],[الرقم القومي]],13,1)),"ذكر","انثي"),"")</f>
        <v>ذكر</v>
      </c>
      <c r="AG165" s="70" t="s">
        <v>2606</v>
      </c>
      <c r="AH165" s="3">
        <f>IF(MONTH(Table1[[#This Row],[تاريخ بلوغ 60 ]])&lt;&gt;1,1,0)</f>
        <v>1</v>
      </c>
      <c r="AI165" s="3">
        <f>IF(DAY(Table1[[#This Row],[تاريخ بلوغ 60 ]])&lt;&gt;1,1,0)</f>
        <v>1</v>
      </c>
      <c r="AJ165" s="4" t="s">
        <v>465</v>
      </c>
      <c r="AK165" s="4" t="s">
        <v>2689</v>
      </c>
      <c r="AL165" s="4" t="s">
        <v>1868</v>
      </c>
      <c r="AM165" s="62" t="s">
        <v>2801</v>
      </c>
      <c r="AN165" s="2">
        <v>1</v>
      </c>
      <c r="AO165" s="4" t="s">
        <v>2641</v>
      </c>
      <c r="AP165" s="74">
        <v>1088.6099999999999</v>
      </c>
      <c r="AQ165" s="4">
        <v>12.5</v>
      </c>
      <c r="AR165" s="4">
        <v>3</v>
      </c>
      <c r="AS165" s="4" t="s">
        <v>2668</v>
      </c>
      <c r="AT165" s="72">
        <v>6</v>
      </c>
      <c r="AU165" s="2">
        <v>4</v>
      </c>
      <c r="AV165" s="4"/>
      <c r="AW165" s="4"/>
      <c r="AX165" s="4"/>
    </row>
    <row r="166" spans="1:50" ht="15" x14ac:dyDescent="0.2">
      <c r="A166" s="3">
        <v>28170</v>
      </c>
      <c r="B166" s="1" t="s">
        <v>468</v>
      </c>
      <c r="C166" s="3">
        <v>1</v>
      </c>
      <c r="D166" s="3" t="s">
        <v>465</v>
      </c>
      <c r="E166" s="3">
        <v>3</v>
      </c>
      <c r="F166" s="3" t="s">
        <v>472</v>
      </c>
      <c r="G166" s="7" t="s">
        <v>128</v>
      </c>
      <c r="H166" s="3">
        <v>82</v>
      </c>
      <c r="I166" s="3" t="s">
        <v>922</v>
      </c>
      <c r="J166" s="3">
        <v>18</v>
      </c>
      <c r="K166" s="3" t="s">
        <v>1529</v>
      </c>
      <c r="L166" s="3">
        <v>4</v>
      </c>
      <c r="M166" s="3" t="s">
        <v>498</v>
      </c>
      <c r="N166" s="3" t="s">
        <v>925</v>
      </c>
      <c r="O166" s="10">
        <v>29952</v>
      </c>
      <c r="P166" s="10">
        <v>36925</v>
      </c>
      <c r="Q166" s="10">
        <v>37666</v>
      </c>
      <c r="R166" s="10">
        <v>44926</v>
      </c>
      <c r="S166" s="23">
        <v>9130.69</v>
      </c>
      <c r="T166" s="3">
        <v>53930266</v>
      </c>
      <c r="U166" s="3">
        <v>28201010300615</v>
      </c>
      <c r="V166" s="4" t="s">
        <v>1593</v>
      </c>
      <c r="W166" s="4"/>
      <c r="X166" s="4" t="s">
        <v>1583</v>
      </c>
      <c r="Z166" s="3">
        <f ca="1">DATEDIF(Table1[[#This Row],[تاريخ الميلاد]],TODAY(),"y")</f>
        <v>44</v>
      </c>
      <c r="AA16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44 عام 7  شهر  19  يوم </v>
      </c>
      <c r="AB16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25عام6  شهر  17  يوم </v>
      </c>
      <c r="AC166" s="10">
        <f>DATE(YEAR(Table1[[#This Row],[تاريخ الميلاد]])+60,MONTH(Table1[[#This Row],[تاريخ الميلاد]]),DAY(Table1[[#This Row],[تاريخ الميلاد]]))</f>
        <v>51867</v>
      </c>
      <c r="AD166" s="14">
        <f>DATE(YEAR(Table1[[#This Row],[معاش 01/01]])-1,MONTH(Table1[[#This Row],[تاريخ بلوغ 60 ]]),DAY(Table1[[#This Row],[تاريخ بلوغ 60 ]]))</f>
        <v>51502</v>
      </c>
      <c r="AE16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51867</v>
      </c>
      <c r="AF166" s="10" t="str">
        <f>IFERROR(IF(ISODD(MID(Table1[[#This Row],[الرقم القومي]],13,1)),"ذكر","انثي"),"")</f>
        <v>ذكر</v>
      </c>
      <c r="AG166" s="70" t="s">
        <v>2606</v>
      </c>
      <c r="AH166" s="3">
        <f>IF(MONTH(Table1[[#This Row],[تاريخ بلوغ 60 ]])&lt;&gt;1,1,0)</f>
        <v>0</v>
      </c>
      <c r="AI166" s="3">
        <f>IF(DAY(Table1[[#This Row],[تاريخ بلوغ 60 ]])&lt;&gt;1,1,0)</f>
        <v>0</v>
      </c>
      <c r="AJ166" s="4" t="s">
        <v>465</v>
      </c>
      <c r="AK166" s="4">
        <v>0</v>
      </c>
      <c r="AL166" s="4" t="s">
        <v>1592</v>
      </c>
      <c r="AM166" s="62" t="s">
        <v>2802</v>
      </c>
      <c r="AN166" s="2">
        <v>1</v>
      </c>
      <c r="AO166" s="4" t="s">
        <v>2641</v>
      </c>
      <c r="AP166" s="74">
        <v>1081.18</v>
      </c>
      <c r="AQ166" s="4">
        <v>12.5</v>
      </c>
      <c r="AR166" s="4">
        <v>3</v>
      </c>
      <c r="AS166" s="4" t="s">
        <v>2668</v>
      </c>
      <c r="AT166" s="72">
        <v>6</v>
      </c>
      <c r="AU166" s="2">
        <v>4</v>
      </c>
      <c r="AV166" s="4"/>
      <c r="AW166" s="4"/>
      <c r="AX166" s="4"/>
    </row>
    <row r="167" spans="1:50" ht="15" x14ac:dyDescent="0.2">
      <c r="A167" s="3">
        <v>28314</v>
      </c>
      <c r="B167" s="1" t="s">
        <v>468</v>
      </c>
      <c r="C167" s="3">
        <v>1</v>
      </c>
      <c r="D167" s="3" t="s">
        <v>465</v>
      </c>
      <c r="E167" s="3">
        <v>3</v>
      </c>
      <c r="F167" s="3" t="s">
        <v>472</v>
      </c>
      <c r="G167" s="7" t="s">
        <v>129</v>
      </c>
      <c r="H167" s="3">
        <v>104</v>
      </c>
      <c r="I167" s="3" t="s">
        <v>1083</v>
      </c>
      <c r="J167" s="3">
        <v>18</v>
      </c>
      <c r="K167" s="3" t="s">
        <v>1529</v>
      </c>
      <c r="L167" s="3">
        <v>4</v>
      </c>
      <c r="M167" s="3" t="s">
        <v>498</v>
      </c>
      <c r="N167" s="3" t="s">
        <v>1086</v>
      </c>
      <c r="O167" s="10">
        <v>27782</v>
      </c>
      <c r="P167" s="10">
        <v>36982</v>
      </c>
      <c r="Q167" s="10"/>
      <c r="R167" s="10">
        <v>44926</v>
      </c>
      <c r="S167" s="23">
        <v>8863.3700000000008</v>
      </c>
      <c r="T167" s="3">
        <v>14118393</v>
      </c>
      <c r="U167" s="3">
        <v>27601230300106</v>
      </c>
      <c r="V167" s="4" t="s">
        <v>1871</v>
      </c>
      <c r="W167" s="4"/>
      <c r="X167" s="4" t="s">
        <v>1583</v>
      </c>
      <c r="Y167" s="4">
        <v>1993</v>
      </c>
      <c r="Z167" s="3">
        <f ca="1">DATEDIF(Table1[[#This Row],[تاريخ الميلاد]],TODAY(),"y")</f>
        <v>50</v>
      </c>
      <c r="AA16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50 عام 6  شهر  28  يوم </v>
      </c>
      <c r="AB16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25عام4  شهر  19  يوم </v>
      </c>
      <c r="AC167" s="10">
        <f>DATE(YEAR(Table1[[#This Row],[تاريخ الميلاد]])+60,MONTH(Table1[[#This Row],[تاريخ الميلاد]]),DAY(Table1[[#This Row],[تاريخ الميلاد]]))</f>
        <v>49697</v>
      </c>
      <c r="AD167" s="14">
        <f>DATE(YEAR(Table1[[#This Row],[معاش 01/01]])-1,MONTH(Table1[[#This Row],[تاريخ بلوغ 60 ]]),DAY(Table1[[#This Row],[تاريخ بلوغ 60 ]]))</f>
        <v>49697</v>
      </c>
      <c r="AE16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50063</v>
      </c>
      <c r="AF167" s="10" t="str">
        <f>IFERROR(IF(ISODD(MID(Table1[[#This Row],[الرقم القومي]],13,1)),"ذكر","انثي"),"")</f>
        <v>انثي</v>
      </c>
      <c r="AG167" s="70" t="s">
        <v>2606</v>
      </c>
      <c r="AH167" s="3">
        <f>IF(MONTH(Table1[[#This Row],[تاريخ بلوغ 60 ]])&lt;&gt;1,1,0)</f>
        <v>0</v>
      </c>
      <c r="AI167" s="3">
        <f>IF(DAY(Table1[[#This Row],[تاريخ بلوغ 60 ]])&lt;&gt;1,1,0)</f>
        <v>1</v>
      </c>
      <c r="AJ167" s="4" t="s">
        <v>465</v>
      </c>
      <c r="AK167" s="4" t="s">
        <v>2689</v>
      </c>
      <c r="AL167" s="4" t="s">
        <v>1870</v>
      </c>
      <c r="AM167" s="62" t="s">
        <v>2803</v>
      </c>
      <c r="AN167" s="2">
        <v>3</v>
      </c>
      <c r="AO167" s="4" t="s">
        <v>2641</v>
      </c>
      <c r="AP167" s="74">
        <v>1574.23</v>
      </c>
      <c r="AQ167" s="4">
        <v>18.75</v>
      </c>
      <c r="AR167" s="4">
        <v>1</v>
      </c>
      <c r="AS167" s="4" t="s">
        <v>2635</v>
      </c>
      <c r="AT167" s="72">
        <v>2</v>
      </c>
      <c r="AU167" s="2">
        <v>4</v>
      </c>
      <c r="AV167" s="4"/>
      <c r="AW167" s="4"/>
      <c r="AX167" s="4"/>
    </row>
    <row r="168" spans="1:50" ht="15" x14ac:dyDescent="0.2">
      <c r="A168" s="3">
        <v>28316</v>
      </c>
      <c r="B168" s="1" t="s">
        <v>468</v>
      </c>
      <c r="C168" s="3">
        <v>1</v>
      </c>
      <c r="D168" s="3" t="s">
        <v>465</v>
      </c>
      <c r="E168" s="3">
        <v>3</v>
      </c>
      <c r="F168" s="3" t="s">
        <v>472</v>
      </c>
      <c r="G168" s="7" t="s">
        <v>130</v>
      </c>
      <c r="H168" s="3">
        <v>104</v>
      </c>
      <c r="I168" s="3" t="s">
        <v>1083</v>
      </c>
      <c r="J168" s="3">
        <v>18</v>
      </c>
      <c r="K168" s="3" t="s">
        <v>1529</v>
      </c>
      <c r="L168" s="3">
        <v>4</v>
      </c>
      <c r="M168" s="3" t="s">
        <v>498</v>
      </c>
      <c r="N168" s="3" t="s">
        <v>1086</v>
      </c>
      <c r="O168" s="10">
        <v>28155</v>
      </c>
      <c r="P168" s="10">
        <v>36982</v>
      </c>
      <c r="Q168" s="10"/>
      <c r="R168" s="10">
        <v>44926</v>
      </c>
      <c r="S168" s="23">
        <v>8863.3700000000008</v>
      </c>
      <c r="T168" s="3">
        <v>23356419</v>
      </c>
      <c r="U168" s="3">
        <v>27701300300162</v>
      </c>
      <c r="V168" s="4" t="s">
        <v>1873</v>
      </c>
      <c r="W168" s="4"/>
      <c r="X168" s="4" t="s">
        <v>1583</v>
      </c>
      <c r="Y168" s="4">
        <v>1995</v>
      </c>
      <c r="Z168" s="3">
        <f ca="1">DATEDIF(Table1[[#This Row],[تاريخ الميلاد]],TODAY(),"y")</f>
        <v>49</v>
      </c>
      <c r="AA16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49 عام 6  شهر  21  يوم </v>
      </c>
      <c r="AB16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25عام4  شهر  19  يوم </v>
      </c>
      <c r="AC168" s="10">
        <f>DATE(YEAR(Table1[[#This Row],[تاريخ الميلاد]])+60,MONTH(Table1[[#This Row],[تاريخ الميلاد]]),DAY(Table1[[#This Row],[تاريخ الميلاد]]))</f>
        <v>50070</v>
      </c>
      <c r="AD168" s="14">
        <f>DATE(YEAR(Table1[[#This Row],[معاش 01/01]])-1,MONTH(Table1[[#This Row],[تاريخ بلوغ 60 ]]),DAY(Table1[[#This Row],[تاريخ بلوغ 60 ]]))</f>
        <v>50070</v>
      </c>
      <c r="AE16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50435</v>
      </c>
      <c r="AF168" s="10" t="str">
        <f>IFERROR(IF(ISODD(MID(Table1[[#This Row],[الرقم القومي]],13,1)),"ذكر","انثي"),"")</f>
        <v>انثي</v>
      </c>
      <c r="AG168" s="70" t="s">
        <v>2606</v>
      </c>
      <c r="AH168" s="3">
        <f>IF(MONTH(Table1[[#This Row],[تاريخ بلوغ 60 ]])&lt;&gt;1,1,0)</f>
        <v>0</v>
      </c>
      <c r="AI168" s="3">
        <f>IF(DAY(Table1[[#This Row],[تاريخ بلوغ 60 ]])&lt;&gt;1,1,0)</f>
        <v>1</v>
      </c>
      <c r="AJ168" s="4" t="s">
        <v>465</v>
      </c>
      <c r="AK168" s="4" t="s">
        <v>2636</v>
      </c>
      <c r="AL168" s="4" t="s">
        <v>1872</v>
      </c>
      <c r="AM168" s="62" t="s">
        <v>2804</v>
      </c>
      <c r="AN168" s="2">
        <v>3</v>
      </c>
      <c r="AO168" s="4" t="s">
        <v>2641</v>
      </c>
      <c r="AP168" s="74">
        <v>1574.23</v>
      </c>
      <c r="AQ168" s="4">
        <v>18.75</v>
      </c>
      <c r="AR168" s="4">
        <v>1</v>
      </c>
      <c r="AS168" s="4" t="s">
        <v>2635</v>
      </c>
      <c r="AT168" s="72">
        <v>2</v>
      </c>
      <c r="AU168" s="2">
        <v>4</v>
      </c>
      <c r="AV168" s="4"/>
      <c r="AW168" s="4"/>
      <c r="AX168" s="4"/>
    </row>
    <row r="169" spans="1:50" ht="15" x14ac:dyDescent="0.2">
      <c r="A169" s="3">
        <v>28317</v>
      </c>
      <c r="B169" s="1" t="s">
        <v>468</v>
      </c>
      <c r="C169" s="3">
        <v>1</v>
      </c>
      <c r="D169" s="3" t="s">
        <v>465</v>
      </c>
      <c r="E169" s="3">
        <v>3</v>
      </c>
      <c r="F169" s="3" t="s">
        <v>472</v>
      </c>
      <c r="G169" s="7" t="s">
        <v>131</v>
      </c>
      <c r="H169" s="3">
        <v>104</v>
      </c>
      <c r="I169" s="3" t="s">
        <v>1083</v>
      </c>
      <c r="J169" s="3">
        <v>18</v>
      </c>
      <c r="K169" s="3" t="s">
        <v>1529</v>
      </c>
      <c r="L169" s="3">
        <v>4</v>
      </c>
      <c r="M169" s="3" t="s">
        <v>498</v>
      </c>
      <c r="N169" s="3" t="s">
        <v>1086</v>
      </c>
      <c r="O169" s="10">
        <v>27308</v>
      </c>
      <c r="P169" s="10">
        <v>36982</v>
      </c>
      <c r="Q169" s="10"/>
      <c r="R169" s="10">
        <v>44926</v>
      </c>
      <c r="S169" s="23">
        <v>8863.3700000000008</v>
      </c>
      <c r="T169" s="3">
        <v>54155158</v>
      </c>
      <c r="U169" s="3">
        <v>27410061201641</v>
      </c>
      <c r="V169" s="4" t="s">
        <v>1875</v>
      </c>
      <c r="W169" s="4"/>
      <c r="X169" s="4" t="s">
        <v>1583</v>
      </c>
      <c r="Y169" s="4">
        <v>1993</v>
      </c>
      <c r="Z169" s="3">
        <f ca="1">DATEDIF(Table1[[#This Row],[تاريخ الميلاد]],TODAY(),"y")</f>
        <v>51</v>
      </c>
      <c r="AA16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51 عام 10  شهر  14  يوم </v>
      </c>
      <c r="AB16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25عام4  شهر  19  يوم </v>
      </c>
      <c r="AC169" s="10">
        <f>DATE(YEAR(Table1[[#This Row],[تاريخ الميلاد]])+60,MONTH(Table1[[#This Row],[تاريخ الميلاد]]),DAY(Table1[[#This Row],[تاريخ الميلاد]]))</f>
        <v>49223</v>
      </c>
      <c r="AD169" s="14">
        <f>DATE(YEAR(Table1[[#This Row],[معاش 01/01]])-1,MONTH(Table1[[#This Row],[تاريخ بلوغ 60 ]]),DAY(Table1[[#This Row],[تاريخ بلوغ 60 ]]))</f>
        <v>49223</v>
      </c>
      <c r="AE16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49588</v>
      </c>
      <c r="AF169" s="10" t="str">
        <f>IFERROR(IF(ISODD(MID(Table1[[#This Row],[الرقم القومي]],13,1)),"ذكر","انثي"),"")</f>
        <v>انثي</v>
      </c>
      <c r="AG169" s="70" t="s">
        <v>1635</v>
      </c>
      <c r="AH169" s="3">
        <f>IF(MONTH(Table1[[#This Row],[تاريخ بلوغ 60 ]])&lt;&gt;1,1,0)</f>
        <v>1</v>
      </c>
      <c r="AI169" s="3">
        <f>IF(DAY(Table1[[#This Row],[تاريخ بلوغ 60 ]])&lt;&gt;1,1,0)</f>
        <v>1</v>
      </c>
      <c r="AJ169" s="4" t="s">
        <v>465</v>
      </c>
      <c r="AK169" s="4" t="s">
        <v>2636</v>
      </c>
      <c r="AL169" s="4" t="s">
        <v>1874</v>
      </c>
      <c r="AM169" s="62" t="s">
        <v>2805</v>
      </c>
      <c r="AN169" s="2">
        <v>3</v>
      </c>
      <c r="AO169" s="4" t="s">
        <v>2641</v>
      </c>
      <c r="AP169" s="74">
        <v>1574.23</v>
      </c>
      <c r="AQ169" s="4">
        <v>18.75</v>
      </c>
      <c r="AR169" s="4">
        <v>7</v>
      </c>
      <c r="AS169" s="4" t="s">
        <v>2642</v>
      </c>
      <c r="AT169" s="72">
        <v>0</v>
      </c>
      <c r="AU169" s="2">
        <v>4</v>
      </c>
      <c r="AV169" s="4"/>
      <c r="AW169" s="4"/>
      <c r="AX169" s="4"/>
    </row>
    <row r="170" spans="1:50" ht="15" x14ac:dyDescent="0.2">
      <c r="A170" s="3">
        <v>28320</v>
      </c>
      <c r="B170" s="1" t="s">
        <v>468</v>
      </c>
      <c r="C170" s="3">
        <v>1</v>
      </c>
      <c r="D170" s="3" t="s">
        <v>465</v>
      </c>
      <c r="E170" s="3">
        <v>3</v>
      </c>
      <c r="F170" s="3" t="s">
        <v>472</v>
      </c>
      <c r="G170" s="7" t="s">
        <v>132</v>
      </c>
      <c r="H170" s="3">
        <v>104</v>
      </c>
      <c r="I170" s="3" t="s">
        <v>1083</v>
      </c>
      <c r="J170" s="3">
        <v>18</v>
      </c>
      <c r="K170" s="3" t="s">
        <v>1529</v>
      </c>
      <c r="L170" s="3">
        <v>4</v>
      </c>
      <c r="M170" s="3" t="s">
        <v>498</v>
      </c>
      <c r="N170" s="3" t="s">
        <v>1086</v>
      </c>
      <c r="O170" s="10">
        <v>28626</v>
      </c>
      <c r="P170" s="10">
        <v>36982</v>
      </c>
      <c r="Q170" s="10"/>
      <c r="R170" s="10">
        <v>44926</v>
      </c>
      <c r="S170" s="23">
        <v>8863.3700000000008</v>
      </c>
      <c r="T170" s="3">
        <v>5939553</v>
      </c>
      <c r="U170" s="3">
        <v>27805160300124</v>
      </c>
      <c r="V170" s="4" t="s">
        <v>1877</v>
      </c>
      <c r="W170" s="4"/>
      <c r="X170" s="4" t="s">
        <v>1583</v>
      </c>
      <c r="Y170" s="4">
        <v>1995</v>
      </c>
      <c r="Z170" s="3">
        <f ca="1">DATEDIF(Table1[[#This Row],[تاريخ الميلاد]],TODAY(),"y")</f>
        <v>48</v>
      </c>
      <c r="AA17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48 عام 3  شهر  4  يوم </v>
      </c>
      <c r="AB17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25عام4  شهر  19  يوم </v>
      </c>
      <c r="AC170" s="10">
        <f>DATE(YEAR(Table1[[#This Row],[تاريخ الميلاد]])+60,MONTH(Table1[[#This Row],[تاريخ الميلاد]]),DAY(Table1[[#This Row],[تاريخ الميلاد]]))</f>
        <v>50541</v>
      </c>
      <c r="AD170" s="14">
        <f>DATE(YEAR(Table1[[#This Row],[معاش 01/01]])-1,MONTH(Table1[[#This Row],[تاريخ بلوغ 60 ]]),DAY(Table1[[#This Row],[تاريخ بلوغ 60 ]]))</f>
        <v>50541</v>
      </c>
      <c r="AE17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50906</v>
      </c>
      <c r="AF170" s="10" t="str">
        <f>IFERROR(IF(ISODD(MID(Table1[[#This Row],[الرقم القومي]],13,1)),"ذكر","انثي"),"")</f>
        <v>انثي</v>
      </c>
      <c r="AG170" s="70" t="s">
        <v>2606</v>
      </c>
      <c r="AH170" s="3">
        <f>IF(MONTH(Table1[[#This Row],[تاريخ بلوغ 60 ]])&lt;&gt;1,1,0)</f>
        <v>1</v>
      </c>
      <c r="AI170" s="3">
        <f>IF(DAY(Table1[[#This Row],[تاريخ بلوغ 60 ]])&lt;&gt;1,1,0)</f>
        <v>1</v>
      </c>
      <c r="AJ170" s="4" t="s">
        <v>465</v>
      </c>
      <c r="AK170" s="4" t="s">
        <v>2636</v>
      </c>
      <c r="AL170" s="4" t="s">
        <v>1876</v>
      </c>
      <c r="AM170" s="62" t="s">
        <v>2806</v>
      </c>
      <c r="AN170" s="2">
        <v>3</v>
      </c>
      <c r="AO170" s="4" t="s">
        <v>2641</v>
      </c>
      <c r="AP170" s="74">
        <v>1574.23</v>
      </c>
      <c r="AQ170" s="4">
        <v>18.75</v>
      </c>
      <c r="AR170" s="4">
        <v>1</v>
      </c>
      <c r="AS170" s="4" t="s">
        <v>2635</v>
      </c>
      <c r="AT170" s="72">
        <v>2</v>
      </c>
      <c r="AU170" s="2">
        <v>4</v>
      </c>
      <c r="AV170" s="4"/>
      <c r="AW170" s="4"/>
      <c r="AX170" s="4"/>
    </row>
    <row r="171" spans="1:50" ht="15" x14ac:dyDescent="0.2">
      <c r="A171" s="3">
        <v>28321</v>
      </c>
      <c r="B171" s="1" t="s">
        <v>468</v>
      </c>
      <c r="C171" s="3">
        <v>1</v>
      </c>
      <c r="D171" s="3" t="s">
        <v>465</v>
      </c>
      <c r="E171" s="3">
        <v>3</v>
      </c>
      <c r="F171" s="3" t="s">
        <v>472</v>
      </c>
      <c r="G171" s="7" t="s">
        <v>133</v>
      </c>
      <c r="H171" s="3">
        <v>104</v>
      </c>
      <c r="I171" s="3" t="s">
        <v>1083</v>
      </c>
      <c r="J171" s="3">
        <v>18</v>
      </c>
      <c r="K171" s="3" t="s">
        <v>1529</v>
      </c>
      <c r="L171" s="3">
        <v>4</v>
      </c>
      <c r="M171" s="3" t="s">
        <v>498</v>
      </c>
      <c r="N171" s="3" t="s">
        <v>1086</v>
      </c>
      <c r="O171" s="10">
        <v>27603</v>
      </c>
      <c r="P171" s="10">
        <v>36982</v>
      </c>
      <c r="Q171" s="10"/>
      <c r="R171" s="10">
        <v>44926</v>
      </c>
      <c r="S171" s="23">
        <v>8863.3700000000008</v>
      </c>
      <c r="T171" s="3">
        <v>46042361</v>
      </c>
      <c r="U171" s="3">
        <v>27507280300101</v>
      </c>
      <c r="V171" s="4" t="s">
        <v>1879</v>
      </c>
      <c r="W171" s="4"/>
      <c r="X171" s="4" t="s">
        <v>1583</v>
      </c>
      <c r="Y171" s="4">
        <v>1993</v>
      </c>
      <c r="Z171" s="3">
        <f ca="1">DATEDIF(Table1[[#This Row],[تاريخ الميلاد]],TODAY(),"y")</f>
        <v>51</v>
      </c>
      <c r="AA17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51 عام 0  شهر  23  يوم </v>
      </c>
      <c r="AB17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25عام4  شهر  19  يوم </v>
      </c>
      <c r="AC171" s="10">
        <f>DATE(YEAR(Table1[[#This Row],[تاريخ الميلاد]])+60,MONTH(Table1[[#This Row],[تاريخ الميلاد]]),DAY(Table1[[#This Row],[تاريخ الميلاد]]))</f>
        <v>49518</v>
      </c>
      <c r="AD171" s="14">
        <f>DATE(YEAR(Table1[[#This Row],[معاش 01/01]])-1,MONTH(Table1[[#This Row],[تاريخ بلوغ 60 ]]),DAY(Table1[[#This Row],[تاريخ بلوغ 60 ]]))</f>
        <v>49518</v>
      </c>
      <c r="AE17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49884</v>
      </c>
      <c r="AF171" s="10" t="str">
        <f>IFERROR(IF(ISODD(MID(Table1[[#This Row],[الرقم القومي]],13,1)),"ذكر","انثي"),"")</f>
        <v>انثي</v>
      </c>
      <c r="AG171" s="70" t="s">
        <v>2606</v>
      </c>
      <c r="AH171" s="3">
        <f>IF(MONTH(Table1[[#This Row],[تاريخ بلوغ 60 ]])&lt;&gt;1,1,0)</f>
        <v>1</v>
      </c>
      <c r="AI171" s="3">
        <f>IF(DAY(Table1[[#This Row],[تاريخ بلوغ 60 ]])&lt;&gt;1,1,0)</f>
        <v>1</v>
      </c>
      <c r="AJ171" s="4" t="s">
        <v>465</v>
      </c>
      <c r="AK171" s="4" t="s">
        <v>2636</v>
      </c>
      <c r="AL171" s="4" t="s">
        <v>1878</v>
      </c>
      <c r="AM171" s="62" t="s">
        <v>2807</v>
      </c>
      <c r="AN171" s="2">
        <v>3</v>
      </c>
      <c r="AO171" s="4" t="s">
        <v>2641</v>
      </c>
      <c r="AP171" s="74">
        <v>1574.23</v>
      </c>
      <c r="AQ171" s="4">
        <v>18.75</v>
      </c>
      <c r="AR171" s="4">
        <v>1</v>
      </c>
      <c r="AS171" s="4" t="s">
        <v>2635</v>
      </c>
      <c r="AT171" s="72">
        <v>2</v>
      </c>
      <c r="AU171" s="2">
        <v>4</v>
      </c>
      <c r="AV171" s="4"/>
      <c r="AW171" s="4"/>
      <c r="AX171" s="4"/>
    </row>
    <row r="172" spans="1:50" ht="15" x14ac:dyDescent="0.2">
      <c r="A172" s="3">
        <v>28322</v>
      </c>
      <c r="B172" s="1" t="s">
        <v>468</v>
      </c>
      <c r="C172" s="3">
        <v>1</v>
      </c>
      <c r="D172" s="3" t="s">
        <v>465</v>
      </c>
      <c r="E172" s="3">
        <v>3</v>
      </c>
      <c r="F172" s="3" t="s">
        <v>472</v>
      </c>
      <c r="G172" s="7" t="s">
        <v>134</v>
      </c>
      <c r="H172" s="3">
        <v>104</v>
      </c>
      <c r="I172" s="3" t="s">
        <v>1083</v>
      </c>
      <c r="J172" s="3">
        <v>18</v>
      </c>
      <c r="K172" s="3" t="s">
        <v>1529</v>
      </c>
      <c r="L172" s="3">
        <v>4</v>
      </c>
      <c r="M172" s="3" t="s">
        <v>498</v>
      </c>
      <c r="N172" s="3" t="s">
        <v>1086</v>
      </c>
      <c r="O172" s="10">
        <v>27837</v>
      </c>
      <c r="P172" s="10">
        <v>36982</v>
      </c>
      <c r="Q172" s="10"/>
      <c r="R172" s="10">
        <v>44926</v>
      </c>
      <c r="S172" s="23">
        <v>8863.3700000000008</v>
      </c>
      <c r="T172" s="3">
        <v>54155162</v>
      </c>
      <c r="U172" s="3">
        <v>27603180300064</v>
      </c>
      <c r="V172" s="4" t="s">
        <v>1881</v>
      </c>
      <c r="W172" s="4"/>
      <c r="X172" s="4" t="s">
        <v>1583</v>
      </c>
      <c r="Y172" s="4">
        <v>1993</v>
      </c>
      <c r="Z172" s="3">
        <f ca="1">DATEDIF(Table1[[#This Row],[تاريخ الميلاد]],TODAY(),"y")</f>
        <v>50</v>
      </c>
      <c r="AA17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50 عام 5  شهر  2  يوم </v>
      </c>
      <c r="AB17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25عام4  شهر  19  يوم </v>
      </c>
      <c r="AC172" s="10">
        <f>DATE(YEAR(Table1[[#This Row],[تاريخ الميلاد]])+60,MONTH(Table1[[#This Row],[تاريخ الميلاد]]),DAY(Table1[[#This Row],[تاريخ الميلاد]]))</f>
        <v>49752</v>
      </c>
      <c r="AD172" s="14">
        <f>DATE(YEAR(Table1[[#This Row],[معاش 01/01]])-1,MONTH(Table1[[#This Row],[تاريخ بلوغ 60 ]]),DAY(Table1[[#This Row],[تاريخ بلوغ 60 ]]))</f>
        <v>49752</v>
      </c>
      <c r="AE17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50117</v>
      </c>
      <c r="AF172" s="10" t="str">
        <f>IFERROR(IF(ISODD(MID(Table1[[#This Row],[الرقم القومي]],13,1)),"ذكر","انثي"),"")</f>
        <v>انثي</v>
      </c>
      <c r="AG172" s="70" t="s">
        <v>2606</v>
      </c>
      <c r="AH172" s="3">
        <f>IF(MONTH(Table1[[#This Row],[تاريخ بلوغ 60 ]])&lt;&gt;1,1,0)</f>
        <v>1</v>
      </c>
      <c r="AI172" s="3">
        <f>IF(DAY(Table1[[#This Row],[تاريخ بلوغ 60 ]])&lt;&gt;1,1,0)</f>
        <v>1</v>
      </c>
      <c r="AJ172" s="4" t="s">
        <v>465</v>
      </c>
      <c r="AK172" s="4" t="s">
        <v>2636</v>
      </c>
      <c r="AL172" s="4" t="s">
        <v>1880</v>
      </c>
      <c r="AM172" s="62" t="s">
        <v>2808</v>
      </c>
      <c r="AN172" s="2">
        <v>3</v>
      </c>
      <c r="AO172" s="4" t="s">
        <v>2641</v>
      </c>
      <c r="AP172" s="74">
        <v>1574.23</v>
      </c>
      <c r="AQ172" s="4">
        <v>18.75</v>
      </c>
      <c r="AR172" s="4">
        <v>7</v>
      </c>
      <c r="AS172" s="4" t="s">
        <v>2642</v>
      </c>
      <c r="AT172" s="72">
        <v>0</v>
      </c>
      <c r="AU172" s="2">
        <v>4</v>
      </c>
      <c r="AV172" s="4"/>
      <c r="AW172" s="4"/>
      <c r="AX172" s="4"/>
    </row>
    <row r="173" spans="1:50" ht="15" x14ac:dyDescent="0.2">
      <c r="A173" s="3">
        <v>28323</v>
      </c>
      <c r="B173" s="1" t="s">
        <v>468</v>
      </c>
      <c r="C173" s="3">
        <v>1</v>
      </c>
      <c r="D173" s="3" t="s">
        <v>465</v>
      </c>
      <c r="E173" s="3">
        <v>3</v>
      </c>
      <c r="F173" s="3" t="s">
        <v>472</v>
      </c>
      <c r="G173" s="7" t="s">
        <v>135</v>
      </c>
      <c r="H173" s="3">
        <v>104</v>
      </c>
      <c r="I173" s="3" t="s">
        <v>1083</v>
      </c>
      <c r="J173" s="3">
        <v>18</v>
      </c>
      <c r="K173" s="3" t="s">
        <v>1529</v>
      </c>
      <c r="L173" s="3">
        <v>4</v>
      </c>
      <c r="M173" s="3" t="s">
        <v>498</v>
      </c>
      <c r="N173" s="3" t="s">
        <v>1086</v>
      </c>
      <c r="O173" s="10">
        <v>27564</v>
      </c>
      <c r="P173" s="10">
        <v>36982</v>
      </c>
      <c r="Q173" s="10"/>
      <c r="R173" s="10">
        <v>44926</v>
      </c>
      <c r="S173" s="23">
        <v>8863.3700000000008</v>
      </c>
      <c r="T173" s="3">
        <v>13464638</v>
      </c>
      <c r="U173" s="3">
        <v>27506191100541</v>
      </c>
      <c r="V173" s="4" t="s">
        <v>1883</v>
      </c>
      <c r="W173" s="4"/>
      <c r="X173" s="4" t="s">
        <v>1583</v>
      </c>
      <c r="Y173" s="4">
        <v>1993</v>
      </c>
      <c r="Z173" s="3">
        <f ca="1">DATEDIF(Table1[[#This Row],[تاريخ الميلاد]],TODAY(),"y")</f>
        <v>51</v>
      </c>
      <c r="AA17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51 عام 2  شهر  1  يوم </v>
      </c>
      <c r="AB17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25عام4  شهر  19  يوم </v>
      </c>
      <c r="AC173" s="10">
        <f>DATE(YEAR(Table1[[#This Row],[تاريخ الميلاد]])+60,MONTH(Table1[[#This Row],[تاريخ الميلاد]]),DAY(Table1[[#This Row],[تاريخ الميلاد]]))</f>
        <v>49479</v>
      </c>
      <c r="AD173" s="14">
        <f>DATE(YEAR(Table1[[#This Row],[معاش 01/01]])-1,MONTH(Table1[[#This Row],[تاريخ بلوغ 60 ]]),DAY(Table1[[#This Row],[تاريخ بلوغ 60 ]]))</f>
        <v>49479</v>
      </c>
      <c r="AE17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49845</v>
      </c>
      <c r="AF173" s="10" t="str">
        <f>IFERROR(IF(ISODD(MID(Table1[[#This Row],[الرقم القومي]],13,1)),"ذكر","انثي"),"")</f>
        <v>انثي</v>
      </c>
      <c r="AG173" s="70" t="s">
        <v>2609</v>
      </c>
      <c r="AH173" s="3">
        <f>IF(MONTH(Table1[[#This Row],[تاريخ بلوغ 60 ]])&lt;&gt;1,1,0)</f>
        <v>1</v>
      </c>
      <c r="AI173" s="3">
        <f>IF(DAY(Table1[[#This Row],[تاريخ بلوغ 60 ]])&lt;&gt;1,1,0)</f>
        <v>1</v>
      </c>
      <c r="AJ173" s="4" t="s">
        <v>465</v>
      </c>
      <c r="AK173" s="4" t="s">
        <v>2636</v>
      </c>
      <c r="AL173" s="4" t="s">
        <v>1882</v>
      </c>
      <c r="AM173" s="62" t="s">
        <v>2809</v>
      </c>
      <c r="AN173" s="2">
        <v>3</v>
      </c>
      <c r="AO173" s="4" t="s">
        <v>2641</v>
      </c>
      <c r="AP173" s="74">
        <v>1574.23</v>
      </c>
      <c r="AQ173" s="4">
        <v>18.75</v>
      </c>
      <c r="AR173" s="4">
        <v>1</v>
      </c>
      <c r="AS173" s="4" t="s">
        <v>2635</v>
      </c>
      <c r="AT173" s="72">
        <v>2</v>
      </c>
      <c r="AU173" s="2">
        <v>4</v>
      </c>
      <c r="AV173" s="4"/>
      <c r="AW173" s="4"/>
      <c r="AX173" s="4"/>
    </row>
    <row r="174" spans="1:50" ht="15" x14ac:dyDescent="0.2">
      <c r="A174" s="3">
        <v>28324</v>
      </c>
      <c r="B174" s="1" t="s">
        <v>468</v>
      </c>
      <c r="C174" s="3">
        <v>1</v>
      </c>
      <c r="D174" s="3" t="s">
        <v>465</v>
      </c>
      <c r="E174" s="3">
        <v>3</v>
      </c>
      <c r="F174" s="3" t="s">
        <v>472</v>
      </c>
      <c r="G174" s="7" t="s">
        <v>136</v>
      </c>
      <c r="H174" s="3">
        <v>104</v>
      </c>
      <c r="I174" s="3" t="s">
        <v>1083</v>
      </c>
      <c r="J174" s="3">
        <v>18</v>
      </c>
      <c r="K174" s="3" t="s">
        <v>1529</v>
      </c>
      <c r="L174" s="3">
        <v>4</v>
      </c>
      <c r="M174" s="3" t="s">
        <v>498</v>
      </c>
      <c r="N174" s="3" t="s">
        <v>1086</v>
      </c>
      <c r="O174" s="10">
        <v>27348</v>
      </c>
      <c r="P174" s="10">
        <v>36982</v>
      </c>
      <c r="Q174" s="10"/>
      <c r="R174" s="10">
        <v>44926</v>
      </c>
      <c r="S174" s="23">
        <v>8863.3700000000008</v>
      </c>
      <c r="T174" s="3">
        <v>48805660</v>
      </c>
      <c r="U174" s="3">
        <v>27411150300144</v>
      </c>
      <c r="V174" s="4" t="s">
        <v>1885</v>
      </c>
      <c r="W174" s="4"/>
      <c r="X174" s="4" t="s">
        <v>1583</v>
      </c>
      <c r="Y174" s="4">
        <v>1993</v>
      </c>
      <c r="Z174" s="3">
        <f ca="1">DATEDIF(Table1[[#This Row],[تاريخ الميلاد]],TODAY(),"y")</f>
        <v>51</v>
      </c>
      <c r="AA17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51 عام 9  شهر  5  يوم </v>
      </c>
      <c r="AB17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25عام4  شهر  19  يوم </v>
      </c>
      <c r="AC174" s="10">
        <f>DATE(YEAR(Table1[[#This Row],[تاريخ الميلاد]])+60,MONTH(Table1[[#This Row],[تاريخ الميلاد]]),DAY(Table1[[#This Row],[تاريخ الميلاد]]))</f>
        <v>49263</v>
      </c>
      <c r="AD174" s="14">
        <f>DATE(YEAR(Table1[[#This Row],[معاش 01/01]])-1,MONTH(Table1[[#This Row],[تاريخ بلوغ 60 ]]),DAY(Table1[[#This Row],[تاريخ بلوغ 60 ]]))</f>
        <v>49263</v>
      </c>
      <c r="AE17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49628</v>
      </c>
      <c r="AF174" s="10" t="str">
        <f>IFERROR(IF(ISODD(MID(Table1[[#This Row],[الرقم القومي]],13,1)),"ذكر","انثي"),"")</f>
        <v>انثي</v>
      </c>
      <c r="AG174" s="70" t="s">
        <v>2606</v>
      </c>
      <c r="AH174" s="3">
        <f>IF(MONTH(Table1[[#This Row],[تاريخ بلوغ 60 ]])&lt;&gt;1,1,0)</f>
        <v>1</v>
      </c>
      <c r="AI174" s="3">
        <f>IF(DAY(Table1[[#This Row],[تاريخ بلوغ 60 ]])&lt;&gt;1,1,0)</f>
        <v>1</v>
      </c>
      <c r="AJ174" s="4" t="s">
        <v>465</v>
      </c>
      <c r="AK174" s="4" t="s">
        <v>2811</v>
      </c>
      <c r="AL174" s="4" t="s">
        <v>1884</v>
      </c>
      <c r="AM174" s="62" t="s">
        <v>2810</v>
      </c>
      <c r="AN174" s="2">
        <v>3</v>
      </c>
      <c r="AO174" s="4" t="s">
        <v>2641</v>
      </c>
      <c r="AP174" s="74">
        <v>1574.23</v>
      </c>
      <c r="AQ174" s="4">
        <v>18.75</v>
      </c>
      <c r="AR174" s="4">
        <v>1</v>
      </c>
      <c r="AS174" s="4" t="s">
        <v>2635</v>
      </c>
      <c r="AT174" s="72">
        <v>2</v>
      </c>
      <c r="AU174" s="2">
        <v>4</v>
      </c>
      <c r="AV174" s="4"/>
      <c r="AW174" s="4"/>
      <c r="AX174" s="4"/>
    </row>
    <row r="175" spans="1:50" ht="15" x14ac:dyDescent="0.2">
      <c r="A175" s="3">
        <v>28482</v>
      </c>
      <c r="B175" s="1" t="s">
        <v>468</v>
      </c>
      <c r="C175" s="3">
        <v>1</v>
      </c>
      <c r="D175" s="3" t="s">
        <v>465</v>
      </c>
      <c r="E175" s="3">
        <v>3</v>
      </c>
      <c r="F175" s="3" t="s">
        <v>472</v>
      </c>
      <c r="G175" s="7" t="s">
        <v>137</v>
      </c>
      <c r="H175" s="3">
        <v>64</v>
      </c>
      <c r="I175" s="3" t="s">
        <v>802</v>
      </c>
      <c r="J175" s="3">
        <v>18</v>
      </c>
      <c r="K175" s="3" t="s">
        <v>1529</v>
      </c>
      <c r="L175" s="3">
        <v>4</v>
      </c>
      <c r="M175" s="3" t="s">
        <v>498</v>
      </c>
      <c r="N175" s="3" t="s">
        <v>805</v>
      </c>
      <c r="O175" s="10">
        <v>30616</v>
      </c>
      <c r="P175" s="10">
        <v>37289</v>
      </c>
      <c r="Q175" s="10"/>
      <c r="R175" s="10">
        <v>45291</v>
      </c>
      <c r="S175" s="23">
        <v>8535.9</v>
      </c>
      <c r="T175" s="3">
        <v>54931147</v>
      </c>
      <c r="U175" s="3">
        <v>28310270300051</v>
      </c>
      <c r="V175" s="4" t="s">
        <v>1887</v>
      </c>
      <c r="W175" s="4"/>
      <c r="X175" s="4" t="s">
        <v>1583</v>
      </c>
      <c r="Z175" s="3">
        <f ca="1">DATEDIF(Table1[[#This Row],[تاريخ الميلاد]],TODAY(),"y")</f>
        <v>42</v>
      </c>
      <c r="AA17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42 عام 9  شهر  24  يوم </v>
      </c>
      <c r="AB17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24عام6  شهر  18  يوم </v>
      </c>
      <c r="AC175" s="10">
        <f>DATE(YEAR(Table1[[#This Row],[تاريخ الميلاد]])+60,MONTH(Table1[[#This Row],[تاريخ الميلاد]]),DAY(Table1[[#This Row],[تاريخ الميلاد]]))</f>
        <v>52531</v>
      </c>
      <c r="AD175" s="14">
        <f>DATE(YEAR(Table1[[#This Row],[معاش 01/01]])-1,MONTH(Table1[[#This Row],[تاريخ بلوغ 60 ]]),DAY(Table1[[#This Row],[تاريخ بلوغ 60 ]]))</f>
        <v>52531</v>
      </c>
      <c r="AE17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52897</v>
      </c>
      <c r="AF175" s="10" t="str">
        <f>IFERROR(IF(ISODD(MID(Table1[[#This Row],[الرقم القومي]],13,1)),"ذكر","انثي"),"")</f>
        <v>ذكر</v>
      </c>
      <c r="AG175" s="70" t="s">
        <v>2606</v>
      </c>
      <c r="AH175" s="3">
        <f>IF(MONTH(Table1[[#This Row],[تاريخ بلوغ 60 ]])&lt;&gt;1,1,0)</f>
        <v>1</v>
      </c>
      <c r="AI175" s="3">
        <f>IF(DAY(Table1[[#This Row],[تاريخ بلوغ 60 ]])&lt;&gt;1,1,0)</f>
        <v>1</v>
      </c>
      <c r="AJ175" s="4" t="s">
        <v>465</v>
      </c>
      <c r="AK175" s="4" t="s">
        <v>2636</v>
      </c>
      <c r="AL175" s="4" t="s">
        <v>1886</v>
      </c>
      <c r="AM175" s="62" t="s">
        <v>2812</v>
      </c>
      <c r="AN175" s="2">
        <v>1</v>
      </c>
      <c r="AO175" s="4" t="s">
        <v>2641</v>
      </c>
      <c r="AP175" s="74">
        <v>1010.88</v>
      </c>
      <c r="AQ175" s="4">
        <v>12.5</v>
      </c>
      <c r="AR175" s="4">
        <v>3</v>
      </c>
      <c r="AS175" s="4" t="s">
        <v>2668</v>
      </c>
      <c r="AT175" s="72">
        <v>6</v>
      </c>
      <c r="AU175" s="2">
        <v>4</v>
      </c>
      <c r="AV175" s="4"/>
      <c r="AW175" s="4"/>
      <c r="AX175" s="4"/>
    </row>
    <row r="176" spans="1:50" ht="15" x14ac:dyDescent="0.2">
      <c r="A176" s="3">
        <v>28582</v>
      </c>
      <c r="B176" s="1" t="s">
        <v>468</v>
      </c>
      <c r="C176" s="3">
        <v>1</v>
      </c>
      <c r="D176" s="3" t="s">
        <v>465</v>
      </c>
      <c r="E176" s="3">
        <v>21</v>
      </c>
      <c r="F176" s="3" t="s">
        <v>474</v>
      </c>
      <c r="G176" s="7" t="s">
        <v>138</v>
      </c>
      <c r="H176" s="3">
        <v>82</v>
      </c>
      <c r="I176" s="3" t="s">
        <v>922</v>
      </c>
      <c r="J176" s="3">
        <v>18</v>
      </c>
      <c r="K176" s="3" t="s">
        <v>1529</v>
      </c>
      <c r="L176" s="3">
        <v>4</v>
      </c>
      <c r="M176" s="3" t="s">
        <v>498</v>
      </c>
      <c r="N176" s="3" t="s">
        <v>925</v>
      </c>
      <c r="O176" s="10">
        <v>30197</v>
      </c>
      <c r="P176" s="10">
        <v>37289</v>
      </c>
      <c r="Q176" s="10">
        <v>38124</v>
      </c>
      <c r="R176" s="10">
        <v>45657</v>
      </c>
      <c r="S176" s="23">
        <v>9044.5499999999993</v>
      </c>
      <c r="T176" s="3">
        <v>53235508</v>
      </c>
      <c r="U176" s="3">
        <v>28209030300337</v>
      </c>
      <c r="V176" s="4" t="s">
        <v>1594</v>
      </c>
      <c r="W176" s="4"/>
      <c r="X176" s="4" t="s">
        <v>1583</v>
      </c>
      <c r="Z176" s="3">
        <f ca="1">DATEDIF(Table1[[#This Row],[تاريخ الميلاد]],TODAY(),"y")</f>
        <v>43</v>
      </c>
      <c r="AA17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43 عام 11  شهر  17  يوم </v>
      </c>
      <c r="AB17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24عام6  شهر  18  يوم </v>
      </c>
      <c r="AC176" s="10">
        <f>DATE(YEAR(Table1[[#This Row],[تاريخ الميلاد]])+60,MONTH(Table1[[#This Row],[تاريخ الميلاد]]),DAY(Table1[[#This Row],[تاريخ الميلاد]]))</f>
        <v>52112</v>
      </c>
      <c r="AD176" s="14">
        <f>DATE(YEAR(Table1[[#This Row],[معاش 01/01]])-1,MONTH(Table1[[#This Row],[تاريخ بلوغ 60 ]]),DAY(Table1[[#This Row],[تاريخ بلوغ 60 ]]))</f>
        <v>52112</v>
      </c>
      <c r="AE17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52477</v>
      </c>
      <c r="AF176" s="10" t="str">
        <f>IFERROR(IF(ISODD(MID(Table1[[#This Row],[الرقم القومي]],13,1)),"ذكر","انثي"),"")</f>
        <v>ذكر</v>
      </c>
      <c r="AG176" s="70" t="s">
        <v>2606</v>
      </c>
      <c r="AH176" s="3">
        <f>IF(MONTH(Table1[[#This Row],[تاريخ بلوغ 60 ]])&lt;&gt;1,1,0)</f>
        <v>1</v>
      </c>
      <c r="AI176" s="3">
        <f>IF(DAY(Table1[[#This Row],[تاريخ بلوغ 60 ]])&lt;&gt;1,1,0)</f>
        <v>1</v>
      </c>
      <c r="AJ176" s="4" t="s">
        <v>465</v>
      </c>
      <c r="AK176" s="4">
        <v>0</v>
      </c>
      <c r="AL176" s="4" t="s">
        <v>2814</v>
      </c>
      <c r="AM176" s="62" t="s">
        <v>2813</v>
      </c>
      <c r="AN176" s="2">
        <v>1</v>
      </c>
      <c r="AO176" s="4" t="s">
        <v>2641</v>
      </c>
      <c r="AP176" s="74">
        <v>1071.08</v>
      </c>
      <c r="AQ176" s="4">
        <v>12.5</v>
      </c>
      <c r="AR176" s="4">
        <v>3</v>
      </c>
      <c r="AS176" s="4" t="s">
        <v>2668</v>
      </c>
      <c r="AT176" s="72">
        <v>6</v>
      </c>
      <c r="AU176" s="2">
        <v>4</v>
      </c>
      <c r="AV176" s="4"/>
      <c r="AW176" s="4"/>
      <c r="AX176" s="4"/>
    </row>
    <row r="177" spans="1:50" ht="15" x14ac:dyDescent="0.2">
      <c r="A177" s="3">
        <v>28700</v>
      </c>
      <c r="B177" s="1" t="s">
        <v>468</v>
      </c>
      <c r="C177" s="3">
        <v>1</v>
      </c>
      <c r="D177" s="3" t="s">
        <v>465</v>
      </c>
      <c r="E177" s="3">
        <v>21</v>
      </c>
      <c r="F177" s="3" t="s">
        <v>474</v>
      </c>
      <c r="G177" s="7" t="s">
        <v>139</v>
      </c>
      <c r="H177" s="3">
        <v>82</v>
      </c>
      <c r="I177" s="3" t="s">
        <v>922</v>
      </c>
      <c r="J177" s="3">
        <v>18</v>
      </c>
      <c r="K177" s="3" t="s">
        <v>1529</v>
      </c>
      <c r="L177" s="3">
        <v>4</v>
      </c>
      <c r="M177" s="3" t="s">
        <v>498</v>
      </c>
      <c r="N177" s="3" t="s">
        <v>925</v>
      </c>
      <c r="O177" s="10">
        <v>30636</v>
      </c>
      <c r="P177" s="10">
        <v>37712</v>
      </c>
      <c r="Q177" s="10"/>
      <c r="R177" s="10">
        <v>45657</v>
      </c>
      <c r="S177" s="23">
        <v>8428.94</v>
      </c>
      <c r="T177" s="3">
        <v>56321120</v>
      </c>
      <c r="U177" s="3">
        <v>28311160300354</v>
      </c>
      <c r="V177" s="4" t="s">
        <v>1889</v>
      </c>
      <c r="W177" s="4"/>
      <c r="X177" s="4" t="s">
        <v>1583</v>
      </c>
      <c r="Z177" s="3">
        <f ca="1">DATEDIF(Table1[[#This Row],[تاريخ الميلاد]],TODAY(),"y")</f>
        <v>42</v>
      </c>
      <c r="AA17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42 عام 9  شهر  4  يوم </v>
      </c>
      <c r="AB17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23عام4  شهر  19  يوم </v>
      </c>
      <c r="AC177" s="10">
        <f>DATE(YEAR(Table1[[#This Row],[تاريخ الميلاد]])+60,MONTH(Table1[[#This Row],[تاريخ الميلاد]]),DAY(Table1[[#This Row],[تاريخ الميلاد]]))</f>
        <v>52551</v>
      </c>
      <c r="AD177" s="14">
        <f>DATE(YEAR(Table1[[#This Row],[معاش 01/01]])-1,MONTH(Table1[[#This Row],[تاريخ بلوغ 60 ]]),DAY(Table1[[#This Row],[تاريخ بلوغ 60 ]]))</f>
        <v>52551</v>
      </c>
      <c r="AE17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52917</v>
      </c>
      <c r="AF177" s="10" t="str">
        <f>IFERROR(IF(ISODD(MID(Table1[[#This Row],[الرقم القومي]],13,1)),"ذكر","انثي"),"")</f>
        <v>ذكر</v>
      </c>
      <c r="AG177" s="70" t="s">
        <v>2606</v>
      </c>
      <c r="AH177" s="3">
        <f>IF(MONTH(Table1[[#This Row],[تاريخ بلوغ 60 ]])&lt;&gt;1,1,0)</f>
        <v>1</v>
      </c>
      <c r="AI177" s="3">
        <f>IF(DAY(Table1[[#This Row],[تاريخ بلوغ 60 ]])&lt;&gt;1,1,0)</f>
        <v>1</v>
      </c>
      <c r="AJ177" s="4" t="s">
        <v>465</v>
      </c>
      <c r="AK177" s="4" t="s">
        <v>2636</v>
      </c>
      <c r="AL177" s="4" t="s">
        <v>1888</v>
      </c>
      <c r="AM177" s="62" t="s">
        <v>2815</v>
      </c>
      <c r="AN177" s="2">
        <v>1</v>
      </c>
      <c r="AO177" s="4" t="s">
        <v>2641</v>
      </c>
      <c r="AP177" s="74">
        <v>998.19</v>
      </c>
      <c r="AQ177" s="4">
        <v>12.5</v>
      </c>
      <c r="AR177" s="4">
        <v>3</v>
      </c>
      <c r="AS177" s="4" t="s">
        <v>2668</v>
      </c>
      <c r="AT177" s="72">
        <v>6</v>
      </c>
      <c r="AU177" s="2">
        <v>4</v>
      </c>
      <c r="AV177" s="4"/>
      <c r="AW177" s="4"/>
      <c r="AX177" s="4"/>
    </row>
    <row r="178" spans="1:50" ht="15" x14ac:dyDescent="0.2">
      <c r="A178" s="3">
        <v>28738</v>
      </c>
      <c r="B178" s="1" t="s">
        <v>468</v>
      </c>
      <c r="C178" s="3">
        <v>1</v>
      </c>
      <c r="D178" s="3" t="s">
        <v>465</v>
      </c>
      <c r="E178" s="3">
        <v>3</v>
      </c>
      <c r="F178" s="3" t="s">
        <v>472</v>
      </c>
      <c r="G178" s="7" t="s">
        <v>140</v>
      </c>
      <c r="H178" s="3">
        <v>82</v>
      </c>
      <c r="I178" s="3" t="s">
        <v>922</v>
      </c>
      <c r="J178" s="3">
        <v>18</v>
      </c>
      <c r="K178" s="3" t="s">
        <v>1529</v>
      </c>
      <c r="L178" s="3">
        <v>4</v>
      </c>
      <c r="M178" s="3" t="s">
        <v>498</v>
      </c>
      <c r="N178" s="3" t="s">
        <v>925</v>
      </c>
      <c r="O178" s="10">
        <v>30944</v>
      </c>
      <c r="P178" s="10">
        <v>37712</v>
      </c>
      <c r="Q178" s="10"/>
      <c r="R178" s="10">
        <v>45657</v>
      </c>
      <c r="S178" s="23">
        <v>8428.94</v>
      </c>
      <c r="T178" s="3">
        <v>45702908</v>
      </c>
      <c r="U178" s="3">
        <v>28409190300391</v>
      </c>
      <c r="V178" s="4" t="s">
        <v>1891</v>
      </c>
      <c r="W178" s="4"/>
      <c r="X178" s="4" t="s">
        <v>1583</v>
      </c>
      <c r="Z178" s="3">
        <f ca="1">DATEDIF(Table1[[#This Row],[تاريخ الميلاد]],TODAY(),"y")</f>
        <v>41</v>
      </c>
      <c r="AA17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41 عام 11  شهر  1  يوم </v>
      </c>
      <c r="AB17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23عام4  شهر  19  يوم </v>
      </c>
      <c r="AC178" s="10">
        <f>DATE(YEAR(Table1[[#This Row],[تاريخ الميلاد]])+60,MONTH(Table1[[#This Row],[تاريخ الميلاد]]),DAY(Table1[[#This Row],[تاريخ الميلاد]]))</f>
        <v>52859</v>
      </c>
      <c r="AD178" s="14">
        <f>DATE(YEAR(Table1[[#This Row],[معاش 01/01]])-1,MONTH(Table1[[#This Row],[تاريخ بلوغ 60 ]]),DAY(Table1[[#This Row],[تاريخ بلوغ 60 ]]))</f>
        <v>52859</v>
      </c>
      <c r="AE17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53224</v>
      </c>
      <c r="AF178" s="10" t="str">
        <f>IFERROR(IF(ISODD(MID(Table1[[#This Row],[الرقم القومي]],13,1)),"ذكر","انثي"),"")</f>
        <v>ذكر</v>
      </c>
      <c r="AG178" s="70" t="s">
        <v>2606</v>
      </c>
      <c r="AH178" s="3">
        <f>IF(MONTH(Table1[[#This Row],[تاريخ بلوغ 60 ]])&lt;&gt;1,1,0)</f>
        <v>1</v>
      </c>
      <c r="AI178" s="3">
        <f>IF(DAY(Table1[[#This Row],[تاريخ بلوغ 60 ]])&lt;&gt;1,1,0)</f>
        <v>1</v>
      </c>
      <c r="AJ178" s="4" t="s">
        <v>465</v>
      </c>
      <c r="AK178" s="4" t="s">
        <v>2636</v>
      </c>
      <c r="AL178" s="4" t="s">
        <v>1890</v>
      </c>
      <c r="AM178" s="62" t="s">
        <v>2816</v>
      </c>
      <c r="AN178" s="2">
        <v>1</v>
      </c>
      <c r="AO178" s="4" t="s">
        <v>2641</v>
      </c>
      <c r="AP178" s="74">
        <v>998.19</v>
      </c>
      <c r="AQ178" s="4">
        <v>12.5</v>
      </c>
      <c r="AR178" s="4">
        <v>3</v>
      </c>
      <c r="AS178" s="4" t="s">
        <v>2668</v>
      </c>
      <c r="AT178" s="72">
        <v>6</v>
      </c>
      <c r="AU178" s="2">
        <v>4</v>
      </c>
      <c r="AV178" s="4"/>
      <c r="AW178" s="4"/>
      <c r="AX178" s="4"/>
    </row>
    <row r="179" spans="1:50" ht="15" x14ac:dyDescent="0.2">
      <c r="A179" s="3">
        <v>28954</v>
      </c>
      <c r="B179" s="1" t="s">
        <v>468</v>
      </c>
      <c r="C179" s="3">
        <v>1</v>
      </c>
      <c r="D179" s="3" t="s">
        <v>465</v>
      </c>
      <c r="E179" s="3">
        <v>21</v>
      </c>
      <c r="F179" s="3" t="s">
        <v>474</v>
      </c>
      <c r="G179" s="7" t="s">
        <v>141</v>
      </c>
      <c r="H179" s="3">
        <v>99</v>
      </c>
      <c r="I179" s="3" t="s">
        <v>1047</v>
      </c>
      <c r="J179" s="3">
        <v>18</v>
      </c>
      <c r="K179" s="3" t="s">
        <v>1529</v>
      </c>
      <c r="L179" s="3">
        <v>6</v>
      </c>
      <c r="M179" s="3" t="s">
        <v>502</v>
      </c>
      <c r="N179" s="3" t="s">
        <v>1052</v>
      </c>
      <c r="O179" s="10">
        <v>28433</v>
      </c>
      <c r="P179" s="10">
        <v>37987</v>
      </c>
      <c r="Q179" s="10"/>
      <c r="R179" s="10">
        <v>44561</v>
      </c>
      <c r="S179" s="23">
        <v>6537.14</v>
      </c>
      <c r="T179" s="3">
        <v>14109088</v>
      </c>
      <c r="U179" s="3">
        <v>27711040300177</v>
      </c>
      <c r="V179" s="4" t="s">
        <v>1893</v>
      </c>
      <c r="W179" s="4"/>
      <c r="X179" s="4" t="s">
        <v>1583</v>
      </c>
      <c r="Z179" s="3">
        <f ca="1">DATEDIF(Table1[[#This Row],[تاريخ الميلاد]],TODAY(),"y")</f>
        <v>48</v>
      </c>
      <c r="AA17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48 عام 9  شهر  16  يوم </v>
      </c>
      <c r="AB17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22عام7  شهر  19  يوم </v>
      </c>
      <c r="AC179" s="10">
        <f>DATE(YEAR(Table1[[#This Row],[تاريخ الميلاد]])+60,MONTH(Table1[[#This Row],[تاريخ الميلاد]]),DAY(Table1[[#This Row],[تاريخ الميلاد]]))</f>
        <v>50348</v>
      </c>
      <c r="AD179" s="14">
        <f>DATE(YEAR(Table1[[#This Row],[معاش 01/01]])-1,MONTH(Table1[[#This Row],[تاريخ بلوغ 60 ]]),DAY(Table1[[#This Row],[تاريخ بلوغ 60 ]]))</f>
        <v>50348</v>
      </c>
      <c r="AE17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50713</v>
      </c>
      <c r="AF179" s="10" t="str">
        <f>IFERROR(IF(ISODD(MID(Table1[[#This Row],[الرقم القومي]],13,1)),"ذكر","انثي"),"")</f>
        <v>ذكر</v>
      </c>
      <c r="AG179" s="70" t="s">
        <v>2606</v>
      </c>
      <c r="AH179" s="3">
        <f>IF(MONTH(Table1[[#This Row],[تاريخ بلوغ 60 ]])&lt;&gt;1,1,0)</f>
        <v>1</v>
      </c>
      <c r="AI179" s="3">
        <f>IF(DAY(Table1[[#This Row],[تاريخ بلوغ 60 ]])&lt;&gt;1,1,0)</f>
        <v>1</v>
      </c>
      <c r="AJ179" s="4" t="s">
        <v>465</v>
      </c>
      <c r="AK179" s="4" t="s">
        <v>2689</v>
      </c>
      <c r="AL179" s="4" t="s">
        <v>1892</v>
      </c>
      <c r="AM179" s="62" t="s">
        <v>2817</v>
      </c>
      <c r="AN179" s="2">
        <v>4</v>
      </c>
      <c r="AO179" s="4" t="s">
        <v>2641</v>
      </c>
      <c r="AP179" s="74">
        <v>1547.36</v>
      </c>
      <c r="AQ179" s="4">
        <v>25</v>
      </c>
      <c r="AR179" s="4">
        <v>3</v>
      </c>
      <c r="AS179" s="4" t="s">
        <v>2668</v>
      </c>
      <c r="AT179" s="72">
        <v>6</v>
      </c>
      <c r="AU179" s="2">
        <v>6</v>
      </c>
      <c r="AV179" s="4"/>
      <c r="AW179" s="4"/>
      <c r="AX179" s="4"/>
    </row>
    <row r="180" spans="1:50" ht="15" x14ac:dyDescent="0.2">
      <c r="A180" s="3">
        <v>29492</v>
      </c>
      <c r="B180" s="1" t="s">
        <v>468</v>
      </c>
      <c r="C180" s="3">
        <v>1</v>
      </c>
      <c r="D180" s="3" t="s">
        <v>465</v>
      </c>
      <c r="E180" s="3">
        <v>6</v>
      </c>
      <c r="F180" s="3" t="s">
        <v>473</v>
      </c>
      <c r="G180" s="7" t="s">
        <v>142</v>
      </c>
      <c r="H180" s="3">
        <v>225</v>
      </c>
      <c r="I180" s="3" t="s">
        <v>1551</v>
      </c>
      <c r="J180" s="3">
        <v>18</v>
      </c>
      <c r="K180" s="3" t="s">
        <v>1529</v>
      </c>
      <c r="L180" s="3">
        <v>5</v>
      </c>
      <c r="M180" s="3" t="s">
        <v>500</v>
      </c>
      <c r="N180" s="3" t="s">
        <v>1554</v>
      </c>
      <c r="O180" s="10">
        <v>31372</v>
      </c>
      <c r="P180" s="10">
        <v>38528</v>
      </c>
      <c r="Q180" s="10"/>
      <c r="R180" s="10">
        <v>45291</v>
      </c>
      <c r="S180" s="23">
        <v>7597.04</v>
      </c>
      <c r="T180" s="3">
        <v>58843293</v>
      </c>
      <c r="U180" s="3">
        <v>28511210300236</v>
      </c>
      <c r="V180" s="4" t="s">
        <v>1895</v>
      </c>
      <c r="W180" s="4"/>
      <c r="X180" s="4" t="s">
        <v>1583</v>
      </c>
      <c r="Z180" s="3">
        <f ca="1">DATEDIF(Table1[[#This Row],[تاريخ الميلاد]],TODAY(),"y")</f>
        <v>40</v>
      </c>
      <c r="AA18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40 عام 8  شهر  30  يوم </v>
      </c>
      <c r="AB18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21عام1  شهر  26  يوم </v>
      </c>
      <c r="AC180" s="10">
        <f>DATE(YEAR(Table1[[#This Row],[تاريخ الميلاد]])+60,MONTH(Table1[[#This Row],[تاريخ الميلاد]]),DAY(Table1[[#This Row],[تاريخ الميلاد]]))</f>
        <v>53287</v>
      </c>
      <c r="AD180" s="14">
        <f>DATE(YEAR(Table1[[#This Row],[معاش 01/01]])-1,MONTH(Table1[[#This Row],[تاريخ بلوغ 60 ]]),DAY(Table1[[#This Row],[تاريخ بلوغ 60 ]]))</f>
        <v>53287</v>
      </c>
      <c r="AE18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53652</v>
      </c>
      <c r="AF180" s="10" t="str">
        <f>IFERROR(IF(ISODD(MID(Table1[[#This Row],[الرقم القومي]],13,1)),"ذكر","انثي"),"")</f>
        <v>ذكر</v>
      </c>
      <c r="AG180" s="70" t="s">
        <v>2606</v>
      </c>
      <c r="AH180" s="3">
        <f>IF(MONTH(Table1[[#This Row],[تاريخ بلوغ 60 ]])&lt;&gt;1,1,0)</f>
        <v>1</v>
      </c>
      <c r="AI180" s="3">
        <f>IF(DAY(Table1[[#This Row],[تاريخ بلوغ 60 ]])&lt;&gt;1,1,0)</f>
        <v>1</v>
      </c>
      <c r="AJ180" s="4" t="s">
        <v>465</v>
      </c>
      <c r="AK180" s="4" t="s">
        <v>2636</v>
      </c>
      <c r="AL180" s="4" t="s">
        <v>1894</v>
      </c>
      <c r="AM180" s="62" t="s">
        <v>2818</v>
      </c>
      <c r="AN180" s="2">
        <v>2</v>
      </c>
      <c r="AO180" s="4" t="s">
        <v>2641</v>
      </c>
      <c r="AP180" s="74">
        <v>1079.82</v>
      </c>
      <c r="AQ180" s="4">
        <v>15</v>
      </c>
      <c r="AR180" s="4">
        <v>3</v>
      </c>
      <c r="AS180" s="4" t="s">
        <v>2668</v>
      </c>
      <c r="AT180" s="72">
        <v>6</v>
      </c>
      <c r="AU180" s="2">
        <v>5</v>
      </c>
      <c r="AV180" s="4"/>
      <c r="AW180" s="4"/>
      <c r="AX180" s="4"/>
    </row>
    <row r="181" spans="1:50" ht="15" x14ac:dyDescent="0.2">
      <c r="A181" s="3">
        <v>29581</v>
      </c>
      <c r="B181" s="1" t="s">
        <v>468</v>
      </c>
      <c r="C181" s="3">
        <v>1</v>
      </c>
      <c r="D181" s="3" t="s">
        <v>465</v>
      </c>
      <c r="E181" s="3">
        <v>3</v>
      </c>
      <c r="F181" s="3" t="s">
        <v>472</v>
      </c>
      <c r="G181" s="7" t="s">
        <v>143</v>
      </c>
      <c r="H181" s="3">
        <v>86</v>
      </c>
      <c r="I181" s="3" t="s">
        <v>2601</v>
      </c>
      <c r="J181" s="3">
        <v>18</v>
      </c>
      <c r="K181" s="3" t="s">
        <v>1529</v>
      </c>
      <c r="L181" s="3">
        <v>5</v>
      </c>
      <c r="M181" s="3" t="s">
        <v>500</v>
      </c>
      <c r="N181" s="3" t="s">
        <v>956</v>
      </c>
      <c r="O181" s="10">
        <v>31971</v>
      </c>
      <c r="P181" s="10">
        <v>39174</v>
      </c>
      <c r="Q181" s="10"/>
      <c r="R181" s="10">
        <v>45291</v>
      </c>
      <c r="S181" s="23">
        <v>7195.22</v>
      </c>
      <c r="T181" s="3">
        <v>12295326</v>
      </c>
      <c r="U181" s="3">
        <v>28707130300296</v>
      </c>
      <c r="V181" s="4" t="s">
        <v>1897</v>
      </c>
      <c r="W181" s="4"/>
      <c r="X181" s="4" t="s">
        <v>1583</v>
      </c>
      <c r="Z181" s="3">
        <f ca="1">DATEDIF(Table1[[#This Row],[تاريخ الميلاد]],TODAY(),"y")</f>
        <v>39</v>
      </c>
      <c r="AA18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39 عام 1  شهر  7  يوم </v>
      </c>
      <c r="AB18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19عام4  شهر  18  يوم </v>
      </c>
      <c r="AC181" s="10">
        <f>DATE(YEAR(Table1[[#This Row],[تاريخ الميلاد]])+60,MONTH(Table1[[#This Row],[تاريخ الميلاد]]),DAY(Table1[[#This Row],[تاريخ الميلاد]]))</f>
        <v>53886</v>
      </c>
      <c r="AD181" s="14">
        <f>DATE(YEAR(Table1[[#This Row],[معاش 01/01]])-1,MONTH(Table1[[#This Row],[تاريخ بلوغ 60 ]]),DAY(Table1[[#This Row],[تاريخ بلوغ 60 ]]))</f>
        <v>53886</v>
      </c>
      <c r="AE18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54252</v>
      </c>
      <c r="AF181" s="10" t="str">
        <f>IFERROR(IF(ISODD(MID(Table1[[#This Row],[الرقم القومي]],13,1)),"ذكر","انثي"),"")</f>
        <v>ذكر</v>
      </c>
      <c r="AG181" s="70" t="s">
        <v>2606</v>
      </c>
      <c r="AH181" s="3">
        <f>IF(MONTH(Table1[[#This Row],[تاريخ بلوغ 60 ]])&lt;&gt;1,1,0)</f>
        <v>1</v>
      </c>
      <c r="AI181" s="3">
        <f>IF(DAY(Table1[[#This Row],[تاريخ بلوغ 60 ]])&lt;&gt;1,1,0)</f>
        <v>1</v>
      </c>
      <c r="AJ181" s="4" t="s">
        <v>465</v>
      </c>
      <c r="AK181" s="4" t="s">
        <v>2636</v>
      </c>
      <c r="AL181" s="4" t="s">
        <v>1896</v>
      </c>
      <c r="AM181" s="62" t="s">
        <v>2819</v>
      </c>
      <c r="AN181" s="2">
        <v>1</v>
      </c>
      <c r="AO181" s="4" t="s">
        <v>2641</v>
      </c>
      <c r="AP181" s="74">
        <v>852.46</v>
      </c>
      <c r="AQ181" s="4">
        <v>12.5</v>
      </c>
      <c r="AR181" s="4">
        <v>3</v>
      </c>
      <c r="AS181" s="4" t="s">
        <v>2668</v>
      </c>
      <c r="AT181" s="72">
        <v>6</v>
      </c>
      <c r="AU181" s="2">
        <v>5</v>
      </c>
      <c r="AV181" s="4"/>
      <c r="AW181" s="4"/>
      <c r="AX181" s="4"/>
    </row>
    <row r="182" spans="1:50" ht="15" x14ac:dyDescent="0.2">
      <c r="A182" s="3">
        <v>29587</v>
      </c>
      <c r="B182" s="1" t="s">
        <v>468</v>
      </c>
      <c r="C182" s="3">
        <v>1</v>
      </c>
      <c r="D182" s="3" t="s">
        <v>465</v>
      </c>
      <c r="E182" s="3">
        <v>21</v>
      </c>
      <c r="F182" s="3" t="s">
        <v>474</v>
      </c>
      <c r="G182" s="7" t="s">
        <v>144</v>
      </c>
      <c r="H182" s="3">
        <v>226</v>
      </c>
      <c r="I182" s="3" t="s">
        <v>1557</v>
      </c>
      <c r="J182" s="3">
        <v>18</v>
      </c>
      <c r="K182" s="3" t="s">
        <v>1529</v>
      </c>
      <c r="L182" s="3">
        <v>5</v>
      </c>
      <c r="M182" s="3" t="s">
        <v>500</v>
      </c>
      <c r="N182" s="3" t="s">
        <v>1559</v>
      </c>
      <c r="O182" s="10">
        <v>31778</v>
      </c>
      <c r="P182" s="10">
        <v>39174</v>
      </c>
      <c r="Q182" s="10"/>
      <c r="R182" s="10">
        <v>44926</v>
      </c>
      <c r="S182" s="23">
        <v>6909.86</v>
      </c>
      <c r="T182" s="3">
        <v>60470671</v>
      </c>
      <c r="U182" s="3">
        <v>28701010300511</v>
      </c>
      <c r="V182" s="4" t="s">
        <v>1899</v>
      </c>
      <c r="W182" s="4"/>
      <c r="X182" s="4" t="s">
        <v>1583</v>
      </c>
      <c r="Z182" s="3">
        <f ca="1">DATEDIF(Table1[[#This Row],[تاريخ الميلاد]],TODAY(),"y")</f>
        <v>39</v>
      </c>
      <c r="AA18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39 عام 7  شهر  19  يوم </v>
      </c>
      <c r="AB18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19عام4  شهر  18  يوم </v>
      </c>
      <c r="AC182" s="10">
        <f>DATE(YEAR(Table1[[#This Row],[تاريخ الميلاد]])+60,MONTH(Table1[[#This Row],[تاريخ الميلاد]]),DAY(Table1[[#This Row],[تاريخ الميلاد]]))</f>
        <v>53693</v>
      </c>
      <c r="AD182" s="14">
        <f>DATE(YEAR(Table1[[#This Row],[معاش 01/01]])-1,MONTH(Table1[[#This Row],[تاريخ بلوغ 60 ]]),DAY(Table1[[#This Row],[تاريخ بلوغ 60 ]]))</f>
        <v>53328</v>
      </c>
      <c r="AE18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53693</v>
      </c>
      <c r="AF182" s="10" t="str">
        <f>IFERROR(IF(ISODD(MID(Table1[[#This Row],[الرقم القومي]],13,1)),"ذكر","انثي"),"")</f>
        <v>ذكر</v>
      </c>
      <c r="AG182" s="70" t="s">
        <v>2606</v>
      </c>
      <c r="AH182" s="3">
        <f>IF(MONTH(Table1[[#This Row],[تاريخ بلوغ 60 ]])&lt;&gt;1,1,0)</f>
        <v>0</v>
      </c>
      <c r="AI182" s="3">
        <f>IF(DAY(Table1[[#This Row],[تاريخ بلوغ 60 ]])&lt;&gt;1,1,0)</f>
        <v>0</v>
      </c>
      <c r="AJ182" s="4" t="s">
        <v>465</v>
      </c>
      <c r="AK182" s="4" t="s">
        <v>2636</v>
      </c>
      <c r="AL182" s="4" t="s">
        <v>1898</v>
      </c>
      <c r="AM182" s="62" t="s">
        <v>2820</v>
      </c>
      <c r="AN182" s="2">
        <v>1</v>
      </c>
      <c r="AO182" s="4" t="s">
        <v>2641</v>
      </c>
      <c r="AP182" s="74">
        <v>818.45</v>
      </c>
      <c r="AQ182" s="4">
        <v>12.5</v>
      </c>
      <c r="AR182" s="4">
        <v>1</v>
      </c>
      <c r="AS182" s="4" t="s">
        <v>2635</v>
      </c>
      <c r="AT182" s="72">
        <v>2</v>
      </c>
      <c r="AU182" s="2">
        <v>5</v>
      </c>
      <c r="AV182" s="4"/>
      <c r="AW182" s="4"/>
      <c r="AX182" s="4"/>
    </row>
    <row r="183" spans="1:50" ht="15" x14ac:dyDescent="0.2">
      <c r="A183" s="3">
        <v>29652</v>
      </c>
      <c r="B183" s="1" t="s">
        <v>468</v>
      </c>
      <c r="C183" s="3">
        <v>1</v>
      </c>
      <c r="D183" s="3" t="s">
        <v>465</v>
      </c>
      <c r="E183" s="3">
        <v>3</v>
      </c>
      <c r="F183" s="3" t="s">
        <v>472</v>
      </c>
      <c r="G183" s="7" t="s">
        <v>145</v>
      </c>
      <c r="H183" s="3">
        <v>69</v>
      </c>
      <c r="I183" s="3" t="s">
        <v>835</v>
      </c>
      <c r="J183" s="3">
        <v>18</v>
      </c>
      <c r="K183" s="3" t="s">
        <v>1529</v>
      </c>
      <c r="L183" s="3">
        <v>5</v>
      </c>
      <c r="M183" s="3" t="s">
        <v>500</v>
      </c>
      <c r="N183" s="3" t="s">
        <v>839</v>
      </c>
      <c r="O183" s="10">
        <v>31792</v>
      </c>
      <c r="P183" s="10">
        <v>39174</v>
      </c>
      <c r="Q183" s="10"/>
      <c r="R183" s="10">
        <v>44926</v>
      </c>
      <c r="S183" s="23">
        <v>6996.98</v>
      </c>
      <c r="T183" s="3">
        <v>15508513</v>
      </c>
      <c r="U183" s="3">
        <v>28701150300031</v>
      </c>
      <c r="V183" s="4" t="s">
        <v>1901</v>
      </c>
      <c r="W183" s="4"/>
      <c r="X183" s="4" t="s">
        <v>1583</v>
      </c>
      <c r="Z183" s="3">
        <f ca="1">DATEDIF(Table1[[#This Row],[تاريخ الميلاد]],TODAY(),"y")</f>
        <v>39</v>
      </c>
      <c r="AA18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39 عام 7  شهر  5  يوم </v>
      </c>
      <c r="AB18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19عام4  شهر  18  يوم </v>
      </c>
      <c r="AC183" s="10">
        <f>DATE(YEAR(Table1[[#This Row],[تاريخ الميلاد]])+60,MONTH(Table1[[#This Row],[تاريخ الميلاد]]),DAY(Table1[[#This Row],[تاريخ الميلاد]]))</f>
        <v>53707</v>
      </c>
      <c r="AD183" s="14">
        <f>DATE(YEAR(Table1[[#This Row],[معاش 01/01]])-1,MONTH(Table1[[#This Row],[تاريخ بلوغ 60 ]]),DAY(Table1[[#This Row],[تاريخ بلوغ 60 ]]))</f>
        <v>53707</v>
      </c>
      <c r="AE18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54072</v>
      </c>
      <c r="AF183" s="10" t="str">
        <f>IFERROR(IF(ISODD(MID(Table1[[#This Row],[الرقم القومي]],13,1)),"ذكر","انثي"),"")</f>
        <v>ذكر</v>
      </c>
      <c r="AG183" s="70" t="s">
        <v>2606</v>
      </c>
      <c r="AH183" s="3">
        <f>IF(MONTH(Table1[[#This Row],[تاريخ بلوغ 60 ]])&lt;&gt;1,1,0)</f>
        <v>0</v>
      </c>
      <c r="AI183" s="3">
        <f>IF(DAY(Table1[[#This Row],[تاريخ بلوغ 60 ]])&lt;&gt;1,1,0)</f>
        <v>1</v>
      </c>
      <c r="AJ183" s="4" t="s">
        <v>465</v>
      </c>
      <c r="AK183" s="4" t="s">
        <v>2636</v>
      </c>
      <c r="AL183" s="4" t="s">
        <v>1900</v>
      </c>
      <c r="AM183" s="62" t="s">
        <v>2821</v>
      </c>
      <c r="AN183" s="2">
        <v>4</v>
      </c>
      <c r="AO183" s="4" t="s">
        <v>2641</v>
      </c>
      <c r="AP183" s="74">
        <v>1658.68</v>
      </c>
      <c r="AQ183" s="4">
        <v>25</v>
      </c>
      <c r="AR183" s="4">
        <v>2</v>
      </c>
      <c r="AS183" s="4" t="s">
        <v>2696</v>
      </c>
      <c r="AT183" s="72">
        <v>4</v>
      </c>
      <c r="AU183" s="2">
        <v>5</v>
      </c>
      <c r="AV183" s="4"/>
      <c r="AW183" s="4"/>
      <c r="AX183" s="4"/>
    </row>
    <row r="184" spans="1:50" ht="15" x14ac:dyDescent="0.2">
      <c r="A184" s="3">
        <v>29670</v>
      </c>
      <c r="B184" s="1" t="s">
        <v>468</v>
      </c>
      <c r="C184" s="3">
        <v>1</v>
      </c>
      <c r="D184" s="3" t="s">
        <v>465</v>
      </c>
      <c r="E184" s="3">
        <v>3</v>
      </c>
      <c r="F184" s="3" t="s">
        <v>472</v>
      </c>
      <c r="G184" s="7" t="s">
        <v>146</v>
      </c>
      <c r="H184" s="3">
        <v>104</v>
      </c>
      <c r="I184" s="3" t="s">
        <v>1083</v>
      </c>
      <c r="J184" s="3">
        <v>18</v>
      </c>
      <c r="K184" s="3" t="s">
        <v>1529</v>
      </c>
      <c r="L184" s="3">
        <v>5</v>
      </c>
      <c r="M184" s="3" t="s">
        <v>500</v>
      </c>
      <c r="N184" s="3" t="s">
        <v>1087</v>
      </c>
      <c r="O184" s="10">
        <v>29455</v>
      </c>
      <c r="P184" s="10">
        <v>39814</v>
      </c>
      <c r="Q184" s="10"/>
      <c r="R184" s="10">
        <v>45291</v>
      </c>
      <c r="S184" s="23">
        <v>6094.13</v>
      </c>
      <c r="T184" s="3">
        <v>50886387</v>
      </c>
      <c r="U184" s="3">
        <v>28008220300044</v>
      </c>
      <c r="V184" s="4" t="s">
        <v>1903</v>
      </c>
      <c r="W184" s="4">
        <v>8604</v>
      </c>
      <c r="X184" s="4" t="s">
        <v>1583</v>
      </c>
      <c r="Y184" s="4">
        <v>1999</v>
      </c>
      <c r="Z184" s="3">
        <f ca="1">DATEDIF(Table1[[#This Row],[تاريخ الميلاد]],TODAY(),"y")</f>
        <v>45</v>
      </c>
      <c r="AA18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45 عام 11  شهر  29  يوم </v>
      </c>
      <c r="AB18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17عام7  شهر  19  يوم </v>
      </c>
      <c r="AC184" s="10">
        <f>DATE(YEAR(Table1[[#This Row],[تاريخ الميلاد]])+60,MONTH(Table1[[#This Row],[تاريخ الميلاد]]),DAY(Table1[[#This Row],[تاريخ الميلاد]]))</f>
        <v>51370</v>
      </c>
      <c r="AD184" s="14">
        <f>DATE(YEAR(Table1[[#This Row],[معاش 01/01]])-1,MONTH(Table1[[#This Row],[تاريخ بلوغ 60 ]]),DAY(Table1[[#This Row],[تاريخ بلوغ 60 ]]))</f>
        <v>51370</v>
      </c>
      <c r="AE18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51735</v>
      </c>
      <c r="AF184" s="10" t="str">
        <f>IFERROR(IF(ISODD(MID(Table1[[#This Row],[الرقم القومي]],13,1)),"ذكر","انثي"),"")</f>
        <v>انثي</v>
      </c>
      <c r="AG184" s="70" t="s">
        <v>2606</v>
      </c>
      <c r="AH184" s="3">
        <f>IF(MONTH(Table1[[#This Row],[تاريخ بلوغ 60 ]])&lt;&gt;1,1,0)</f>
        <v>1</v>
      </c>
      <c r="AI184" s="3">
        <f>IF(DAY(Table1[[#This Row],[تاريخ بلوغ 60 ]])&lt;&gt;1,1,0)</f>
        <v>1</v>
      </c>
      <c r="AJ184" s="4" t="s">
        <v>465</v>
      </c>
      <c r="AK184" s="4" t="s">
        <v>2636</v>
      </c>
      <c r="AL184" s="62" t="s">
        <v>1902</v>
      </c>
      <c r="AM184" s="62" t="s">
        <v>2822</v>
      </c>
      <c r="AN184" s="2">
        <v>3</v>
      </c>
      <c r="AO184" s="4" t="s">
        <v>2641</v>
      </c>
      <c r="AP184" s="74">
        <v>1083.19</v>
      </c>
      <c r="AQ184" s="4">
        <v>18.75</v>
      </c>
      <c r="AR184" s="4">
        <v>1</v>
      </c>
      <c r="AS184" s="4" t="s">
        <v>2635</v>
      </c>
      <c r="AT184" s="72">
        <v>2</v>
      </c>
      <c r="AU184" s="2">
        <v>5</v>
      </c>
      <c r="AV184" s="4"/>
      <c r="AW184" s="4"/>
      <c r="AX184" s="4"/>
    </row>
    <row r="185" spans="1:50" ht="15" x14ac:dyDescent="0.2">
      <c r="A185" s="3">
        <v>29671</v>
      </c>
      <c r="B185" s="1" t="s">
        <v>468</v>
      </c>
      <c r="C185" s="3">
        <v>1</v>
      </c>
      <c r="D185" s="3" t="s">
        <v>465</v>
      </c>
      <c r="E185" s="3">
        <v>3</v>
      </c>
      <c r="F185" s="3" t="s">
        <v>472</v>
      </c>
      <c r="G185" s="7" t="s">
        <v>147</v>
      </c>
      <c r="H185" s="3">
        <v>104</v>
      </c>
      <c r="I185" s="3" t="s">
        <v>1083</v>
      </c>
      <c r="J185" s="3">
        <v>18</v>
      </c>
      <c r="K185" s="3" t="s">
        <v>1529</v>
      </c>
      <c r="L185" s="3">
        <v>5</v>
      </c>
      <c r="M185" s="3" t="s">
        <v>500</v>
      </c>
      <c r="N185" s="3" t="s">
        <v>1087</v>
      </c>
      <c r="O185" s="10">
        <v>29872</v>
      </c>
      <c r="P185" s="10">
        <v>39814</v>
      </c>
      <c r="Q185" s="10"/>
      <c r="R185" s="10">
        <v>45291</v>
      </c>
      <c r="S185" s="23">
        <v>6094.13</v>
      </c>
      <c r="T185" s="3">
        <v>12822538</v>
      </c>
      <c r="U185" s="3">
        <v>28110130300427</v>
      </c>
      <c r="V185" s="4" t="s">
        <v>1905</v>
      </c>
      <c r="W185" s="4">
        <v>8605</v>
      </c>
      <c r="X185" s="4" t="s">
        <v>1583</v>
      </c>
      <c r="Y185" s="4">
        <v>1998</v>
      </c>
      <c r="Z185" s="3">
        <f ca="1">DATEDIF(Table1[[#This Row],[تاريخ الميلاد]],TODAY(),"y")</f>
        <v>44</v>
      </c>
      <c r="AA18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44 عام 10  شهر  7  يوم </v>
      </c>
      <c r="AB18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17عام7  شهر  19  يوم </v>
      </c>
      <c r="AC185" s="10">
        <f>DATE(YEAR(Table1[[#This Row],[تاريخ الميلاد]])+60,MONTH(Table1[[#This Row],[تاريخ الميلاد]]),DAY(Table1[[#This Row],[تاريخ الميلاد]]))</f>
        <v>51787</v>
      </c>
      <c r="AD185" s="14">
        <f>DATE(YEAR(Table1[[#This Row],[معاش 01/01]])-1,MONTH(Table1[[#This Row],[تاريخ بلوغ 60 ]]),DAY(Table1[[#This Row],[تاريخ بلوغ 60 ]]))</f>
        <v>51787</v>
      </c>
      <c r="AE18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52152</v>
      </c>
      <c r="AF185" s="10" t="str">
        <f>IFERROR(IF(ISODD(MID(Table1[[#This Row],[الرقم القومي]],13,1)),"ذكر","انثي"),"")</f>
        <v>انثي</v>
      </c>
      <c r="AG185" s="70" t="s">
        <v>2606</v>
      </c>
      <c r="AH185" s="3">
        <f>IF(MONTH(Table1[[#This Row],[تاريخ بلوغ 60 ]])&lt;&gt;1,1,0)</f>
        <v>1</v>
      </c>
      <c r="AI185" s="3">
        <f>IF(DAY(Table1[[#This Row],[تاريخ بلوغ 60 ]])&lt;&gt;1,1,0)</f>
        <v>1</v>
      </c>
      <c r="AJ185" s="4" t="s">
        <v>465</v>
      </c>
      <c r="AK185" s="4" t="s">
        <v>2636</v>
      </c>
      <c r="AL185" s="4" t="s">
        <v>1904</v>
      </c>
      <c r="AM185" s="62" t="s">
        <v>2822</v>
      </c>
      <c r="AN185" s="2">
        <v>3</v>
      </c>
      <c r="AO185" s="4" t="s">
        <v>2641</v>
      </c>
      <c r="AP185" s="74">
        <v>1083.19</v>
      </c>
      <c r="AQ185" s="4">
        <v>18.75</v>
      </c>
      <c r="AR185" s="4">
        <v>1</v>
      </c>
      <c r="AS185" s="4" t="s">
        <v>2635</v>
      </c>
      <c r="AT185" s="72">
        <v>2</v>
      </c>
      <c r="AU185" s="2">
        <v>5</v>
      </c>
      <c r="AV185" s="4"/>
      <c r="AW185" s="4"/>
      <c r="AX185" s="4"/>
    </row>
    <row r="186" spans="1:50" ht="15" x14ac:dyDescent="0.2">
      <c r="A186" s="3">
        <v>29674</v>
      </c>
      <c r="B186" s="1" t="s">
        <v>468</v>
      </c>
      <c r="C186" s="3">
        <v>1</v>
      </c>
      <c r="D186" s="3" t="s">
        <v>465</v>
      </c>
      <c r="E186" s="3">
        <v>3</v>
      </c>
      <c r="F186" s="3" t="s">
        <v>472</v>
      </c>
      <c r="G186" s="7" t="s">
        <v>148</v>
      </c>
      <c r="H186" s="3">
        <v>104</v>
      </c>
      <c r="I186" s="3" t="s">
        <v>1083</v>
      </c>
      <c r="J186" s="3">
        <v>18</v>
      </c>
      <c r="K186" s="3" t="s">
        <v>1529</v>
      </c>
      <c r="L186" s="3">
        <v>5</v>
      </c>
      <c r="M186" s="3" t="s">
        <v>500</v>
      </c>
      <c r="N186" s="3" t="s">
        <v>1087</v>
      </c>
      <c r="O186" s="10">
        <v>29582</v>
      </c>
      <c r="P186" s="10">
        <v>39814</v>
      </c>
      <c r="Q186" s="10"/>
      <c r="R186" s="10">
        <v>45291</v>
      </c>
      <c r="S186" s="23">
        <v>6065.59</v>
      </c>
      <c r="T186" s="3">
        <v>23130252</v>
      </c>
      <c r="U186" s="3">
        <v>28012270300328</v>
      </c>
      <c r="V186" s="4" t="s">
        <v>1907</v>
      </c>
      <c r="W186" s="4">
        <v>8608</v>
      </c>
      <c r="X186" s="4" t="s">
        <v>1583</v>
      </c>
      <c r="Y186" s="4">
        <v>1999</v>
      </c>
      <c r="Z186" s="3">
        <f ca="1">DATEDIF(Table1[[#This Row],[تاريخ الميلاد]],TODAY(),"y")</f>
        <v>45</v>
      </c>
      <c r="AA18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45 عام 7  شهر  24  يوم </v>
      </c>
      <c r="AB18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17عام7  شهر  19  يوم </v>
      </c>
      <c r="AC186" s="10">
        <f>DATE(YEAR(Table1[[#This Row],[تاريخ الميلاد]])+60,MONTH(Table1[[#This Row],[تاريخ الميلاد]]),DAY(Table1[[#This Row],[تاريخ الميلاد]]))</f>
        <v>51497</v>
      </c>
      <c r="AD186" s="14">
        <f>DATE(YEAR(Table1[[#This Row],[معاش 01/01]])-1,MONTH(Table1[[#This Row],[تاريخ بلوغ 60 ]]),DAY(Table1[[#This Row],[تاريخ بلوغ 60 ]]))</f>
        <v>51497</v>
      </c>
      <c r="AE18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51862</v>
      </c>
      <c r="AF186" s="10" t="str">
        <f>IFERROR(IF(ISODD(MID(Table1[[#This Row],[الرقم القومي]],13,1)),"ذكر","انثي"),"")</f>
        <v>انثي</v>
      </c>
      <c r="AG186" s="70" t="s">
        <v>2606</v>
      </c>
      <c r="AH186" s="3">
        <f>IF(MONTH(Table1[[#This Row],[تاريخ بلوغ 60 ]])&lt;&gt;1,1,0)</f>
        <v>1</v>
      </c>
      <c r="AI186" s="3">
        <f>IF(DAY(Table1[[#This Row],[تاريخ بلوغ 60 ]])&lt;&gt;1,1,0)</f>
        <v>1</v>
      </c>
      <c r="AJ186" s="4" t="s">
        <v>465</v>
      </c>
      <c r="AK186" s="4" t="s">
        <v>2730</v>
      </c>
      <c r="AL186" s="4" t="s">
        <v>1906</v>
      </c>
      <c r="AM186" s="62" t="s">
        <v>2823</v>
      </c>
      <c r="AN186" s="2">
        <v>3</v>
      </c>
      <c r="AO186" s="4" t="s">
        <v>2641</v>
      </c>
      <c r="AP186" s="74">
        <v>1078.06</v>
      </c>
      <c r="AQ186" s="4">
        <v>18.75</v>
      </c>
      <c r="AR186" s="4">
        <v>1</v>
      </c>
      <c r="AS186" s="4" t="s">
        <v>2635</v>
      </c>
      <c r="AT186" s="72">
        <v>2</v>
      </c>
      <c r="AU186" s="2">
        <v>5</v>
      </c>
      <c r="AV186" s="4"/>
      <c r="AW186" s="4"/>
      <c r="AX186" s="4"/>
    </row>
    <row r="187" spans="1:50" ht="15" x14ac:dyDescent="0.2">
      <c r="A187" s="3">
        <v>29702</v>
      </c>
      <c r="B187" s="1" t="s">
        <v>468</v>
      </c>
      <c r="C187" s="3">
        <v>1</v>
      </c>
      <c r="D187" s="3" t="s">
        <v>465</v>
      </c>
      <c r="E187" s="3">
        <v>21</v>
      </c>
      <c r="F187" s="3" t="s">
        <v>474</v>
      </c>
      <c r="G187" s="7" t="s">
        <v>149</v>
      </c>
      <c r="H187" s="3">
        <v>99</v>
      </c>
      <c r="I187" s="3" t="s">
        <v>1047</v>
      </c>
      <c r="J187" s="3">
        <v>18</v>
      </c>
      <c r="K187" s="3" t="s">
        <v>1529</v>
      </c>
      <c r="L187" s="3">
        <v>5</v>
      </c>
      <c r="M187" s="3" t="s">
        <v>500</v>
      </c>
      <c r="N187" s="3" t="s">
        <v>1051</v>
      </c>
      <c r="O187" s="10">
        <v>26228</v>
      </c>
      <c r="P187" s="10">
        <v>39385</v>
      </c>
      <c r="Q187" s="10"/>
      <c r="R187" s="10">
        <v>46022</v>
      </c>
      <c r="S187" s="23">
        <v>6836.08</v>
      </c>
      <c r="T187" s="3">
        <v>47740429</v>
      </c>
      <c r="U187" s="3">
        <v>27110221601876</v>
      </c>
      <c r="V187" s="4" t="s">
        <v>1909</v>
      </c>
      <c r="W187" s="4"/>
      <c r="X187" s="4" t="s">
        <v>1583</v>
      </c>
      <c r="Z187" s="3">
        <f ca="1">DATEDIF(Table1[[#This Row],[تاريخ الميلاد]],TODAY(),"y")</f>
        <v>54</v>
      </c>
      <c r="AA18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54 عام 9  شهر  29  يوم </v>
      </c>
      <c r="AB18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18عام9  شهر  21  يوم </v>
      </c>
      <c r="AC187" s="10">
        <f>DATE(YEAR(Table1[[#This Row],[تاريخ الميلاد]])+60,MONTH(Table1[[#This Row],[تاريخ الميلاد]]),DAY(Table1[[#This Row],[تاريخ الميلاد]]))</f>
        <v>48143</v>
      </c>
      <c r="AD187" s="14">
        <f>DATE(YEAR(Table1[[#This Row],[معاش 01/01]])-1,MONTH(Table1[[#This Row],[تاريخ بلوغ 60 ]]),DAY(Table1[[#This Row],[تاريخ بلوغ 60 ]]))</f>
        <v>48143</v>
      </c>
      <c r="AE18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48509</v>
      </c>
      <c r="AF187" s="10" t="str">
        <f>IFERROR(IF(ISODD(MID(Table1[[#This Row],[الرقم القومي]],13,1)),"ذكر","انثي"),"")</f>
        <v>ذكر</v>
      </c>
      <c r="AG187" s="70" t="s">
        <v>2613</v>
      </c>
      <c r="AH187" s="3">
        <f>IF(MONTH(Table1[[#This Row],[تاريخ بلوغ 60 ]])&lt;&gt;1,1,0)</f>
        <v>1</v>
      </c>
      <c r="AI187" s="3">
        <f>IF(DAY(Table1[[#This Row],[تاريخ بلوغ 60 ]])&lt;&gt;1,1,0)</f>
        <v>1</v>
      </c>
      <c r="AJ187" s="4" t="s">
        <v>465</v>
      </c>
      <c r="AK187" s="4" t="s">
        <v>2730</v>
      </c>
      <c r="AL187" s="4" t="s">
        <v>1908</v>
      </c>
      <c r="AM187" s="62" t="s">
        <v>2824</v>
      </c>
      <c r="AN187" s="2">
        <v>4</v>
      </c>
      <c r="AO187" s="4" t="s">
        <v>2641</v>
      </c>
      <c r="AP187" s="74">
        <v>1624.13</v>
      </c>
      <c r="AQ187" s="4">
        <v>25</v>
      </c>
      <c r="AR187" s="4">
        <v>3</v>
      </c>
      <c r="AS187" s="4" t="s">
        <v>2668</v>
      </c>
      <c r="AT187" s="72">
        <v>6</v>
      </c>
      <c r="AU187" s="2">
        <v>5</v>
      </c>
      <c r="AV187" s="4"/>
      <c r="AW187" s="4"/>
      <c r="AX187" s="4"/>
    </row>
    <row r="188" spans="1:50" ht="15" x14ac:dyDescent="0.2">
      <c r="A188" s="3">
        <v>29721</v>
      </c>
      <c r="B188" s="1" t="s">
        <v>468</v>
      </c>
      <c r="C188" s="3">
        <v>1</v>
      </c>
      <c r="D188" s="3" t="s">
        <v>465</v>
      </c>
      <c r="E188" s="3">
        <v>21</v>
      </c>
      <c r="F188" s="3" t="s">
        <v>474</v>
      </c>
      <c r="G188" s="7" t="s">
        <v>150</v>
      </c>
      <c r="H188" s="3">
        <v>99</v>
      </c>
      <c r="I188" s="3" t="s">
        <v>1047</v>
      </c>
      <c r="J188" s="3">
        <v>18</v>
      </c>
      <c r="K188" s="3" t="s">
        <v>1529</v>
      </c>
      <c r="L188" s="3">
        <v>5</v>
      </c>
      <c r="M188" s="3" t="s">
        <v>500</v>
      </c>
      <c r="N188" s="3" t="s">
        <v>1051</v>
      </c>
      <c r="O188" s="10">
        <v>26528</v>
      </c>
      <c r="P188" s="10">
        <v>40387</v>
      </c>
      <c r="Q188" s="10"/>
      <c r="R188" s="10">
        <v>46022</v>
      </c>
      <c r="S188" s="23">
        <v>7167.39</v>
      </c>
      <c r="T188" s="3">
        <v>47657397</v>
      </c>
      <c r="U188" s="3">
        <v>27208171100315</v>
      </c>
      <c r="V188" s="4" t="s">
        <v>1911</v>
      </c>
      <c r="W188" s="4"/>
      <c r="X188" s="4" t="s">
        <v>1583</v>
      </c>
      <c r="Z188" s="3">
        <f ca="1">DATEDIF(Table1[[#This Row],[تاريخ الميلاد]],TODAY(),"y")</f>
        <v>54</v>
      </c>
      <c r="AA18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54 عام 0  شهر  3  يوم </v>
      </c>
      <c r="AB18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16عام0  شهر  23  يوم </v>
      </c>
      <c r="AC188" s="10">
        <f>DATE(YEAR(Table1[[#This Row],[تاريخ الميلاد]])+60,MONTH(Table1[[#This Row],[تاريخ الميلاد]]),DAY(Table1[[#This Row],[تاريخ الميلاد]]))</f>
        <v>48443</v>
      </c>
      <c r="AD188" s="14">
        <f>DATE(YEAR(Table1[[#This Row],[معاش 01/01]])-1,MONTH(Table1[[#This Row],[تاريخ بلوغ 60 ]]),DAY(Table1[[#This Row],[تاريخ بلوغ 60 ]]))</f>
        <v>48443</v>
      </c>
      <c r="AE18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48808</v>
      </c>
      <c r="AF188" s="10" t="str">
        <f>IFERROR(IF(ISODD(MID(Table1[[#This Row],[الرقم القومي]],13,1)),"ذكر","انثي"),"")</f>
        <v>ذكر</v>
      </c>
      <c r="AG188" s="70" t="s">
        <v>2609</v>
      </c>
      <c r="AH188" s="3">
        <f>IF(MONTH(Table1[[#This Row],[تاريخ بلوغ 60 ]])&lt;&gt;1,1,0)</f>
        <v>1</v>
      </c>
      <c r="AI188" s="3">
        <f>IF(DAY(Table1[[#This Row],[تاريخ بلوغ 60 ]])&lt;&gt;1,1,0)</f>
        <v>1</v>
      </c>
      <c r="AJ188" s="4" t="s">
        <v>465</v>
      </c>
      <c r="AK188" s="4" t="s">
        <v>2689</v>
      </c>
      <c r="AL188" s="4" t="s">
        <v>1910</v>
      </c>
      <c r="AM188" s="62" t="s">
        <v>2825</v>
      </c>
      <c r="AN188" s="2">
        <v>4</v>
      </c>
      <c r="AO188" s="4" t="s">
        <v>2641</v>
      </c>
      <c r="AP188" s="74">
        <v>1702.67</v>
      </c>
      <c r="AQ188" s="4">
        <v>25</v>
      </c>
      <c r="AR188" s="4">
        <v>2</v>
      </c>
      <c r="AS188" s="4" t="s">
        <v>2696</v>
      </c>
      <c r="AT188" s="72">
        <v>4</v>
      </c>
      <c r="AU188" s="2">
        <v>5</v>
      </c>
      <c r="AV188" s="4"/>
      <c r="AW188" s="4"/>
      <c r="AX188" s="4"/>
    </row>
    <row r="189" spans="1:50" ht="15" x14ac:dyDescent="0.2">
      <c r="A189" s="3">
        <v>29734</v>
      </c>
      <c r="B189" s="1" t="s">
        <v>468</v>
      </c>
      <c r="C189" s="3">
        <v>1</v>
      </c>
      <c r="D189" s="3" t="s">
        <v>465</v>
      </c>
      <c r="E189" s="3">
        <v>21</v>
      </c>
      <c r="F189" s="3" t="s">
        <v>474</v>
      </c>
      <c r="G189" s="7" t="s">
        <v>151</v>
      </c>
      <c r="H189" s="3">
        <v>99</v>
      </c>
      <c r="I189" s="3" t="s">
        <v>1047</v>
      </c>
      <c r="J189" s="3">
        <v>18</v>
      </c>
      <c r="K189" s="3" t="s">
        <v>1529</v>
      </c>
      <c r="L189" s="3">
        <v>5</v>
      </c>
      <c r="M189" s="3" t="s">
        <v>500</v>
      </c>
      <c r="N189" s="3" t="s">
        <v>1051</v>
      </c>
      <c r="O189" s="10">
        <v>26225</v>
      </c>
      <c r="P189" s="10">
        <v>39761</v>
      </c>
      <c r="Q189" s="10"/>
      <c r="R189" s="10">
        <v>46022</v>
      </c>
      <c r="S189" s="23">
        <v>6250.42</v>
      </c>
      <c r="T189" s="3">
        <v>6286428</v>
      </c>
      <c r="U189" s="3">
        <v>27110190300031</v>
      </c>
      <c r="V189" s="4" t="s">
        <v>1913</v>
      </c>
      <c r="W189" s="4"/>
      <c r="X189" s="4" t="s">
        <v>1583</v>
      </c>
      <c r="Z189" s="3">
        <f ca="1">DATEDIF(Table1[[#This Row],[تاريخ الميلاد]],TODAY(),"y")</f>
        <v>54</v>
      </c>
      <c r="AA18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54 عام 10  شهر  1  يوم </v>
      </c>
      <c r="AB18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17عام9  شهر  11  يوم </v>
      </c>
      <c r="AC189" s="10">
        <f>DATE(YEAR(Table1[[#This Row],[تاريخ الميلاد]])+60,MONTH(Table1[[#This Row],[تاريخ الميلاد]]),DAY(Table1[[#This Row],[تاريخ الميلاد]]))</f>
        <v>48140</v>
      </c>
      <c r="AD189" s="14">
        <f>DATE(YEAR(Table1[[#This Row],[معاش 01/01]])-1,MONTH(Table1[[#This Row],[تاريخ بلوغ 60 ]]),DAY(Table1[[#This Row],[تاريخ بلوغ 60 ]]))</f>
        <v>48140</v>
      </c>
      <c r="AE18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48506</v>
      </c>
      <c r="AF189" s="10" t="str">
        <f>IFERROR(IF(ISODD(MID(Table1[[#This Row],[الرقم القومي]],13,1)),"ذكر","انثي"),"")</f>
        <v>ذكر</v>
      </c>
      <c r="AG189" s="70" t="s">
        <v>2606</v>
      </c>
      <c r="AH189" s="3">
        <f>IF(MONTH(Table1[[#This Row],[تاريخ بلوغ 60 ]])&lt;&gt;1,1,0)</f>
        <v>1</v>
      </c>
      <c r="AI189" s="3">
        <f>IF(DAY(Table1[[#This Row],[تاريخ بلوغ 60 ]])&lt;&gt;1,1,0)</f>
        <v>1</v>
      </c>
      <c r="AJ189" s="4" t="s">
        <v>465</v>
      </c>
      <c r="AK189" s="4" t="s">
        <v>2666</v>
      </c>
      <c r="AL189" s="4" t="s">
        <v>1912</v>
      </c>
      <c r="AM189" s="62" t="s">
        <v>2826</v>
      </c>
      <c r="AN189" s="2">
        <v>4</v>
      </c>
      <c r="AO189" s="4" t="s">
        <v>2641</v>
      </c>
      <c r="AP189" s="74">
        <v>1485.29</v>
      </c>
      <c r="AQ189" s="4">
        <v>25</v>
      </c>
      <c r="AR189" s="4">
        <v>3</v>
      </c>
      <c r="AS189" s="4" t="s">
        <v>2668</v>
      </c>
      <c r="AT189" s="72">
        <v>6</v>
      </c>
      <c r="AU189" s="2">
        <v>5</v>
      </c>
      <c r="AV189" s="4"/>
      <c r="AW189" s="4"/>
      <c r="AX189" s="4"/>
    </row>
    <row r="190" spans="1:50" ht="15" x14ac:dyDescent="0.2">
      <c r="A190" s="3">
        <v>29749</v>
      </c>
      <c r="B190" s="1" t="s">
        <v>468</v>
      </c>
      <c r="C190" s="3">
        <v>1</v>
      </c>
      <c r="D190" s="3" t="s">
        <v>465</v>
      </c>
      <c r="E190" s="3">
        <v>21</v>
      </c>
      <c r="F190" s="3" t="s">
        <v>474</v>
      </c>
      <c r="G190" s="7" t="s">
        <v>152</v>
      </c>
      <c r="H190" s="3">
        <v>158</v>
      </c>
      <c r="I190" s="3" t="s">
        <v>1330</v>
      </c>
      <c r="J190" s="3">
        <v>20</v>
      </c>
      <c r="K190" s="3" t="s">
        <v>1531</v>
      </c>
      <c r="L190" s="3">
        <v>7</v>
      </c>
      <c r="M190" s="3" t="s">
        <v>504</v>
      </c>
      <c r="N190" s="3" t="s">
        <v>1334</v>
      </c>
      <c r="O190" s="10">
        <v>27206</v>
      </c>
      <c r="P190" s="10">
        <v>39757</v>
      </c>
      <c r="Q190" s="10"/>
      <c r="R190" s="10">
        <v>44926</v>
      </c>
      <c r="S190" s="23">
        <v>5154.3500000000004</v>
      </c>
      <c r="T190" s="3">
        <v>9664957</v>
      </c>
      <c r="U190" s="3">
        <v>27406260300057</v>
      </c>
      <c r="V190" s="4" t="s">
        <v>1915</v>
      </c>
      <c r="W190" s="4"/>
      <c r="X190" s="4" t="s">
        <v>1583</v>
      </c>
      <c r="Z190" s="3">
        <f ca="1">DATEDIF(Table1[[#This Row],[تاريخ الميلاد]],TODAY(),"y")</f>
        <v>52</v>
      </c>
      <c r="AA19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52 عام 1  شهر  25  يوم </v>
      </c>
      <c r="AB19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17عام9  شهر  15  يوم </v>
      </c>
      <c r="AC190" s="10">
        <f>DATE(YEAR(Table1[[#This Row],[تاريخ الميلاد]])+60,MONTH(Table1[[#This Row],[تاريخ الميلاد]]),DAY(Table1[[#This Row],[تاريخ الميلاد]]))</f>
        <v>49121</v>
      </c>
      <c r="AD190" s="14">
        <f>DATE(YEAR(Table1[[#This Row],[معاش 01/01]])-1,MONTH(Table1[[#This Row],[تاريخ بلوغ 60 ]]),DAY(Table1[[#This Row],[تاريخ بلوغ 60 ]]))</f>
        <v>49121</v>
      </c>
      <c r="AE19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49486</v>
      </c>
      <c r="AF190" s="10" t="str">
        <f>IFERROR(IF(ISODD(MID(Table1[[#This Row],[الرقم القومي]],13,1)),"ذكر","انثي"),"")</f>
        <v>ذكر</v>
      </c>
      <c r="AG190" s="70" t="s">
        <v>2606</v>
      </c>
      <c r="AH190" s="3">
        <f>IF(MONTH(Table1[[#This Row],[تاريخ بلوغ 60 ]])&lt;&gt;1,1,0)</f>
        <v>1</v>
      </c>
      <c r="AI190" s="3">
        <f>IF(DAY(Table1[[#This Row],[تاريخ بلوغ 60 ]])&lt;&gt;1,1,0)</f>
        <v>1</v>
      </c>
      <c r="AJ190" s="4" t="s">
        <v>465</v>
      </c>
      <c r="AK190" s="4" t="s">
        <v>2689</v>
      </c>
      <c r="AL190" s="4" t="s">
        <v>1914</v>
      </c>
      <c r="AM190" s="62" t="s">
        <v>2827</v>
      </c>
      <c r="AN190" s="2">
        <v>4</v>
      </c>
      <c r="AO190" s="4" t="s">
        <v>2641</v>
      </c>
      <c r="AP190" s="74">
        <v>1220.5</v>
      </c>
      <c r="AQ190" s="4">
        <v>25</v>
      </c>
      <c r="AR190" s="4">
        <v>3</v>
      </c>
      <c r="AS190" s="4" t="s">
        <v>2668</v>
      </c>
      <c r="AT190" s="72">
        <v>6</v>
      </c>
      <c r="AU190" s="2">
        <v>7</v>
      </c>
      <c r="AV190" s="4"/>
      <c r="AW190" s="4"/>
      <c r="AX190" s="4"/>
    </row>
    <row r="191" spans="1:50" ht="15" x14ac:dyDescent="0.2">
      <c r="A191" s="3">
        <v>29752</v>
      </c>
      <c r="B191" s="1" t="s">
        <v>468</v>
      </c>
      <c r="C191" s="3">
        <v>1</v>
      </c>
      <c r="D191" s="3" t="s">
        <v>465</v>
      </c>
      <c r="E191" s="3">
        <v>21</v>
      </c>
      <c r="F191" s="3" t="s">
        <v>474</v>
      </c>
      <c r="G191" s="7" t="s">
        <v>153</v>
      </c>
      <c r="H191" s="3">
        <v>158</v>
      </c>
      <c r="I191" s="3" t="s">
        <v>1330</v>
      </c>
      <c r="J191" s="3">
        <v>20</v>
      </c>
      <c r="K191" s="3" t="s">
        <v>1531</v>
      </c>
      <c r="L191" s="3">
        <v>7</v>
      </c>
      <c r="M191" s="3" t="s">
        <v>504</v>
      </c>
      <c r="N191" s="3" t="s">
        <v>1334</v>
      </c>
      <c r="O191" s="10">
        <v>27199</v>
      </c>
      <c r="P191" s="10">
        <v>39509</v>
      </c>
      <c r="Q191" s="10"/>
      <c r="R191" s="10">
        <v>44926</v>
      </c>
      <c r="S191" s="23">
        <v>5579.46</v>
      </c>
      <c r="T191" s="3">
        <v>9036991</v>
      </c>
      <c r="U191" s="3">
        <v>27406191201637</v>
      </c>
      <c r="V191" s="4" t="s">
        <v>1917</v>
      </c>
      <c r="W191" s="4"/>
      <c r="X191" s="4" t="s">
        <v>1583</v>
      </c>
      <c r="Z191" s="3">
        <f ca="1">DATEDIF(Table1[[#This Row],[تاريخ الميلاد]],TODAY(),"y")</f>
        <v>52</v>
      </c>
      <c r="AA19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52 عام 2  شهر  1  يوم </v>
      </c>
      <c r="AB19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18عام5  شهر  18  يوم </v>
      </c>
      <c r="AC191" s="10">
        <f>DATE(YEAR(Table1[[#This Row],[تاريخ الميلاد]])+60,MONTH(Table1[[#This Row],[تاريخ الميلاد]]),DAY(Table1[[#This Row],[تاريخ الميلاد]]))</f>
        <v>49114</v>
      </c>
      <c r="AD191" s="14">
        <f>DATE(YEAR(Table1[[#This Row],[معاش 01/01]])-1,MONTH(Table1[[#This Row],[تاريخ بلوغ 60 ]]),DAY(Table1[[#This Row],[تاريخ بلوغ 60 ]]))</f>
        <v>49114</v>
      </c>
      <c r="AE19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49479</v>
      </c>
      <c r="AF191" s="10" t="str">
        <f>IFERROR(IF(ISODD(MID(Table1[[#This Row],[الرقم القومي]],13,1)),"ذكر","انثي"),"")</f>
        <v>ذكر</v>
      </c>
      <c r="AG191" s="70" t="s">
        <v>1635</v>
      </c>
      <c r="AH191" s="3">
        <f>IF(MONTH(Table1[[#This Row],[تاريخ بلوغ 60 ]])&lt;&gt;1,1,0)</f>
        <v>1</v>
      </c>
      <c r="AI191" s="3">
        <f>IF(DAY(Table1[[#This Row],[تاريخ بلوغ 60 ]])&lt;&gt;1,1,0)</f>
        <v>1</v>
      </c>
      <c r="AJ191" s="4" t="s">
        <v>465</v>
      </c>
      <c r="AK191" s="4" t="s">
        <v>2636</v>
      </c>
      <c r="AL191" s="4" t="s">
        <v>1916</v>
      </c>
      <c r="AM191" s="62" t="s">
        <v>2828</v>
      </c>
      <c r="AN191" s="2">
        <v>4</v>
      </c>
      <c r="AO191" s="4" t="s">
        <v>2641</v>
      </c>
      <c r="AP191" s="74">
        <v>1322.23</v>
      </c>
      <c r="AQ191" s="4">
        <v>25</v>
      </c>
      <c r="AR191" s="4">
        <v>3</v>
      </c>
      <c r="AS191" s="4" t="s">
        <v>2668</v>
      </c>
      <c r="AT191" s="72">
        <v>6</v>
      </c>
      <c r="AU191" s="2">
        <v>7</v>
      </c>
      <c r="AV191" s="4"/>
      <c r="AW191" s="4"/>
      <c r="AX191" s="4"/>
    </row>
    <row r="192" spans="1:50" ht="15" x14ac:dyDescent="0.2">
      <c r="A192" s="3">
        <v>29756</v>
      </c>
      <c r="B192" s="1" t="s">
        <v>468</v>
      </c>
      <c r="C192" s="3">
        <v>1</v>
      </c>
      <c r="D192" s="3" t="s">
        <v>465</v>
      </c>
      <c r="E192" s="3">
        <v>3</v>
      </c>
      <c r="F192" s="3" t="s">
        <v>472</v>
      </c>
      <c r="G192" s="7" t="s">
        <v>154</v>
      </c>
      <c r="H192" s="3">
        <v>158</v>
      </c>
      <c r="I192" s="3" t="s">
        <v>1330</v>
      </c>
      <c r="J192" s="3">
        <v>20</v>
      </c>
      <c r="K192" s="3" t="s">
        <v>1531</v>
      </c>
      <c r="L192" s="3">
        <v>7</v>
      </c>
      <c r="M192" s="3" t="s">
        <v>504</v>
      </c>
      <c r="N192" s="3" t="s">
        <v>1334</v>
      </c>
      <c r="O192" s="10">
        <v>28449</v>
      </c>
      <c r="P192" s="10">
        <v>40544</v>
      </c>
      <c r="Q192" s="10"/>
      <c r="R192" s="10">
        <v>44926</v>
      </c>
      <c r="S192" s="23">
        <v>4748.97</v>
      </c>
      <c r="T192" s="3">
        <v>12290890</v>
      </c>
      <c r="U192" s="3">
        <v>27711200300055</v>
      </c>
      <c r="V192" s="4" t="s">
        <v>1919</v>
      </c>
      <c r="W192" s="4"/>
      <c r="X192" s="4" t="s">
        <v>1583</v>
      </c>
      <c r="Z192" s="3">
        <f ca="1">DATEDIF(Table1[[#This Row],[تاريخ الميلاد]],TODAY(),"y")</f>
        <v>48</v>
      </c>
      <c r="AA19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48 عام 9  شهر  0  يوم </v>
      </c>
      <c r="AB19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15عام7  شهر  19  يوم </v>
      </c>
      <c r="AC192" s="10">
        <f>DATE(YEAR(Table1[[#This Row],[تاريخ الميلاد]])+60,MONTH(Table1[[#This Row],[تاريخ الميلاد]]),DAY(Table1[[#This Row],[تاريخ الميلاد]]))</f>
        <v>50364</v>
      </c>
      <c r="AD192" s="14">
        <f>DATE(YEAR(Table1[[#This Row],[معاش 01/01]])-1,MONTH(Table1[[#This Row],[تاريخ بلوغ 60 ]]),DAY(Table1[[#This Row],[تاريخ بلوغ 60 ]]))</f>
        <v>50364</v>
      </c>
      <c r="AE19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50729</v>
      </c>
      <c r="AF192" s="10" t="str">
        <f>IFERROR(IF(ISODD(MID(Table1[[#This Row],[الرقم القومي]],13,1)),"ذكر","انثي"),"")</f>
        <v>ذكر</v>
      </c>
      <c r="AG192" s="70" t="s">
        <v>2606</v>
      </c>
      <c r="AH192" s="3">
        <f>IF(MONTH(Table1[[#This Row],[تاريخ بلوغ 60 ]])&lt;&gt;1,1,0)</f>
        <v>1</v>
      </c>
      <c r="AI192" s="3">
        <f>IF(DAY(Table1[[#This Row],[تاريخ بلوغ 60 ]])&lt;&gt;1,1,0)</f>
        <v>1</v>
      </c>
      <c r="AJ192" s="4" t="s">
        <v>465</v>
      </c>
      <c r="AK192" s="4" t="s">
        <v>2636</v>
      </c>
      <c r="AL192" s="4" t="s">
        <v>1918</v>
      </c>
      <c r="AM192" s="62" t="s">
        <v>2829</v>
      </c>
      <c r="AN192" s="2">
        <v>4</v>
      </c>
      <c r="AO192" s="4" t="s">
        <v>2641</v>
      </c>
      <c r="AP192" s="74">
        <v>1123.23</v>
      </c>
      <c r="AQ192" s="4">
        <v>25</v>
      </c>
      <c r="AR192" s="4">
        <v>3</v>
      </c>
      <c r="AS192" s="4" t="s">
        <v>2668</v>
      </c>
      <c r="AT192" s="72">
        <v>6</v>
      </c>
      <c r="AU192" s="2">
        <v>7</v>
      </c>
      <c r="AV192" s="4"/>
      <c r="AW192" s="4"/>
      <c r="AX192" s="4"/>
    </row>
    <row r="193" spans="1:50" ht="15" x14ac:dyDescent="0.2">
      <c r="A193" s="3">
        <v>29759</v>
      </c>
      <c r="B193" s="1" t="s">
        <v>468</v>
      </c>
      <c r="C193" s="3">
        <v>1</v>
      </c>
      <c r="D193" s="3" t="s">
        <v>465</v>
      </c>
      <c r="E193" s="3">
        <v>21</v>
      </c>
      <c r="F193" s="3" t="s">
        <v>474</v>
      </c>
      <c r="G193" s="7" t="s">
        <v>155</v>
      </c>
      <c r="H193" s="3">
        <v>63</v>
      </c>
      <c r="I193" s="3" t="s">
        <v>797</v>
      </c>
      <c r="J193" s="3">
        <v>18</v>
      </c>
      <c r="K193" s="3" t="s">
        <v>1529</v>
      </c>
      <c r="L193" s="3">
        <v>7</v>
      </c>
      <c r="M193" s="3" t="s">
        <v>504</v>
      </c>
      <c r="N193" s="3" t="s">
        <v>801</v>
      </c>
      <c r="O193" s="10">
        <v>28354</v>
      </c>
      <c r="P193" s="10">
        <v>40124</v>
      </c>
      <c r="Q193" s="10"/>
      <c r="R193" s="10">
        <v>44561</v>
      </c>
      <c r="S193" s="23">
        <v>4975.1899999999996</v>
      </c>
      <c r="T193" s="3">
        <v>54683053</v>
      </c>
      <c r="U193" s="3">
        <v>27708171100296</v>
      </c>
      <c r="V193" s="4" t="s">
        <v>1921</v>
      </c>
      <c r="W193" s="4"/>
      <c r="X193" s="4" t="s">
        <v>1583</v>
      </c>
      <c r="Z193" s="3">
        <f ca="1">DATEDIF(Table1[[#This Row],[تاريخ الميلاد]],TODAY(),"y")</f>
        <v>49</v>
      </c>
      <c r="AA19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49 عام 0  شهر  3  يوم </v>
      </c>
      <c r="AB19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16عام9  شهر  13  يوم </v>
      </c>
      <c r="AC193" s="10">
        <f>DATE(YEAR(Table1[[#This Row],[تاريخ الميلاد]])+60,MONTH(Table1[[#This Row],[تاريخ الميلاد]]),DAY(Table1[[#This Row],[تاريخ الميلاد]]))</f>
        <v>50269</v>
      </c>
      <c r="AD193" s="14">
        <f>DATE(YEAR(Table1[[#This Row],[معاش 01/01]])-1,MONTH(Table1[[#This Row],[تاريخ بلوغ 60 ]]),DAY(Table1[[#This Row],[تاريخ بلوغ 60 ]]))</f>
        <v>50269</v>
      </c>
      <c r="AE19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50634</v>
      </c>
      <c r="AF193" s="10" t="str">
        <f>IFERROR(IF(ISODD(MID(Table1[[#This Row],[الرقم القومي]],13,1)),"ذكر","انثي"),"")</f>
        <v>ذكر</v>
      </c>
      <c r="AG193" s="70" t="s">
        <v>2609</v>
      </c>
      <c r="AH193" s="3">
        <f>IF(MONTH(Table1[[#This Row],[تاريخ بلوغ 60 ]])&lt;&gt;1,1,0)</f>
        <v>1</v>
      </c>
      <c r="AI193" s="3">
        <f>IF(DAY(Table1[[#This Row],[تاريخ بلوغ 60 ]])&lt;&gt;1,1,0)</f>
        <v>1</v>
      </c>
      <c r="AJ193" s="4" t="s">
        <v>465</v>
      </c>
      <c r="AK193" s="4" t="s">
        <v>2689</v>
      </c>
      <c r="AL193" s="4" t="s">
        <v>1920</v>
      </c>
      <c r="AM193" s="62" t="s">
        <v>2830</v>
      </c>
      <c r="AN193" s="2">
        <v>4</v>
      </c>
      <c r="AO193" s="4" t="s">
        <v>2641</v>
      </c>
      <c r="AP193" s="74">
        <v>1177.51</v>
      </c>
      <c r="AQ193" s="4">
        <v>25</v>
      </c>
      <c r="AR193" s="4">
        <v>3</v>
      </c>
      <c r="AS193" s="4" t="s">
        <v>2668</v>
      </c>
      <c r="AT193" s="72">
        <v>6</v>
      </c>
      <c r="AU193" s="2">
        <v>7</v>
      </c>
      <c r="AV193" s="4"/>
      <c r="AW193" s="4"/>
      <c r="AX193" s="4"/>
    </row>
    <row r="194" spans="1:50" ht="15" x14ac:dyDescent="0.2">
      <c r="A194" s="3">
        <v>29763</v>
      </c>
      <c r="B194" s="1" t="s">
        <v>468</v>
      </c>
      <c r="C194" s="3">
        <v>1</v>
      </c>
      <c r="D194" s="3" t="s">
        <v>465</v>
      </c>
      <c r="E194" s="3">
        <v>21</v>
      </c>
      <c r="F194" s="3" t="s">
        <v>474</v>
      </c>
      <c r="G194" s="7" t="s">
        <v>157</v>
      </c>
      <c r="H194" s="3">
        <v>56</v>
      </c>
      <c r="I194" s="3" t="s">
        <v>755</v>
      </c>
      <c r="J194" s="3">
        <v>18</v>
      </c>
      <c r="K194" s="3" t="s">
        <v>1529</v>
      </c>
      <c r="L194" s="3">
        <v>7</v>
      </c>
      <c r="M194" s="3" t="s">
        <v>504</v>
      </c>
      <c r="N194" s="3" t="s">
        <v>759</v>
      </c>
      <c r="O194" s="10">
        <v>28826</v>
      </c>
      <c r="P194" s="10">
        <v>40544</v>
      </c>
      <c r="Q194" s="10"/>
      <c r="R194" s="10">
        <v>44561</v>
      </c>
      <c r="S194" s="23">
        <v>4748.97</v>
      </c>
      <c r="T194" s="3">
        <v>58994239</v>
      </c>
      <c r="U194" s="3">
        <v>27812020300392</v>
      </c>
      <c r="V194" s="4" t="s">
        <v>1924</v>
      </c>
      <c r="W194" s="4"/>
      <c r="X194" s="4" t="s">
        <v>1583</v>
      </c>
      <c r="Z194" s="3">
        <f ca="1">DATEDIF(Table1[[#This Row],[تاريخ الميلاد]],TODAY(),"y")</f>
        <v>47</v>
      </c>
      <c r="AA19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47 عام 8  شهر  18  يوم </v>
      </c>
      <c r="AB19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15عام7  شهر  19  يوم </v>
      </c>
      <c r="AC194" s="10">
        <f>DATE(YEAR(Table1[[#This Row],[تاريخ الميلاد]])+60,MONTH(Table1[[#This Row],[تاريخ الميلاد]]),DAY(Table1[[#This Row],[تاريخ الميلاد]]))</f>
        <v>50741</v>
      </c>
      <c r="AD194" s="14">
        <f>DATE(YEAR(Table1[[#This Row],[معاش 01/01]])-1,MONTH(Table1[[#This Row],[تاريخ بلوغ 60 ]]),DAY(Table1[[#This Row],[تاريخ بلوغ 60 ]]))</f>
        <v>50741</v>
      </c>
      <c r="AE19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51106</v>
      </c>
      <c r="AF194" s="10" t="str">
        <f>IFERROR(IF(ISODD(MID(Table1[[#This Row],[الرقم القومي]],13,1)),"ذكر","انثي"),"")</f>
        <v>ذكر</v>
      </c>
      <c r="AG194" s="70" t="s">
        <v>2606</v>
      </c>
      <c r="AH194" s="3">
        <f>IF(MONTH(Table1[[#This Row],[تاريخ بلوغ 60 ]])&lt;&gt;1,1,0)</f>
        <v>1</v>
      </c>
      <c r="AI194" s="3">
        <f>IF(DAY(Table1[[#This Row],[تاريخ بلوغ 60 ]])&lt;&gt;1,1,0)</f>
        <v>1</v>
      </c>
      <c r="AJ194" s="4" t="s">
        <v>465</v>
      </c>
      <c r="AK194" s="4" t="s">
        <v>2666</v>
      </c>
      <c r="AL194" s="4" t="s">
        <v>1923</v>
      </c>
      <c r="AM194" s="62" t="s">
        <v>2833</v>
      </c>
      <c r="AN194" s="2">
        <v>4</v>
      </c>
      <c r="AO194" s="4" t="s">
        <v>2641</v>
      </c>
      <c r="AP194" s="74">
        <v>1123.23</v>
      </c>
      <c r="AQ194" s="4">
        <v>25</v>
      </c>
      <c r="AR194" s="4">
        <v>3</v>
      </c>
      <c r="AS194" s="4" t="s">
        <v>2668</v>
      </c>
      <c r="AT194" s="72">
        <v>6</v>
      </c>
      <c r="AU194" s="2">
        <v>7</v>
      </c>
      <c r="AV194" s="4"/>
      <c r="AW194" s="4"/>
      <c r="AX194" s="4"/>
    </row>
    <row r="195" spans="1:50" ht="15" x14ac:dyDescent="0.2">
      <c r="A195" s="3">
        <v>29769</v>
      </c>
      <c r="B195" s="1" t="s">
        <v>468</v>
      </c>
      <c r="C195" s="3">
        <v>1</v>
      </c>
      <c r="D195" s="3" t="s">
        <v>465</v>
      </c>
      <c r="E195" s="3">
        <v>3</v>
      </c>
      <c r="F195" s="3" t="s">
        <v>472</v>
      </c>
      <c r="G195" s="7" t="s">
        <v>158</v>
      </c>
      <c r="H195" s="3">
        <v>103</v>
      </c>
      <c r="I195" s="3" t="s">
        <v>1075</v>
      </c>
      <c r="J195" s="3">
        <v>18</v>
      </c>
      <c r="K195" s="3" t="s">
        <v>1529</v>
      </c>
      <c r="L195" s="3">
        <v>6</v>
      </c>
      <c r="M195" s="3" t="s">
        <v>502</v>
      </c>
      <c r="N195" s="3" t="s">
        <v>1080</v>
      </c>
      <c r="O195" s="10">
        <v>29056</v>
      </c>
      <c r="P195" s="10">
        <v>40603</v>
      </c>
      <c r="Q195" s="10"/>
      <c r="R195" s="10">
        <v>44561</v>
      </c>
      <c r="S195" s="23">
        <v>5618.38</v>
      </c>
      <c r="T195" s="3">
        <v>59543011</v>
      </c>
      <c r="U195" s="3">
        <v>27907201200439</v>
      </c>
      <c r="V195" s="4" t="s">
        <v>1926</v>
      </c>
      <c r="W195" s="4">
        <v>11004</v>
      </c>
      <c r="X195" s="4" t="s">
        <v>1583</v>
      </c>
      <c r="Y195" s="4">
        <v>1998</v>
      </c>
      <c r="Z195" s="3">
        <f ca="1">DATEDIF(Table1[[#This Row],[تاريخ الميلاد]],TODAY(),"y")</f>
        <v>47</v>
      </c>
      <c r="AA19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47 عام 1  شهر  0  يوم </v>
      </c>
      <c r="AB19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15عام5  شهر  19  يوم </v>
      </c>
      <c r="AC195" s="10">
        <f>DATE(YEAR(Table1[[#This Row],[تاريخ الميلاد]])+60,MONTH(Table1[[#This Row],[تاريخ الميلاد]]),DAY(Table1[[#This Row],[تاريخ الميلاد]]))</f>
        <v>50971</v>
      </c>
      <c r="AD195" s="14">
        <f>DATE(YEAR(Table1[[#This Row],[معاش 01/01]])-1,MONTH(Table1[[#This Row],[تاريخ بلوغ 60 ]]),DAY(Table1[[#This Row],[تاريخ بلوغ 60 ]]))</f>
        <v>50971</v>
      </c>
      <c r="AE19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51337</v>
      </c>
      <c r="AF195" s="10" t="str">
        <f>IFERROR(IF(ISODD(MID(Table1[[#This Row],[الرقم القومي]],13,1)),"ذكر","انثي"),"")</f>
        <v>ذكر</v>
      </c>
      <c r="AG195" s="70" t="s">
        <v>1635</v>
      </c>
      <c r="AH195" s="3">
        <f>IF(MONTH(Table1[[#This Row],[تاريخ بلوغ 60 ]])&lt;&gt;1,1,0)</f>
        <v>1</v>
      </c>
      <c r="AI195" s="3">
        <f>IF(DAY(Table1[[#This Row],[تاريخ بلوغ 60 ]])&lt;&gt;1,1,0)</f>
        <v>1</v>
      </c>
      <c r="AJ195" s="4" t="s">
        <v>465</v>
      </c>
      <c r="AK195" s="4" t="s">
        <v>2770</v>
      </c>
      <c r="AL195" s="4" t="s">
        <v>1925</v>
      </c>
      <c r="AM195" s="62" t="s">
        <v>2834</v>
      </c>
      <c r="AN195" s="2">
        <v>4</v>
      </c>
      <c r="AO195" s="4" t="s">
        <v>2641</v>
      </c>
      <c r="AP195" s="74">
        <v>1331.84</v>
      </c>
      <c r="AQ195" s="4">
        <v>25</v>
      </c>
      <c r="AR195" s="4">
        <v>2</v>
      </c>
      <c r="AS195" s="4" t="s">
        <v>2696</v>
      </c>
      <c r="AT195" s="72">
        <v>4</v>
      </c>
      <c r="AU195" s="2">
        <v>6</v>
      </c>
      <c r="AV195" s="4"/>
      <c r="AW195" s="4"/>
      <c r="AX195" s="4"/>
    </row>
    <row r="196" spans="1:50" ht="15" x14ac:dyDescent="0.2">
      <c r="A196" s="3">
        <v>29771</v>
      </c>
      <c r="B196" s="1" t="s">
        <v>468</v>
      </c>
      <c r="C196" s="3">
        <v>1</v>
      </c>
      <c r="D196" s="3" t="s">
        <v>465</v>
      </c>
      <c r="E196" s="3">
        <v>21</v>
      </c>
      <c r="F196" s="3" t="s">
        <v>474</v>
      </c>
      <c r="G196" s="7" t="s">
        <v>159</v>
      </c>
      <c r="H196" s="3">
        <v>41</v>
      </c>
      <c r="I196" s="3" t="s">
        <v>713</v>
      </c>
      <c r="J196" s="3">
        <v>17</v>
      </c>
      <c r="K196" s="3" t="s">
        <v>1530</v>
      </c>
      <c r="L196" s="3">
        <v>6</v>
      </c>
      <c r="M196" s="3" t="s">
        <v>502</v>
      </c>
      <c r="N196" s="3" t="s">
        <v>718</v>
      </c>
      <c r="O196" s="10">
        <v>28975</v>
      </c>
      <c r="P196" s="10">
        <v>40575</v>
      </c>
      <c r="Q196" s="10"/>
      <c r="R196" s="10">
        <v>44561</v>
      </c>
      <c r="S196" s="23">
        <v>5352.37</v>
      </c>
      <c r="T196" s="3">
        <v>5677983</v>
      </c>
      <c r="U196" s="3">
        <v>27904300300039</v>
      </c>
      <c r="V196" s="4" t="s">
        <v>1928</v>
      </c>
      <c r="W196" s="4"/>
      <c r="X196" s="4" t="s">
        <v>1583</v>
      </c>
      <c r="Z196" s="3">
        <f ca="1">DATEDIF(Table1[[#This Row],[تاريخ الميلاد]],TODAY(),"y")</f>
        <v>47</v>
      </c>
      <c r="AA19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47 عام 3  شهر  21  يوم </v>
      </c>
      <c r="AB19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15عام6  شهر  19  يوم </v>
      </c>
      <c r="AC196" s="10">
        <f>DATE(YEAR(Table1[[#This Row],[تاريخ الميلاد]])+60,MONTH(Table1[[#This Row],[تاريخ الميلاد]]),DAY(Table1[[#This Row],[تاريخ الميلاد]]))</f>
        <v>50890</v>
      </c>
      <c r="AD196" s="14">
        <f>DATE(YEAR(Table1[[#This Row],[معاش 01/01]])-1,MONTH(Table1[[#This Row],[تاريخ بلوغ 60 ]]),DAY(Table1[[#This Row],[تاريخ بلوغ 60 ]]))</f>
        <v>50890</v>
      </c>
      <c r="AE19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51256</v>
      </c>
      <c r="AF196" s="10" t="str">
        <f>IFERROR(IF(ISODD(MID(Table1[[#This Row],[الرقم القومي]],13,1)),"ذكر","انثي"),"")</f>
        <v>ذكر</v>
      </c>
      <c r="AG196" s="70" t="s">
        <v>2606</v>
      </c>
      <c r="AH196" s="3">
        <f>IF(MONTH(Table1[[#This Row],[تاريخ بلوغ 60 ]])&lt;&gt;1,1,0)</f>
        <v>1</v>
      </c>
      <c r="AI196" s="3">
        <f>IF(DAY(Table1[[#This Row],[تاريخ بلوغ 60 ]])&lt;&gt;1,1,0)</f>
        <v>1</v>
      </c>
      <c r="AJ196" s="4" t="s">
        <v>465</v>
      </c>
      <c r="AK196" s="4" t="s">
        <v>2666</v>
      </c>
      <c r="AL196" s="4" t="s">
        <v>1927</v>
      </c>
      <c r="AM196" s="62" t="s">
        <v>2835</v>
      </c>
      <c r="AN196" s="2">
        <v>1</v>
      </c>
      <c r="AO196" s="4" t="s">
        <v>2641</v>
      </c>
      <c r="AP196" s="74">
        <v>634</v>
      </c>
      <c r="AQ196" s="4">
        <v>12.5</v>
      </c>
      <c r="AR196" s="4">
        <v>3</v>
      </c>
      <c r="AS196" s="4" t="s">
        <v>2668</v>
      </c>
      <c r="AT196" s="72">
        <v>6</v>
      </c>
      <c r="AU196" s="2">
        <v>6</v>
      </c>
      <c r="AV196" s="4"/>
      <c r="AW196" s="4"/>
      <c r="AX196" s="4"/>
    </row>
    <row r="197" spans="1:50" ht="15" x14ac:dyDescent="0.2">
      <c r="A197" s="3">
        <v>29782</v>
      </c>
      <c r="B197" s="1" t="s">
        <v>468</v>
      </c>
      <c r="C197" s="3">
        <v>1</v>
      </c>
      <c r="D197" s="3" t="s">
        <v>465</v>
      </c>
      <c r="E197" s="3">
        <v>21</v>
      </c>
      <c r="F197" s="3" t="s">
        <v>474</v>
      </c>
      <c r="G197" s="7" t="s">
        <v>160</v>
      </c>
      <c r="H197" s="3">
        <v>99</v>
      </c>
      <c r="I197" s="3" t="s">
        <v>1047</v>
      </c>
      <c r="J197" s="3">
        <v>18</v>
      </c>
      <c r="K197" s="3" t="s">
        <v>1529</v>
      </c>
      <c r="L197" s="3">
        <v>6</v>
      </c>
      <c r="M197" s="3" t="s">
        <v>502</v>
      </c>
      <c r="N197" s="3" t="s">
        <v>1052</v>
      </c>
      <c r="O197" s="10">
        <v>27417</v>
      </c>
      <c r="P197" s="10">
        <v>40575</v>
      </c>
      <c r="Q197" s="10"/>
      <c r="R197" s="10">
        <v>44561</v>
      </c>
      <c r="S197" s="23">
        <v>5352.37</v>
      </c>
      <c r="T197" s="3">
        <v>15455273</v>
      </c>
      <c r="U197" s="3">
        <v>27501231203673</v>
      </c>
      <c r="V197" s="4" t="s">
        <v>1930</v>
      </c>
      <c r="W197" s="4"/>
      <c r="X197" s="4" t="s">
        <v>1583</v>
      </c>
      <c r="Z197" s="3">
        <f ca="1">DATEDIF(Table1[[#This Row],[تاريخ الميلاد]],TODAY(),"y")</f>
        <v>51</v>
      </c>
      <c r="AA19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51 عام 6  شهر  28  يوم </v>
      </c>
      <c r="AB19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15عام6  شهر  19  يوم </v>
      </c>
      <c r="AC197" s="10">
        <f>DATE(YEAR(Table1[[#This Row],[تاريخ الميلاد]])+60,MONTH(Table1[[#This Row],[تاريخ الميلاد]]),DAY(Table1[[#This Row],[تاريخ الميلاد]]))</f>
        <v>49332</v>
      </c>
      <c r="AD197" s="14">
        <f>DATE(YEAR(Table1[[#This Row],[معاش 01/01]])-1,MONTH(Table1[[#This Row],[تاريخ بلوغ 60 ]]),DAY(Table1[[#This Row],[تاريخ بلوغ 60 ]]))</f>
        <v>49332</v>
      </c>
      <c r="AE19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49697</v>
      </c>
      <c r="AF197" s="10" t="str">
        <f>IFERROR(IF(ISODD(MID(Table1[[#This Row],[الرقم القومي]],13,1)),"ذكر","انثي"),"")</f>
        <v>ذكر</v>
      </c>
      <c r="AG197" s="70" t="s">
        <v>1635</v>
      </c>
      <c r="AH197" s="3">
        <f>IF(MONTH(Table1[[#This Row],[تاريخ بلوغ 60 ]])&lt;&gt;1,1,0)</f>
        <v>0</v>
      </c>
      <c r="AI197" s="3">
        <f>IF(DAY(Table1[[#This Row],[تاريخ بلوغ 60 ]])&lt;&gt;1,1,0)</f>
        <v>1</v>
      </c>
      <c r="AJ197" s="4" t="s">
        <v>465</v>
      </c>
      <c r="AK197" s="4" t="s">
        <v>2666</v>
      </c>
      <c r="AL197" s="4" t="s">
        <v>1929</v>
      </c>
      <c r="AM197" s="62" t="s">
        <v>2836</v>
      </c>
      <c r="AN197" s="2">
        <v>4</v>
      </c>
      <c r="AO197" s="4" t="s">
        <v>2641</v>
      </c>
      <c r="AP197" s="74">
        <v>1268.01</v>
      </c>
      <c r="AQ197" s="4">
        <v>25</v>
      </c>
      <c r="AR197" s="4">
        <v>3</v>
      </c>
      <c r="AS197" s="4" t="s">
        <v>2668</v>
      </c>
      <c r="AT197" s="72">
        <v>6</v>
      </c>
      <c r="AU197" s="2">
        <v>6</v>
      </c>
      <c r="AV197" s="4"/>
      <c r="AW197" s="4"/>
      <c r="AX197" s="4"/>
    </row>
    <row r="198" spans="1:50" ht="15" x14ac:dyDescent="0.2">
      <c r="A198" s="3">
        <v>29785</v>
      </c>
      <c r="B198" s="1" t="s">
        <v>468</v>
      </c>
      <c r="C198" s="3">
        <v>1</v>
      </c>
      <c r="D198" s="3" t="s">
        <v>465</v>
      </c>
      <c r="E198" s="3">
        <v>21</v>
      </c>
      <c r="F198" s="3" t="s">
        <v>474</v>
      </c>
      <c r="G198" s="7" t="s">
        <v>161</v>
      </c>
      <c r="H198" s="3">
        <v>99</v>
      </c>
      <c r="I198" s="3" t="s">
        <v>1047</v>
      </c>
      <c r="J198" s="3">
        <v>18</v>
      </c>
      <c r="K198" s="3" t="s">
        <v>1529</v>
      </c>
      <c r="L198" s="3">
        <v>6</v>
      </c>
      <c r="M198" s="3" t="s">
        <v>502</v>
      </c>
      <c r="N198" s="3" t="s">
        <v>1052</v>
      </c>
      <c r="O198" s="10">
        <v>27183</v>
      </c>
      <c r="P198" s="10">
        <v>39787</v>
      </c>
      <c r="Q198" s="10"/>
      <c r="R198" s="10">
        <v>44561</v>
      </c>
      <c r="S198" s="23">
        <v>5963.28</v>
      </c>
      <c r="T198" s="3">
        <v>4690175</v>
      </c>
      <c r="U198" s="3">
        <v>27406031300035</v>
      </c>
      <c r="V198" s="4" t="s">
        <v>1932</v>
      </c>
      <c r="W198" s="4"/>
      <c r="X198" s="4" t="s">
        <v>1583</v>
      </c>
      <c r="Z198" s="3">
        <f ca="1">DATEDIF(Table1[[#This Row],[تاريخ الميلاد]],TODAY(),"y")</f>
        <v>52</v>
      </c>
      <c r="AA19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52 عام 2  شهر  17  يوم </v>
      </c>
      <c r="AB19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17عام8  شهر  15  يوم </v>
      </c>
      <c r="AC198" s="10">
        <f>DATE(YEAR(Table1[[#This Row],[تاريخ الميلاد]])+60,MONTH(Table1[[#This Row],[تاريخ الميلاد]]),DAY(Table1[[#This Row],[تاريخ الميلاد]]))</f>
        <v>49098</v>
      </c>
      <c r="AD198" s="14">
        <f>DATE(YEAR(Table1[[#This Row],[معاش 01/01]])-1,MONTH(Table1[[#This Row],[تاريخ بلوغ 60 ]]),DAY(Table1[[#This Row],[تاريخ بلوغ 60 ]]))</f>
        <v>49098</v>
      </c>
      <c r="AE19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49463</v>
      </c>
      <c r="AF198" s="10" t="str">
        <f>IFERROR(IF(ISODD(MID(Table1[[#This Row],[الرقم القومي]],13,1)),"ذكر","انثي"),"")</f>
        <v>ذكر</v>
      </c>
      <c r="AG198" s="70" t="s">
        <v>2610</v>
      </c>
      <c r="AH198" s="3">
        <f>IF(MONTH(Table1[[#This Row],[تاريخ بلوغ 60 ]])&lt;&gt;1,1,0)</f>
        <v>1</v>
      </c>
      <c r="AI198" s="3">
        <f>IF(DAY(Table1[[#This Row],[تاريخ بلوغ 60 ]])&lt;&gt;1,1,0)</f>
        <v>1</v>
      </c>
      <c r="AJ198" s="4" t="s">
        <v>465</v>
      </c>
      <c r="AK198" s="4" t="s">
        <v>2770</v>
      </c>
      <c r="AL198" s="4" t="s">
        <v>1931</v>
      </c>
      <c r="AM198" s="62" t="s">
        <v>2837</v>
      </c>
      <c r="AN198" s="2">
        <v>4</v>
      </c>
      <c r="AO198" s="4" t="s">
        <v>2641</v>
      </c>
      <c r="AP198" s="74">
        <v>1413.43</v>
      </c>
      <c r="AQ198" s="4">
        <v>25</v>
      </c>
      <c r="AR198" s="4">
        <v>3</v>
      </c>
      <c r="AS198" s="4" t="s">
        <v>2668</v>
      </c>
      <c r="AT198" s="72">
        <v>6</v>
      </c>
      <c r="AU198" s="2">
        <v>6</v>
      </c>
      <c r="AV198" s="4"/>
      <c r="AW198" s="4"/>
      <c r="AX198" s="4"/>
    </row>
    <row r="199" spans="1:50" ht="15" x14ac:dyDescent="0.2">
      <c r="A199" s="3">
        <v>30108</v>
      </c>
      <c r="B199" s="1" t="s">
        <v>468</v>
      </c>
      <c r="C199" s="3">
        <v>1</v>
      </c>
      <c r="D199" s="3" t="s">
        <v>465</v>
      </c>
      <c r="E199" s="3">
        <v>21</v>
      </c>
      <c r="F199" s="3" t="s">
        <v>474</v>
      </c>
      <c r="G199" s="7" t="s">
        <v>162</v>
      </c>
      <c r="H199" s="3">
        <v>56</v>
      </c>
      <c r="I199" s="3" t="s">
        <v>755</v>
      </c>
      <c r="J199" s="3">
        <v>18</v>
      </c>
      <c r="K199" s="3" t="s">
        <v>1529</v>
      </c>
      <c r="L199" s="3">
        <v>7</v>
      </c>
      <c r="M199" s="3" t="s">
        <v>504</v>
      </c>
      <c r="N199" s="3" t="s">
        <v>759</v>
      </c>
      <c r="O199" s="10">
        <v>29137</v>
      </c>
      <c r="P199" s="10">
        <v>40725</v>
      </c>
      <c r="Q199" s="10"/>
      <c r="R199" s="10">
        <v>44561</v>
      </c>
      <c r="S199" s="23">
        <v>4374.6000000000004</v>
      </c>
      <c r="T199" s="3">
        <v>3660552</v>
      </c>
      <c r="U199" s="3">
        <v>27910090300219</v>
      </c>
      <c r="V199" s="4" t="s">
        <v>1934</v>
      </c>
      <c r="W199" s="4"/>
      <c r="X199" s="4" t="s">
        <v>1583</v>
      </c>
      <c r="Z199" s="3">
        <f ca="1">DATEDIF(Table1[[#This Row],[تاريخ الميلاد]],TODAY(),"y")</f>
        <v>46</v>
      </c>
      <c r="AA19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46 عام 10  شهر  11  يوم </v>
      </c>
      <c r="AB19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15عام1  شهر  19  يوم </v>
      </c>
      <c r="AC199" s="10">
        <f>DATE(YEAR(Table1[[#This Row],[تاريخ الميلاد]])+60,MONTH(Table1[[#This Row],[تاريخ الميلاد]]),DAY(Table1[[#This Row],[تاريخ الميلاد]]))</f>
        <v>51052</v>
      </c>
      <c r="AD199" s="14">
        <f>DATE(YEAR(Table1[[#This Row],[معاش 01/01]])-1,MONTH(Table1[[#This Row],[تاريخ بلوغ 60 ]]),DAY(Table1[[#This Row],[تاريخ بلوغ 60 ]]))</f>
        <v>51052</v>
      </c>
      <c r="AE19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51418</v>
      </c>
      <c r="AF199" s="10" t="str">
        <f>IFERROR(IF(ISODD(MID(Table1[[#This Row],[الرقم القومي]],13,1)),"ذكر","انثي"),"")</f>
        <v>ذكر</v>
      </c>
      <c r="AG199" s="70" t="s">
        <v>2606</v>
      </c>
      <c r="AH199" s="3">
        <f>IF(MONTH(Table1[[#This Row],[تاريخ بلوغ 60 ]])&lt;&gt;1,1,0)</f>
        <v>1</v>
      </c>
      <c r="AI199" s="3">
        <f>IF(DAY(Table1[[#This Row],[تاريخ بلوغ 60 ]])&lt;&gt;1,1,0)</f>
        <v>1</v>
      </c>
      <c r="AJ199" s="4" t="s">
        <v>465</v>
      </c>
      <c r="AK199" s="4" t="s">
        <v>2770</v>
      </c>
      <c r="AL199" s="4" t="s">
        <v>1933</v>
      </c>
      <c r="AM199" s="62" t="s">
        <v>2838</v>
      </c>
      <c r="AN199" s="2">
        <v>4</v>
      </c>
      <c r="AO199" s="4" t="s">
        <v>2641</v>
      </c>
      <c r="AP199" s="74">
        <v>1033.4000000000001</v>
      </c>
      <c r="AQ199" s="4">
        <v>25</v>
      </c>
      <c r="AR199" s="4">
        <v>2</v>
      </c>
      <c r="AS199" s="4" t="s">
        <v>2696</v>
      </c>
      <c r="AT199" s="72">
        <v>4</v>
      </c>
      <c r="AU199" s="2">
        <v>7</v>
      </c>
      <c r="AV199" s="4"/>
      <c r="AW199" s="4"/>
      <c r="AX199" s="4"/>
    </row>
    <row r="200" spans="1:50" ht="15" x14ac:dyDescent="0.2">
      <c r="A200" s="3">
        <v>30157</v>
      </c>
      <c r="B200" s="1" t="s">
        <v>468</v>
      </c>
      <c r="C200" s="3">
        <v>1</v>
      </c>
      <c r="D200" s="3" t="s">
        <v>465</v>
      </c>
      <c r="E200" s="3">
        <v>3</v>
      </c>
      <c r="F200" s="3" t="s">
        <v>472</v>
      </c>
      <c r="G200" s="7" t="s">
        <v>1935</v>
      </c>
      <c r="H200" s="3">
        <v>224</v>
      </c>
      <c r="I200" s="3" t="s">
        <v>1550</v>
      </c>
      <c r="J200" s="3">
        <v>18</v>
      </c>
      <c r="K200" s="3" t="s">
        <v>1529</v>
      </c>
      <c r="L200" s="3">
        <v>6</v>
      </c>
      <c r="M200" s="3" t="s">
        <v>502</v>
      </c>
      <c r="N200" s="3" t="s">
        <v>1546</v>
      </c>
      <c r="O200" s="10">
        <v>32698</v>
      </c>
      <c r="P200" s="10">
        <v>40909</v>
      </c>
      <c r="Q200" s="10"/>
      <c r="R200" s="10">
        <v>44561</v>
      </c>
      <c r="S200" s="23">
        <v>5014.28</v>
      </c>
      <c r="T200" s="3">
        <v>27405405</v>
      </c>
      <c r="U200" s="3">
        <v>28907090300033</v>
      </c>
      <c r="V200" s="4" t="s">
        <v>1937</v>
      </c>
      <c r="W200" s="4">
        <v>11505</v>
      </c>
      <c r="X200" s="4" t="s">
        <v>1583</v>
      </c>
      <c r="Y200" s="4">
        <v>2009</v>
      </c>
      <c r="Z200" s="3">
        <f ca="1">DATEDIF(Table1[[#This Row],[تاريخ الميلاد]],TODAY(),"y")</f>
        <v>37</v>
      </c>
      <c r="AA20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1  شهر  11  يوم </v>
      </c>
      <c r="AB20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14عام7  شهر  19  يوم </v>
      </c>
      <c r="AC200" s="10">
        <f>DATE(YEAR(Table1[[#This Row],[تاريخ الميلاد]])+60,MONTH(Table1[[#This Row],[تاريخ الميلاد]]),DAY(Table1[[#This Row],[تاريخ الميلاد]]))</f>
        <v>54613</v>
      </c>
      <c r="AD200" s="14">
        <f>DATE(YEAR(Table1[[#This Row],[معاش 01/01]])-1,MONTH(Table1[[#This Row],[تاريخ بلوغ 60 ]]),DAY(Table1[[#This Row],[تاريخ بلوغ 60 ]]))</f>
        <v>54613</v>
      </c>
      <c r="AE20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54978</v>
      </c>
      <c r="AF200" s="10" t="str">
        <f>IFERROR(IF(ISODD(MID(Table1[[#This Row],[الرقم القومي]],13,1)),"ذكر","انثي"),"")</f>
        <v>ذكر</v>
      </c>
      <c r="AG200" s="70" t="s">
        <v>2606</v>
      </c>
      <c r="AH200" s="3">
        <f>IF(MONTH(Table1[[#This Row],[تاريخ بلوغ 60 ]])&lt;&gt;1,1,0)</f>
        <v>1</v>
      </c>
      <c r="AI200" s="3">
        <f>IF(DAY(Table1[[#This Row],[تاريخ بلوغ 60 ]])&lt;&gt;1,1,0)</f>
        <v>1</v>
      </c>
      <c r="AJ200" s="4" t="s">
        <v>465</v>
      </c>
      <c r="AK200" s="4" t="s">
        <v>2636</v>
      </c>
      <c r="AL200" s="4" t="s">
        <v>1936</v>
      </c>
      <c r="AM200" s="62" t="s">
        <v>2839</v>
      </c>
      <c r="AN200" s="2">
        <v>4</v>
      </c>
      <c r="AO200" s="4" t="s">
        <v>2641</v>
      </c>
      <c r="AP200" s="74">
        <v>1186.8900000000001</v>
      </c>
      <c r="AQ200" s="4">
        <v>25</v>
      </c>
      <c r="AR200" s="4">
        <v>3</v>
      </c>
      <c r="AS200" s="4" t="s">
        <v>2668</v>
      </c>
      <c r="AT200" s="72">
        <v>6</v>
      </c>
      <c r="AU200" s="2">
        <v>6</v>
      </c>
      <c r="AV200" s="4"/>
      <c r="AW200" s="4"/>
      <c r="AX200" s="4"/>
    </row>
    <row r="201" spans="1:50" ht="15" x14ac:dyDescent="0.2">
      <c r="A201" s="3">
        <v>30201</v>
      </c>
      <c r="B201" s="1" t="s">
        <v>468</v>
      </c>
      <c r="C201" s="3">
        <v>1</v>
      </c>
      <c r="D201" s="3" t="s">
        <v>465</v>
      </c>
      <c r="E201" s="3">
        <v>3</v>
      </c>
      <c r="F201" s="3" t="s">
        <v>472</v>
      </c>
      <c r="G201" s="7" t="s">
        <v>163</v>
      </c>
      <c r="H201" s="3">
        <v>86</v>
      </c>
      <c r="I201" s="3" t="s">
        <v>2601</v>
      </c>
      <c r="J201" s="3">
        <v>18</v>
      </c>
      <c r="K201" s="3" t="s">
        <v>1529</v>
      </c>
      <c r="L201" s="3">
        <v>6</v>
      </c>
      <c r="M201" s="3" t="s">
        <v>502</v>
      </c>
      <c r="N201" s="3" t="s">
        <v>957</v>
      </c>
      <c r="O201" s="10">
        <v>32424</v>
      </c>
      <c r="P201" s="10">
        <v>40909</v>
      </c>
      <c r="Q201" s="10"/>
      <c r="R201" s="10">
        <v>44561</v>
      </c>
      <c r="S201" s="23">
        <v>5228.32</v>
      </c>
      <c r="T201" s="3">
        <v>62603909</v>
      </c>
      <c r="U201" s="3">
        <v>28810080300279</v>
      </c>
      <c r="V201" s="4" t="s">
        <v>1939</v>
      </c>
      <c r="W201" s="4">
        <v>11551</v>
      </c>
      <c r="X201" s="4" t="s">
        <v>1583</v>
      </c>
      <c r="Z201" s="3">
        <f ca="1">DATEDIF(Table1[[#This Row],[تاريخ الميلاد]],TODAY(),"y")</f>
        <v>37</v>
      </c>
      <c r="AA20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10  شهر  12  يوم </v>
      </c>
      <c r="AB20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14عام7  شهر  19  يوم </v>
      </c>
      <c r="AC201" s="10">
        <f>DATE(YEAR(Table1[[#This Row],[تاريخ الميلاد]])+60,MONTH(Table1[[#This Row],[تاريخ الميلاد]]),DAY(Table1[[#This Row],[تاريخ الميلاد]]))</f>
        <v>54339</v>
      </c>
      <c r="AD201" s="14">
        <f>DATE(YEAR(Table1[[#This Row],[معاش 01/01]])-1,MONTH(Table1[[#This Row],[تاريخ بلوغ 60 ]]),DAY(Table1[[#This Row],[تاريخ بلوغ 60 ]]))</f>
        <v>54339</v>
      </c>
      <c r="AE20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54704</v>
      </c>
      <c r="AF201" s="10" t="str">
        <f>IFERROR(IF(ISODD(MID(Table1[[#This Row],[الرقم القومي]],13,1)),"ذكر","انثي"),"")</f>
        <v>ذكر</v>
      </c>
      <c r="AG201" s="70" t="s">
        <v>2606</v>
      </c>
      <c r="AH201" s="3">
        <f>IF(MONTH(Table1[[#This Row],[تاريخ بلوغ 60 ]])&lt;&gt;1,1,0)</f>
        <v>1</v>
      </c>
      <c r="AI201" s="3">
        <f>IF(DAY(Table1[[#This Row],[تاريخ بلوغ 60 ]])&lt;&gt;1,1,0)</f>
        <v>1</v>
      </c>
      <c r="AJ201" s="4" t="s">
        <v>465</v>
      </c>
      <c r="AK201" s="4" t="s">
        <v>2636</v>
      </c>
      <c r="AL201" s="4" t="s">
        <v>1938</v>
      </c>
      <c r="AM201" s="62" t="s">
        <v>2840</v>
      </c>
      <c r="AN201" s="2">
        <v>3</v>
      </c>
      <c r="AO201" s="4" t="s">
        <v>2641</v>
      </c>
      <c r="AP201" s="74">
        <v>928.68</v>
      </c>
      <c r="AQ201" s="4">
        <v>18.75</v>
      </c>
      <c r="AR201" s="4">
        <v>3</v>
      </c>
      <c r="AS201" s="4" t="s">
        <v>2668</v>
      </c>
      <c r="AT201" s="72">
        <v>6</v>
      </c>
      <c r="AU201" s="2">
        <v>6</v>
      </c>
      <c r="AV201" s="4"/>
      <c r="AW201" s="4"/>
      <c r="AX201" s="4"/>
    </row>
    <row r="202" spans="1:50" ht="15" x14ac:dyDescent="0.2">
      <c r="A202" s="3">
        <v>30256</v>
      </c>
      <c r="B202" s="1" t="s">
        <v>468</v>
      </c>
      <c r="C202" s="3">
        <v>1</v>
      </c>
      <c r="D202" s="3" t="s">
        <v>465</v>
      </c>
      <c r="E202" s="3">
        <v>21</v>
      </c>
      <c r="F202" s="3" t="s">
        <v>474</v>
      </c>
      <c r="G202" s="7" t="s">
        <v>164</v>
      </c>
      <c r="H202" s="3">
        <v>74</v>
      </c>
      <c r="I202" s="3" t="s">
        <v>864</v>
      </c>
      <c r="J202" s="3">
        <v>18</v>
      </c>
      <c r="K202" s="3" t="s">
        <v>1529</v>
      </c>
      <c r="L202" s="3">
        <v>6</v>
      </c>
      <c r="M202" s="3" t="s">
        <v>502</v>
      </c>
      <c r="N202" s="3" t="s">
        <v>869</v>
      </c>
      <c r="O202" s="10">
        <v>32386</v>
      </c>
      <c r="P202" s="10">
        <v>40121</v>
      </c>
      <c r="Q202" s="10"/>
      <c r="R202" s="10">
        <v>44561</v>
      </c>
      <c r="S202" s="23">
        <v>5817.82</v>
      </c>
      <c r="T202" s="3">
        <v>62606317</v>
      </c>
      <c r="U202" s="3">
        <v>28808310300031</v>
      </c>
      <c r="V202" s="4" t="s">
        <v>1941</v>
      </c>
      <c r="W202" s="4"/>
      <c r="X202" s="4" t="s">
        <v>1583</v>
      </c>
      <c r="Z202" s="3">
        <f ca="1">DATEDIF(Table1[[#This Row],[تاريخ الميلاد]],TODAY(),"y")</f>
        <v>37</v>
      </c>
      <c r="AA20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11  شهر  20  يوم </v>
      </c>
      <c r="AB20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16عام9  شهر  16  يوم </v>
      </c>
      <c r="AC202" s="10">
        <f>DATE(YEAR(Table1[[#This Row],[تاريخ الميلاد]])+60,MONTH(Table1[[#This Row],[تاريخ الميلاد]]),DAY(Table1[[#This Row],[تاريخ الميلاد]]))</f>
        <v>54301</v>
      </c>
      <c r="AD202" s="14">
        <f>DATE(YEAR(Table1[[#This Row],[معاش 01/01]])-1,MONTH(Table1[[#This Row],[تاريخ بلوغ 60 ]]),DAY(Table1[[#This Row],[تاريخ بلوغ 60 ]]))</f>
        <v>54301</v>
      </c>
      <c r="AE20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54666</v>
      </c>
      <c r="AF202" s="10" t="str">
        <f>IFERROR(IF(ISODD(MID(Table1[[#This Row],[الرقم القومي]],13,1)),"ذكر","انثي"),"")</f>
        <v>ذكر</v>
      </c>
      <c r="AG202" s="70" t="s">
        <v>2606</v>
      </c>
      <c r="AH202" s="3">
        <f>IF(MONTH(Table1[[#This Row],[تاريخ بلوغ 60 ]])&lt;&gt;1,1,0)</f>
        <v>1</v>
      </c>
      <c r="AI202" s="3">
        <f>IF(DAY(Table1[[#This Row],[تاريخ بلوغ 60 ]])&lt;&gt;1,1,0)</f>
        <v>1</v>
      </c>
      <c r="AJ202" s="4" t="s">
        <v>465</v>
      </c>
      <c r="AK202" s="4" t="s">
        <v>2770</v>
      </c>
      <c r="AL202" s="4" t="s">
        <v>1940</v>
      </c>
      <c r="AM202" s="62" t="s">
        <v>2841</v>
      </c>
      <c r="AN202" s="2">
        <v>1</v>
      </c>
      <c r="AO202" s="4" t="s">
        <v>2641</v>
      </c>
      <c r="AP202" s="74">
        <v>689.68</v>
      </c>
      <c r="AQ202" s="4">
        <v>12.5</v>
      </c>
      <c r="AR202" s="4">
        <v>3</v>
      </c>
      <c r="AS202" s="4" t="s">
        <v>2668</v>
      </c>
      <c r="AT202" s="72">
        <v>6</v>
      </c>
      <c r="AU202" s="2">
        <v>6</v>
      </c>
      <c r="AV202" s="4"/>
      <c r="AW202" s="4"/>
      <c r="AX202" s="4"/>
    </row>
    <row r="203" spans="1:50" ht="15" x14ac:dyDescent="0.2">
      <c r="A203" s="3">
        <v>30412</v>
      </c>
      <c r="B203" s="1" t="s">
        <v>468</v>
      </c>
      <c r="C203" s="3">
        <v>1</v>
      </c>
      <c r="D203" s="3" t="s">
        <v>465</v>
      </c>
      <c r="E203" s="3">
        <v>3</v>
      </c>
      <c r="F203" s="3" t="s">
        <v>472</v>
      </c>
      <c r="G203" s="7" t="s">
        <v>165</v>
      </c>
      <c r="H203" s="3">
        <v>99</v>
      </c>
      <c r="I203" s="3" t="s">
        <v>1047</v>
      </c>
      <c r="J203" s="3">
        <v>18</v>
      </c>
      <c r="K203" s="3" t="s">
        <v>1529</v>
      </c>
      <c r="L203" s="3">
        <v>6</v>
      </c>
      <c r="M203" s="3" t="s">
        <v>502</v>
      </c>
      <c r="N203" s="3" t="s">
        <v>1052</v>
      </c>
      <c r="O203" s="10">
        <v>28340</v>
      </c>
      <c r="P203" s="10">
        <v>41640</v>
      </c>
      <c r="Q203" s="10"/>
      <c r="R203" s="10">
        <v>45291</v>
      </c>
      <c r="S203" s="23">
        <v>4465.84</v>
      </c>
      <c r="T203" s="3">
        <v>51568988</v>
      </c>
      <c r="U203" s="3">
        <v>27708031100431</v>
      </c>
      <c r="V203" s="4" t="s">
        <v>1943</v>
      </c>
      <c r="W203" s="4"/>
      <c r="X203" s="4" t="s">
        <v>1583</v>
      </c>
      <c r="Z203" s="3">
        <f ca="1">DATEDIF(Table1[[#This Row],[تاريخ الميلاد]],TODAY(),"y")</f>
        <v>49</v>
      </c>
      <c r="AA20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49 عام 0  شهر  17  يوم </v>
      </c>
      <c r="AB20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12عام7  شهر  19  يوم </v>
      </c>
      <c r="AC203" s="10">
        <f>DATE(YEAR(Table1[[#This Row],[تاريخ الميلاد]])+60,MONTH(Table1[[#This Row],[تاريخ الميلاد]]),DAY(Table1[[#This Row],[تاريخ الميلاد]]))</f>
        <v>50255</v>
      </c>
      <c r="AD203" s="14">
        <f>DATE(YEAR(Table1[[#This Row],[معاش 01/01]])-1,MONTH(Table1[[#This Row],[تاريخ بلوغ 60 ]]),DAY(Table1[[#This Row],[تاريخ بلوغ 60 ]]))</f>
        <v>50255</v>
      </c>
      <c r="AE20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50620</v>
      </c>
      <c r="AF203" s="10" t="str">
        <f>IFERROR(IF(ISODD(MID(Table1[[#This Row],[الرقم القومي]],13,1)),"ذكر","انثي"),"")</f>
        <v>ذكر</v>
      </c>
      <c r="AG203" s="70" t="s">
        <v>2609</v>
      </c>
      <c r="AH203" s="3">
        <f>IF(MONTH(Table1[[#This Row],[تاريخ بلوغ 60 ]])&lt;&gt;1,1,0)</f>
        <v>1</v>
      </c>
      <c r="AI203" s="3">
        <f>IF(DAY(Table1[[#This Row],[تاريخ بلوغ 60 ]])&lt;&gt;1,1,0)</f>
        <v>1</v>
      </c>
      <c r="AJ203" s="4" t="s">
        <v>465</v>
      </c>
      <c r="AK203" s="4" t="s">
        <v>2636</v>
      </c>
      <c r="AL203" s="4" t="s">
        <v>1942</v>
      </c>
      <c r="AM203" s="62" t="s">
        <v>2842</v>
      </c>
      <c r="AN203" s="2">
        <v>4</v>
      </c>
      <c r="AO203" s="4" t="s">
        <v>2641</v>
      </c>
      <c r="AP203" s="74">
        <v>1055.29</v>
      </c>
      <c r="AQ203" s="4">
        <v>25</v>
      </c>
      <c r="AR203" s="4">
        <v>2</v>
      </c>
      <c r="AS203" s="4" t="s">
        <v>2696</v>
      </c>
      <c r="AT203" s="72">
        <v>4</v>
      </c>
      <c r="AU203" s="2">
        <v>6</v>
      </c>
      <c r="AV203" s="4"/>
      <c r="AW203" s="4"/>
      <c r="AX203" s="4"/>
    </row>
    <row r="204" spans="1:50" ht="15" x14ac:dyDescent="0.2">
      <c r="A204" s="3">
        <v>30417</v>
      </c>
      <c r="B204" s="1" t="s">
        <v>468</v>
      </c>
      <c r="C204" s="3">
        <v>1</v>
      </c>
      <c r="D204" s="3" t="s">
        <v>465</v>
      </c>
      <c r="E204" s="3">
        <v>3</v>
      </c>
      <c r="F204" s="3" t="s">
        <v>472</v>
      </c>
      <c r="G204" s="7" t="s">
        <v>166</v>
      </c>
      <c r="H204" s="3">
        <v>99</v>
      </c>
      <c r="I204" s="3" t="s">
        <v>1047</v>
      </c>
      <c r="J204" s="3">
        <v>18</v>
      </c>
      <c r="K204" s="3" t="s">
        <v>1529</v>
      </c>
      <c r="L204" s="3">
        <v>6</v>
      </c>
      <c r="M204" s="3" t="s">
        <v>502</v>
      </c>
      <c r="N204" s="3" t="s">
        <v>1052</v>
      </c>
      <c r="O204" s="10">
        <v>28248</v>
      </c>
      <c r="P204" s="10">
        <v>41640</v>
      </c>
      <c r="Q204" s="10"/>
      <c r="R204" s="10">
        <v>45291</v>
      </c>
      <c r="S204" s="23">
        <v>4465.84</v>
      </c>
      <c r="T204" s="3">
        <v>50083732</v>
      </c>
      <c r="U204" s="3">
        <v>27705030300152</v>
      </c>
      <c r="V204" s="4" t="s">
        <v>1945</v>
      </c>
      <c r="W204" s="4"/>
      <c r="X204" s="4" t="s">
        <v>1583</v>
      </c>
      <c r="Z204" s="3">
        <f ca="1">DATEDIF(Table1[[#This Row],[تاريخ الميلاد]],TODAY(),"y")</f>
        <v>49</v>
      </c>
      <c r="AA20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49 عام 3  شهر  17  يوم </v>
      </c>
      <c r="AB20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12عام7  شهر  19  يوم </v>
      </c>
      <c r="AC204" s="10">
        <f>DATE(YEAR(Table1[[#This Row],[تاريخ الميلاد]])+60,MONTH(Table1[[#This Row],[تاريخ الميلاد]]),DAY(Table1[[#This Row],[تاريخ الميلاد]]))</f>
        <v>50163</v>
      </c>
      <c r="AD204" s="14">
        <f>DATE(YEAR(Table1[[#This Row],[معاش 01/01]])-1,MONTH(Table1[[#This Row],[تاريخ بلوغ 60 ]]),DAY(Table1[[#This Row],[تاريخ بلوغ 60 ]]))</f>
        <v>50163</v>
      </c>
      <c r="AE20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50528</v>
      </c>
      <c r="AF204" s="10" t="str">
        <f>IFERROR(IF(ISODD(MID(Table1[[#This Row],[الرقم القومي]],13,1)),"ذكر","انثي"),"")</f>
        <v>ذكر</v>
      </c>
      <c r="AG204" s="70" t="s">
        <v>2606</v>
      </c>
      <c r="AH204" s="3">
        <f>IF(MONTH(Table1[[#This Row],[تاريخ بلوغ 60 ]])&lt;&gt;1,1,0)</f>
        <v>1</v>
      </c>
      <c r="AI204" s="3">
        <f>IF(DAY(Table1[[#This Row],[تاريخ بلوغ 60 ]])&lt;&gt;1,1,0)</f>
        <v>1</v>
      </c>
      <c r="AJ204" s="4" t="s">
        <v>465</v>
      </c>
      <c r="AK204" s="4" t="s">
        <v>2689</v>
      </c>
      <c r="AL204" s="4" t="s">
        <v>1944</v>
      </c>
      <c r="AM204" s="62" t="s">
        <v>2843</v>
      </c>
      <c r="AN204" s="2">
        <v>4</v>
      </c>
      <c r="AO204" s="4" t="s">
        <v>2641</v>
      </c>
      <c r="AP204" s="74">
        <v>1055.29</v>
      </c>
      <c r="AQ204" s="4">
        <v>25</v>
      </c>
      <c r="AR204" s="4">
        <v>3</v>
      </c>
      <c r="AS204" s="4" t="s">
        <v>2668</v>
      </c>
      <c r="AT204" s="72">
        <v>6</v>
      </c>
      <c r="AU204" s="2">
        <v>6</v>
      </c>
      <c r="AV204" s="4"/>
      <c r="AW204" s="4"/>
      <c r="AX204" s="4"/>
    </row>
    <row r="205" spans="1:50" ht="15" x14ac:dyDescent="0.2">
      <c r="A205" s="3">
        <v>30418</v>
      </c>
      <c r="B205" s="1" t="s">
        <v>468</v>
      </c>
      <c r="C205" s="3">
        <v>1</v>
      </c>
      <c r="D205" s="3" t="s">
        <v>465</v>
      </c>
      <c r="E205" s="3">
        <v>21</v>
      </c>
      <c r="F205" s="3" t="s">
        <v>474</v>
      </c>
      <c r="G205" s="7" t="s">
        <v>167</v>
      </c>
      <c r="H205" s="3">
        <v>99</v>
      </c>
      <c r="I205" s="3" t="s">
        <v>1047</v>
      </c>
      <c r="J205" s="3">
        <v>18</v>
      </c>
      <c r="K205" s="3" t="s">
        <v>1529</v>
      </c>
      <c r="L205" s="3">
        <v>6</v>
      </c>
      <c r="M205" s="3" t="s">
        <v>502</v>
      </c>
      <c r="N205" s="3" t="s">
        <v>1052</v>
      </c>
      <c r="O205" s="10">
        <v>28873</v>
      </c>
      <c r="P205" s="10">
        <v>41640</v>
      </c>
      <c r="Q205" s="10"/>
      <c r="R205" s="10">
        <v>45291</v>
      </c>
      <c r="S205" s="23">
        <v>4465.84</v>
      </c>
      <c r="T205" s="3">
        <v>51375878</v>
      </c>
      <c r="U205" s="3">
        <v>27901180300073</v>
      </c>
      <c r="V205" s="4" t="s">
        <v>1947</v>
      </c>
      <c r="W205" s="4"/>
      <c r="X205" s="4" t="s">
        <v>1583</v>
      </c>
      <c r="Z205" s="3">
        <f ca="1">DATEDIF(Table1[[#This Row],[تاريخ الميلاد]],TODAY(),"y")</f>
        <v>47</v>
      </c>
      <c r="AA20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47 عام 7  شهر  2  يوم </v>
      </c>
      <c r="AB20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12عام7  شهر  19  يوم </v>
      </c>
      <c r="AC205" s="10">
        <f>DATE(YEAR(Table1[[#This Row],[تاريخ الميلاد]])+60,MONTH(Table1[[#This Row],[تاريخ الميلاد]]),DAY(Table1[[#This Row],[تاريخ الميلاد]]))</f>
        <v>50788</v>
      </c>
      <c r="AD205" s="14">
        <f>DATE(YEAR(Table1[[#This Row],[معاش 01/01]])-1,MONTH(Table1[[#This Row],[تاريخ بلوغ 60 ]]),DAY(Table1[[#This Row],[تاريخ بلوغ 60 ]]))</f>
        <v>50788</v>
      </c>
      <c r="AE20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51153</v>
      </c>
      <c r="AF205" s="10" t="str">
        <f>IFERROR(IF(ISODD(MID(Table1[[#This Row],[الرقم القومي]],13,1)),"ذكر","انثي"),"")</f>
        <v>ذكر</v>
      </c>
      <c r="AG205" s="70" t="s">
        <v>2606</v>
      </c>
      <c r="AH205" s="3">
        <f>IF(MONTH(Table1[[#This Row],[تاريخ بلوغ 60 ]])&lt;&gt;1,1,0)</f>
        <v>0</v>
      </c>
      <c r="AI205" s="3">
        <f>IF(DAY(Table1[[#This Row],[تاريخ بلوغ 60 ]])&lt;&gt;1,1,0)</f>
        <v>1</v>
      </c>
      <c r="AJ205" s="4" t="s">
        <v>465</v>
      </c>
      <c r="AK205" s="4" t="s">
        <v>2638</v>
      </c>
      <c r="AL205" s="62" t="s">
        <v>1946</v>
      </c>
      <c r="AM205" s="62" t="s">
        <v>2844</v>
      </c>
      <c r="AN205" s="2">
        <v>4</v>
      </c>
      <c r="AO205" s="4" t="s">
        <v>2641</v>
      </c>
      <c r="AP205" s="74">
        <v>1055.29</v>
      </c>
      <c r="AQ205" s="4">
        <v>25</v>
      </c>
      <c r="AR205" s="4">
        <v>3</v>
      </c>
      <c r="AS205" s="4" t="s">
        <v>2668</v>
      </c>
      <c r="AT205" s="72">
        <v>6</v>
      </c>
      <c r="AU205" s="2">
        <v>6</v>
      </c>
      <c r="AV205" s="4"/>
      <c r="AW205" s="4"/>
      <c r="AX205" s="4"/>
    </row>
    <row r="206" spans="1:50" ht="15" x14ac:dyDescent="0.2">
      <c r="A206" s="3">
        <v>30420</v>
      </c>
      <c r="B206" s="1" t="s">
        <v>468</v>
      </c>
      <c r="C206" s="3">
        <v>1</v>
      </c>
      <c r="D206" s="3" t="s">
        <v>465</v>
      </c>
      <c r="E206" s="3">
        <v>3</v>
      </c>
      <c r="F206" s="3" t="s">
        <v>472</v>
      </c>
      <c r="G206" s="7" t="s">
        <v>168</v>
      </c>
      <c r="H206" s="3">
        <v>99</v>
      </c>
      <c r="I206" s="3" t="s">
        <v>1047</v>
      </c>
      <c r="J206" s="3">
        <v>18</v>
      </c>
      <c r="K206" s="3" t="s">
        <v>1529</v>
      </c>
      <c r="L206" s="3">
        <v>6</v>
      </c>
      <c r="M206" s="3" t="s">
        <v>502</v>
      </c>
      <c r="N206" s="3" t="s">
        <v>1052</v>
      </c>
      <c r="O206" s="10">
        <v>29145</v>
      </c>
      <c r="P206" s="10">
        <v>41640</v>
      </c>
      <c r="Q206" s="10"/>
      <c r="R206" s="10">
        <v>45291</v>
      </c>
      <c r="S206" s="23">
        <v>4597.3</v>
      </c>
      <c r="T206" s="3">
        <v>55337572</v>
      </c>
      <c r="U206" s="3">
        <v>27910170300236</v>
      </c>
      <c r="V206" s="4" t="s">
        <v>1949</v>
      </c>
      <c r="W206" s="4"/>
      <c r="X206" s="4" t="s">
        <v>1583</v>
      </c>
      <c r="Z206" s="3">
        <f ca="1">DATEDIF(Table1[[#This Row],[تاريخ الميلاد]],TODAY(),"y")</f>
        <v>46</v>
      </c>
      <c r="AA20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46 عام 10  شهر  3  يوم </v>
      </c>
      <c r="AB20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12عام7  شهر  19  يوم </v>
      </c>
      <c r="AC206" s="10">
        <f>DATE(YEAR(Table1[[#This Row],[تاريخ الميلاد]])+60,MONTH(Table1[[#This Row],[تاريخ الميلاد]]),DAY(Table1[[#This Row],[تاريخ الميلاد]]))</f>
        <v>51060</v>
      </c>
      <c r="AD206" s="14">
        <f>DATE(YEAR(Table1[[#This Row],[معاش 01/01]])-1,MONTH(Table1[[#This Row],[تاريخ بلوغ 60 ]]),DAY(Table1[[#This Row],[تاريخ بلوغ 60 ]]))</f>
        <v>51060</v>
      </c>
      <c r="AE20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51426</v>
      </c>
      <c r="AF206" s="10" t="str">
        <f>IFERROR(IF(ISODD(MID(Table1[[#This Row],[الرقم القومي]],13,1)),"ذكر","انثي"),"")</f>
        <v>ذكر</v>
      </c>
      <c r="AG206" s="70" t="s">
        <v>2606</v>
      </c>
      <c r="AH206" s="3">
        <f>IF(MONTH(Table1[[#This Row],[تاريخ بلوغ 60 ]])&lt;&gt;1,1,0)</f>
        <v>1</v>
      </c>
      <c r="AI206" s="3">
        <f>IF(DAY(Table1[[#This Row],[تاريخ بلوغ 60 ]])&lt;&gt;1,1,0)</f>
        <v>1</v>
      </c>
      <c r="AJ206" s="4" t="s">
        <v>465</v>
      </c>
      <c r="AK206" s="4" t="s">
        <v>2689</v>
      </c>
      <c r="AL206" s="62" t="s">
        <v>1948</v>
      </c>
      <c r="AM206" s="62" t="s">
        <v>2845</v>
      </c>
      <c r="AN206" s="2">
        <v>4</v>
      </c>
      <c r="AO206" s="4" t="s">
        <v>2641</v>
      </c>
      <c r="AP206" s="74">
        <v>1086.8399999999999</v>
      </c>
      <c r="AQ206" s="4">
        <v>25</v>
      </c>
      <c r="AR206" s="4">
        <v>3</v>
      </c>
      <c r="AS206" s="4" t="s">
        <v>2668</v>
      </c>
      <c r="AT206" s="72">
        <v>6</v>
      </c>
      <c r="AU206" s="2">
        <v>6</v>
      </c>
      <c r="AV206" s="4"/>
      <c r="AW206" s="4"/>
      <c r="AX206" s="4"/>
    </row>
    <row r="207" spans="1:50" ht="15" x14ac:dyDescent="0.2">
      <c r="A207" s="3">
        <v>30434</v>
      </c>
      <c r="B207" s="1" t="s">
        <v>468</v>
      </c>
      <c r="C207" s="3">
        <v>1</v>
      </c>
      <c r="D207" s="3" t="s">
        <v>465</v>
      </c>
      <c r="E207" s="3">
        <v>21</v>
      </c>
      <c r="F207" s="3" t="s">
        <v>474</v>
      </c>
      <c r="G207" s="7" t="s">
        <v>169</v>
      </c>
      <c r="H207" s="3">
        <v>99</v>
      </c>
      <c r="I207" s="3" t="s">
        <v>1047</v>
      </c>
      <c r="J207" s="3">
        <v>18</v>
      </c>
      <c r="K207" s="3" t="s">
        <v>1529</v>
      </c>
      <c r="L207" s="3">
        <v>6</v>
      </c>
      <c r="M207" s="3" t="s">
        <v>502</v>
      </c>
      <c r="N207" s="3" t="s">
        <v>1052</v>
      </c>
      <c r="O207" s="10">
        <v>28496</v>
      </c>
      <c r="P207" s="10">
        <v>41640</v>
      </c>
      <c r="Q207" s="10"/>
      <c r="R207" s="10">
        <v>45291</v>
      </c>
      <c r="S207" s="23">
        <v>4465.84</v>
      </c>
      <c r="T207" s="3">
        <v>15628966</v>
      </c>
      <c r="U207" s="3">
        <v>27801060300253</v>
      </c>
      <c r="V207" s="4" t="s">
        <v>1951</v>
      </c>
      <c r="W207" s="4"/>
      <c r="X207" s="4" t="s">
        <v>1583</v>
      </c>
      <c r="Z207" s="3">
        <f ca="1">DATEDIF(Table1[[#This Row],[تاريخ الميلاد]],TODAY(),"y")</f>
        <v>48</v>
      </c>
      <c r="AA20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48 عام 7  شهر  14  يوم </v>
      </c>
      <c r="AB20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12عام7  شهر  19  يوم </v>
      </c>
      <c r="AC207" s="10">
        <f>DATE(YEAR(Table1[[#This Row],[تاريخ الميلاد]])+60,MONTH(Table1[[#This Row],[تاريخ الميلاد]]),DAY(Table1[[#This Row],[تاريخ الميلاد]]))</f>
        <v>50411</v>
      </c>
      <c r="AD207" s="14">
        <f>DATE(YEAR(Table1[[#This Row],[معاش 01/01]])-1,MONTH(Table1[[#This Row],[تاريخ بلوغ 60 ]]),DAY(Table1[[#This Row],[تاريخ بلوغ 60 ]]))</f>
        <v>50411</v>
      </c>
      <c r="AE20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50776</v>
      </c>
      <c r="AF207" s="10" t="str">
        <f>IFERROR(IF(ISODD(MID(Table1[[#This Row],[الرقم القومي]],13,1)),"ذكر","انثي"),"")</f>
        <v>ذكر</v>
      </c>
      <c r="AG207" s="70" t="s">
        <v>2606</v>
      </c>
      <c r="AH207" s="3">
        <f>IF(MONTH(Table1[[#This Row],[تاريخ بلوغ 60 ]])&lt;&gt;1,1,0)</f>
        <v>0</v>
      </c>
      <c r="AI207" s="3">
        <f>IF(DAY(Table1[[#This Row],[تاريخ بلوغ 60 ]])&lt;&gt;1,1,0)</f>
        <v>1</v>
      </c>
      <c r="AJ207" s="4" t="s">
        <v>465</v>
      </c>
      <c r="AK207" s="4" t="s">
        <v>2666</v>
      </c>
      <c r="AL207" s="62" t="s">
        <v>1950</v>
      </c>
      <c r="AM207" s="62" t="s">
        <v>2846</v>
      </c>
      <c r="AN207" s="2">
        <v>4</v>
      </c>
      <c r="AO207" s="4" t="s">
        <v>2641</v>
      </c>
      <c r="AP207" s="74">
        <v>1055.29</v>
      </c>
      <c r="AQ207" s="4">
        <v>25</v>
      </c>
      <c r="AR207" s="4">
        <v>3</v>
      </c>
      <c r="AS207" s="4" t="s">
        <v>2668</v>
      </c>
      <c r="AT207" s="72">
        <v>6</v>
      </c>
      <c r="AU207" s="2">
        <v>6</v>
      </c>
      <c r="AV207" s="4"/>
      <c r="AW207" s="4"/>
      <c r="AX207" s="4"/>
    </row>
    <row r="208" spans="1:50" ht="15" x14ac:dyDescent="0.2">
      <c r="A208" s="3">
        <v>30436</v>
      </c>
      <c r="B208" s="1" t="s">
        <v>468</v>
      </c>
      <c r="C208" s="3">
        <v>1</v>
      </c>
      <c r="D208" s="3" t="s">
        <v>465</v>
      </c>
      <c r="E208" s="3">
        <v>21</v>
      </c>
      <c r="F208" s="3" t="s">
        <v>474</v>
      </c>
      <c r="G208" s="7" t="s">
        <v>1952</v>
      </c>
      <c r="H208" s="3">
        <v>99</v>
      </c>
      <c r="I208" s="3" t="s">
        <v>1047</v>
      </c>
      <c r="J208" s="3">
        <v>18</v>
      </c>
      <c r="K208" s="3" t="s">
        <v>1529</v>
      </c>
      <c r="L208" s="3">
        <v>6</v>
      </c>
      <c r="M208" s="3" t="s">
        <v>502</v>
      </c>
      <c r="N208" s="3" t="s">
        <v>1052</v>
      </c>
      <c r="O208" s="10">
        <v>28539</v>
      </c>
      <c r="P208" s="10">
        <v>40854</v>
      </c>
      <c r="Q208" s="10"/>
      <c r="R208" s="10">
        <v>45291</v>
      </c>
      <c r="S208" s="23">
        <v>5096.62</v>
      </c>
      <c r="T208" s="3">
        <v>28207622</v>
      </c>
      <c r="U208" s="3">
        <v>27802180300296</v>
      </c>
      <c r="V208" s="4" t="s">
        <v>1954</v>
      </c>
      <c r="W208" s="4"/>
      <c r="X208" s="4" t="s">
        <v>1583</v>
      </c>
      <c r="Z208" s="3">
        <f ca="1">DATEDIF(Table1[[#This Row],[تاريخ الميلاد]],TODAY(),"y")</f>
        <v>48</v>
      </c>
      <c r="AA20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48 عام 6  شهر  2  يوم </v>
      </c>
      <c r="AB20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14عام9  شهر  13  يوم </v>
      </c>
      <c r="AC208" s="10">
        <f>DATE(YEAR(Table1[[#This Row],[تاريخ الميلاد]])+60,MONTH(Table1[[#This Row],[تاريخ الميلاد]]),DAY(Table1[[#This Row],[تاريخ الميلاد]]))</f>
        <v>50454</v>
      </c>
      <c r="AD208" s="14">
        <f>DATE(YEAR(Table1[[#This Row],[معاش 01/01]])-1,MONTH(Table1[[#This Row],[تاريخ بلوغ 60 ]]),DAY(Table1[[#This Row],[تاريخ بلوغ 60 ]]))</f>
        <v>50454</v>
      </c>
      <c r="AE20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50819</v>
      </c>
      <c r="AF208" s="10" t="str">
        <f>IFERROR(IF(ISODD(MID(Table1[[#This Row],[الرقم القومي]],13,1)),"ذكر","انثي"),"")</f>
        <v>ذكر</v>
      </c>
      <c r="AG208" s="70" t="s">
        <v>2606</v>
      </c>
      <c r="AH208" s="3">
        <f>IF(MONTH(Table1[[#This Row],[تاريخ بلوغ 60 ]])&lt;&gt;1,1,0)</f>
        <v>1</v>
      </c>
      <c r="AI208" s="3">
        <f>IF(DAY(Table1[[#This Row],[تاريخ بلوغ 60 ]])&lt;&gt;1,1,0)</f>
        <v>1</v>
      </c>
      <c r="AJ208" s="4" t="s">
        <v>465</v>
      </c>
      <c r="AK208" s="4" t="s">
        <v>2689</v>
      </c>
      <c r="AL208" s="62" t="s">
        <v>1953</v>
      </c>
      <c r="AM208" s="62" t="s">
        <v>2847</v>
      </c>
      <c r="AN208" s="2">
        <v>4</v>
      </c>
      <c r="AO208" s="4" t="s">
        <v>2641</v>
      </c>
      <c r="AP208" s="74">
        <v>1206.6400000000001</v>
      </c>
      <c r="AQ208" s="4">
        <v>25</v>
      </c>
      <c r="AR208" s="4">
        <v>2</v>
      </c>
      <c r="AS208" s="4" t="s">
        <v>2696</v>
      </c>
      <c r="AT208" s="72">
        <v>4</v>
      </c>
      <c r="AU208" s="2">
        <v>6</v>
      </c>
      <c r="AV208" s="4"/>
      <c r="AW208" s="4"/>
      <c r="AX208" s="4"/>
    </row>
    <row r="209" spans="1:50" ht="15" x14ac:dyDescent="0.2">
      <c r="A209" s="3">
        <v>30438</v>
      </c>
      <c r="B209" s="1" t="s">
        <v>468</v>
      </c>
      <c r="C209" s="3">
        <v>1</v>
      </c>
      <c r="D209" s="3" t="s">
        <v>465</v>
      </c>
      <c r="E209" s="3">
        <v>21</v>
      </c>
      <c r="F209" s="3" t="s">
        <v>474</v>
      </c>
      <c r="G209" s="7" t="s">
        <v>170</v>
      </c>
      <c r="H209" s="3">
        <v>99</v>
      </c>
      <c r="I209" s="3" t="s">
        <v>1047</v>
      </c>
      <c r="J209" s="3">
        <v>18</v>
      </c>
      <c r="K209" s="3" t="s">
        <v>1529</v>
      </c>
      <c r="L209" s="3">
        <v>6</v>
      </c>
      <c r="M209" s="3" t="s">
        <v>502</v>
      </c>
      <c r="N209" s="3" t="s">
        <v>1052</v>
      </c>
      <c r="O209" s="10">
        <v>28297</v>
      </c>
      <c r="P209" s="10">
        <v>41640</v>
      </c>
      <c r="Q209" s="10"/>
      <c r="R209" s="10">
        <v>45291</v>
      </c>
      <c r="S209" s="23">
        <v>4465.84</v>
      </c>
      <c r="T209" s="3">
        <v>53324935</v>
      </c>
      <c r="U209" s="3">
        <v>27706210300271</v>
      </c>
      <c r="V209" s="4" t="s">
        <v>1956</v>
      </c>
      <c r="W209" s="4"/>
      <c r="X209" s="4" t="s">
        <v>1583</v>
      </c>
      <c r="Z209" s="3">
        <f ca="1">DATEDIF(Table1[[#This Row],[تاريخ الميلاد]],TODAY(),"y")</f>
        <v>49</v>
      </c>
      <c r="AA20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49 عام 1  شهر  30  يوم </v>
      </c>
      <c r="AB20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12عام7  شهر  19  يوم </v>
      </c>
      <c r="AC209" s="10">
        <f>DATE(YEAR(Table1[[#This Row],[تاريخ الميلاد]])+60,MONTH(Table1[[#This Row],[تاريخ الميلاد]]),DAY(Table1[[#This Row],[تاريخ الميلاد]]))</f>
        <v>50212</v>
      </c>
      <c r="AD209" s="14">
        <f>DATE(YEAR(Table1[[#This Row],[معاش 01/01]])-1,MONTH(Table1[[#This Row],[تاريخ بلوغ 60 ]]),DAY(Table1[[#This Row],[تاريخ بلوغ 60 ]]))</f>
        <v>50212</v>
      </c>
      <c r="AE20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50577</v>
      </c>
      <c r="AF209" s="10" t="str">
        <f>IFERROR(IF(ISODD(MID(Table1[[#This Row],[الرقم القومي]],13,1)),"ذكر","انثي"),"")</f>
        <v>ذكر</v>
      </c>
      <c r="AG209" s="70" t="s">
        <v>2606</v>
      </c>
      <c r="AH209" s="3">
        <f>IF(MONTH(Table1[[#This Row],[تاريخ بلوغ 60 ]])&lt;&gt;1,1,0)</f>
        <v>1</v>
      </c>
      <c r="AI209" s="3">
        <f>IF(DAY(Table1[[#This Row],[تاريخ بلوغ 60 ]])&lt;&gt;1,1,0)</f>
        <v>1</v>
      </c>
      <c r="AJ209" s="4" t="s">
        <v>465</v>
      </c>
      <c r="AK209" s="4" t="s">
        <v>2666</v>
      </c>
      <c r="AL209" s="62" t="s">
        <v>1955</v>
      </c>
      <c r="AM209" s="62" t="s">
        <v>2848</v>
      </c>
      <c r="AN209" s="2">
        <v>4</v>
      </c>
      <c r="AO209" s="4" t="s">
        <v>2641</v>
      </c>
      <c r="AP209" s="74">
        <v>1055.29</v>
      </c>
      <c r="AQ209" s="4">
        <v>25</v>
      </c>
      <c r="AR209" s="4">
        <v>3</v>
      </c>
      <c r="AS209" s="4" t="s">
        <v>2668</v>
      </c>
      <c r="AT209" s="72">
        <v>6</v>
      </c>
      <c r="AU209" s="2">
        <v>6</v>
      </c>
      <c r="AV209" s="4"/>
      <c r="AW209" s="4"/>
      <c r="AX209" s="4"/>
    </row>
    <row r="210" spans="1:50" ht="15" x14ac:dyDescent="0.2">
      <c r="A210" s="3">
        <v>30442</v>
      </c>
      <c r="B210" s="1" t="s">
        <v>468</v>
      </c>
      <c r="C210" s="3">
        <v>1</v>
      </c>
      <c r="D210" s="3" t="s">
        <v>465</v>
      </c>
      <c r="E210" s="3">
        <v>21</v>
      </c>
      <c r="F210" s="3" t="s">
        <v>474</v>
      </c>
      <c r="G210" s="7" t="s">
        <v>171</v>
      </c>
      <c r="H210" s="3">
        <v>99</v>
      </c>
      <c r="I210" s="3" t="s">
        <v>1047</v>
      </c>
      <c r="J210" s="3">
        <v>18</v>
      </c>
      <c r="K210" s="3" t="s">
        <v>1529</v>
      </c>
      <c r="L210" s="3">
        <v>6</v>
      </c>
      <c r="M210" s="3" t="s">
        <v>502</v>
      </c>
      <c r="N210" s="3" t="s">
        <v>1052</v>
      </c>
      <c r="O210" s="10">
        <v>28895</v>
      </c>
      <c r="P210" s="10">
        <v>41640</v>
      </c>
      <c r="Q210" s="10"/>
      <c r="R210" s="10">
        <v>45291</v>
      </c>
      <c r="S210" s="23">
        <v>4465.84</v>
      </c>
      <c r="T210" s="3">
        <v>15467806</v>
      </c>
      <c r="U210" s="3">
        <v>27902090300275</v>
      </c>
      <c r="V210" s="4" t="s">
        <v>1958</v>
      </c>
      <c r="W210" s="4"/>
      <c r="X210" s="4" t="s">
        <v>1583</v>
      </c>
      <c r="Z210" s="3">
        <f ca="1">DATEDIF(Table1[[#This Row],[تاريخ الميلاد]],TODAY(),"y")</f>
        <v>47</v>
      </c>
      <c r="AA21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47 عام 6  شهر  11  يوم </v>
      </c>
      <c r="AB21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12عام7  شهر  19  يوم </v>
      </c>
      <c r="AC210" s="10">
        <f>DATE(YEAR(Table1[[#This Row],[تاريخ الميلاد]])+60,MONTH(Table1[[#This Row],[تاريخ الميلاد]]),DAY(Table1[[#This Row],[تاريخ الميلاد]]))</f>
        <v>50810</v>
      </c>
      <c r="AD210" s="14">
        <f>DATE(YEAR(Table1[[#This Row],[معاش 01/01]])-1,MONTH(Table1[[#This Row],[تاريخ بلوغ 60 ]]),DAY(Table1[[#This Row],[تاريخ بلوغ 60 ]]))</f>
        <v>50810</v>
      </c>
      <c r="AE21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51175</v>
      </c>
      <c r="AF210" s="10" t="str">
        <f>IFERROR(IF(ISODD(MID(Table1[[#This Row],[الرقم القومي]],13,1)),"ذكر","انثي"),"")</f>
        <v>ذكر</v>
      </c>
      <c r="AG210" s="70" t="s">
        <v>2606</v>
      </c>
      <c r="AH210" s="3">
        <f>IF(MONTH(Table1[[#This Row],[تاريخ بلوغ 60 ]])&lt;&gt;1,1,0)</f>
        <v>1</v>
      </c>
      <c r="AI210" s="3">
        <f>IF(DAY(Table1[[#This Row],[تاريخ بلوغ 60 ]])&lt;&gt;1,1,0)</f>
        <v>1</v>
      </c>
      <c r="AJ210" s="4" t="s">
        <v>465</v>
      </c>
      <c r="AK210" s="4" t="s">
        <v>2689</v>
      </c>
      <c r="AL210" s="62" t="s">
        <v>1957</v>
      </c>
      <c r="AM210" s="62" t="s">
        <v>2849</v>
      </c>
      <c r="AN210" s="2">
        <v>1</v>
      </c>
      <c r="AO210" s="4" t="s">
        <v>2641</v>
      </c>
      <c r="AP210" s="74">
        <v>527.65</v>
      </c>
      <c r="AQ210" s="4">
        <v>12.5</v>
      </c>
      <c r="AR210" s="4">
        <v>3</v>
      </c>
      <c r="AS210" s="4" t="s">
        <v>2668</v>
      </c>
      <c r="AT210" s="72">
        <v>6</v>
      </c>
      <c r="AU210" s="2">
        <v>6</v>
      </c>
      <c r="AV210" s="4"/>
      <c r="AW210" s="4"/>
      <c r="AX210" s="4"/>
    </row>
    <row r="211" spans="1:50" ht="15" x14ac:dyDescent="0.2">
      <c r="A211" s="3">
        <v>30447</v>
      </c>
      <c r="B211" s="1" t="s">
        <v>468</v>
      </c>
      <c r="C211" s="3">
        <v>1</v>
      </c>
      <c r="D211" s="3" t="s">
        <v>465</v>
      </c>
      <c r="E211" s="3">
        <v>21</v>
      </c>
      <c r="F211" s="3" t="s">
        <v>474</v>
      </c>
      <c r="G211" s="7" t="s">
        <v>172</v>
      </c>
      <c r="H211" s="3">
        <v>99</v>
      </c>
      <c r="I211" s="3" t="s">
        <v>1047</v>
      </c>
      <c r="J211" s="3">
        <v>18</v>
      </c>
      <c r="K211" s="3" t="s">
        <v>1529</v>
      </c>
      <c r="L211" s="3">
        <v>6</v>
      </c>
      <c r="M211" s="3" t="s">
        <v>502</v>
      </c>
      <c r="N211" s="3" t="s">
        <v>1052</v>
      </c>
      <c r="O211" s="10">
        <v>29226</v>
      </c>
      <c r="P211" s="10">
        <v>41640</v>
      </c>
      <c r="Q211" s="10"/>
      <c r="R211" s="10">
        <v>45291</v>
      </c>
      <c r="S211" s="23">
        <v>4465.84</v>
      </c>
      <c r="T211" s="3">
        <v>54227042</v>
      </c>
      <c r="U211" s="3">
        <v>28001060300315</v>
      </c>
      <c r="V211" s="4" t="s">
        <v>1960</v>
      </c>
      <c r="W211" s="4"/>
      <c r="X211" s="4" t="s">
        <v>1583</v>
      </c>
      <c r="Z211" s="3">
        <f ca="1">DATEDIF(Table1[[#This Row],[تاريخ الميلاد]],TODAY(),"y")</f>
        <v>46</v>
      </c>
      <c r="AA21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46 عام 7  شهر  14  يوم </v>
      </c>
      <c r="AB21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12عام7  شهر  19  يوم </v>
      </c>
      <c r="AC211" s="10">
        <f>DATE(YEAR(Table1[[#This Row],[تاريخ الميلاد]])+60,MONTH(Table1[[#This Row],[تاريخ الميلاد]]),DAY(Table1[[#This Row],[تاريخ الميلاد]]))</f>
        <v>51141</v>
      </c>
      <c r="AD211" s="14">
        <f>DATE(YEAR(Table1[[#This Row],[معاش 01/01]])-1,MONTH(Table1[[#This Row],[تاريخ بلوغ 60 ]]),DAY(Table1[[#This Row],[تاريخ بلوغ 60 ]]))</f>
        <v>51141</v>
      </c>
      <c r="AE21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51507</v>
      </c>
      <c r="AF211" s="10" t="str">
        <f>IFERROR(IF(ISODD(MID(Table1[[#This Row],[الرقم القومي]],13,1)),"ذكر","انثي"),"")</f>
        <v>ذكر</v>
      </c>
      <c r="AG211" s="70" t="s">
        <v>2606</v>
      </c>
      <c r="AH211" s="3">
        <f>IF(MONTH(Table1[[#This Row],[تاريخ بلوغ 60 ]])&lt;&gt;1,1,0)</f>
        <v>0</v>
      </c>
      <c r="AI211" s="3">
        <f>IF(DAY(Table1[[#This Row],[تاريخ بلوغ 60 ]])&lt;&gt;1,1,0)</f>
        <v>1</v>
      </c>
      <c r="AJ211" s="4" t="s">
        <v>465</v>
      </c>
      <c r="AK211" s="4" t="s">
        <v>2636</v>
      </c>
      <c r="AL211" s="62" t="s">
        <v>1959</v>
      </c>
      <c r="AM211" s="62" t="s">
        <v>2850</v>
      </c>
      <c r="AN211" s="2">
        <v>4</v>
      </c>
      <c r="AO211" s="4" t="s">
        <v>2641</v>
      </c>
      <c r="AP211" s="74">
        <v>1055.29</v>
      </c>
      <c r="AQ211" s="4">
        <v>25</v>
      </c>
      <c r="AR211" s="4">
        <v>8</v>
      </c>
      <c r="AS211" s="4" t="s">
        <v>2851</v>
      </c>
      <c r="AT211" s="72">
        <v>2</v>
      </c>
      <c r="AU211" s="2">
        <v>6</v>
      </c>
      <c r="AV211" s="4"/>
      <c r="AW211" s="4"/>
      <c r="AX211" s="4"/>
    </row>
    <row r="212" spans="1:50" ht="15" x14ac:dyDescent="0.2">
      <c r="A212" s="3">
        <v>30448</v>
      </c>
      <c r="B212" s="1" t="s">
        <v>468</v>
      </c>
      <c r="C212" s="3">
        <v>1</v>
      </c>
      <c r="D212" s="3" t="s">
        <v>465</v>
      </c>
      <c r="E212" s="3">
        <v>21</v>
      </c>
      <c r="F212" s="3" t="s">
        <v>474</v>
      </c>
      <c r="G212" s="7" t="s">
        <v>173</v>
      </c>
      <c r="H212" s="3">
        <v>99</v>
      </c>
      <c r="I212" s="3" t="s">
        <v>1047</v>
      </c>
      <c r="J212" s="3">
        <v>18</v>
      </c>
      <c r="K212" s="3" t="s">
        <v>1529</v>
      </c>
      <c r="L212" s="3">
        <v>6</v>
      </c>
      <c r="M212" s="3" t="s">
        <v>502</v>
      </c>
      <c r="N212" s="3" t="s">
        <v>1052</v>
      </c>
      <c r="O212" s="10">
        <v>28807</v>
      </c>
      <c r="P212" s="10">
        <v>41640</v>
      </c>
      <c r="Q212" s="10"/>
      <c r="R212" s="10">
        <v>45291</v>
      </c>
      <c r="S212" s="23">
        <v>4465.84</v>
      </c>
      <c r="T212" s="3">
        <v>5892289</v>
      </c>
      <c r="U212" s="3">
        <v>27811130300278</v>
      </c>
      <c r="V212" s="4" t="s">
        <v>1962</v>
      </c>
      <c r="W212" s="4"/>
      <c r="X212" s="4" t="s">
        <v>1583</v>
      </c>
      <c r="Z212" s="3">
        <f ca="1">DATEDIF(Table1[[#This Row],[تاريخ الميلاد]],TODAY(),"y")</f>
        <v>47</v>
      </c>
      <c r="AA21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47 عام 9  شهر  7  يوم </v>
      </c>
      <c r="AB21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12عام7  شهر  19  يوم </v>
      </c>
      <c r="AC212" s="10">
        <f>DATE(YEAR(Table1[[#This Row],[تاريخ الميلاد]])+60,MONTH(Table1[[#This Row],[تاريخ الميلاد]]),DAY(Table1[[#This Row],[تاريخ الميلاد]]))</f>
        <v>50722</v>
      </c>
      <c r="AD212" s="14">
        <f>DATE(YEAR(Table1[[#This Row],[معاش 01/01]])-1,MONTH(Table1[[#This Row],[تاريخ بلوغ 60 ]]),DAY(Table1[[#This Row],[تاريخ بلوغ 60 ]]))</f>
        <v>50722</v>
      </c>
      <c r="AE21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51087</v>
      </c>
      <c r="AF212" s="10" t="str">
        <f>IFERROR(IF(ISODD(MID(Table1[[#This Row],[الرقم القومي]],13,1)),"ذكر","انثي"),"")</f>
        <v>ذكر</v>
      </c>
      <c r="AG212" s="70" t="s">
        <v>2606</v>
      </c>
      <c r="AH212" s="3">
        <f>IF(MONTH(Table1[[#This Row],[تاريخ بلوغ 60 ]])&lt;&gt;1,1,0)</f>
        <v>1</v>
      </c>
      <c r="AI212" s="3">
        <f>IF(DAY(Table1[[#This Row],[تاريخ بلوغ 60 ]])&lt;&gt;1,1,0)</f>
        <v>1</v>
      </c>
      <c r="AJ212" s="4" t="s">
        <v>465</v>
      </c>
      <c r="AK212" s="4" t="s">
        <v>2636</v>
      </c>
      <c r="AL212" s="62" t="s">
        <v>1961</v>
      </c>
      <c r="AM212" s="62" t="s">
        <v>2852</v>
      </c>
      <c r="AN212" s="2">
        <v>4</v>
      </c>
      <c r="AO212" s="4" t="s">
        <v>2641</v>
      </c>
      <c r="AP212" s="74">
        <v>1055.29</v>
      </c>
      <c r="AQ212" s="4">
        <v>25</v>
      </c>
      <c r="AR212" s="4">
        <v>3</v>
      </c>
      <c r="AS212" s="4" t="s">
        <v>2668</v>
      </c>
      <c r="AT212" s="72">
        <v>6</v>
      </c>
      <c r="AU212" s="2">
        <v>6</v>
      </c>
      <c r="AV212" s="4"/>
      <c r="AW212" s="4"/>
      <c r="AX212" s="4"/>
    </row>
    <row r="213" spans="1:50" ht="15" x14ac:dyDescent="0.2">
      <c r="A213" s="3">
        <v>31149</v>
      </c>
      <c r="B213" s="1" t="s">
        <v>468</v>
      </c>
      <c r="C213" s="3">
        <v>1</v>
      </c>
      <c r="D213" s="3" t="s">
        <v>465</v>
      </c>
      <c r="E213" s="3">
        <v>21</v>
      </c>
      <c r="F213" s="3" t="s">
        <v>474</v>
      </c>
      <c r="G213" s="7" t="s">
        <v>174</v>
      </c>
      <c r="H213" s="3">
        <v>99</v>
      </c>
      <c r="I213" s="3" t="s">
        <v>1047</v>
      </c>
      <c r="J213" s="3">
        <v>18</v>
      </c>
      <c r="K213" s="3" t="s">
        <v>1529</v>
      </c>
      <c r="L213" s="3">
        <v>6</v>
      </c>
      <c r="M213" s="3" t="s">
        <v>502</v>
      </c>
      <c r="N213" s="3" t="s">
        <v>1052</v>
      </c>
      <c r="O213" s="10">
        <v>28970</v>
      </c>
      <c r="P213" s="10">
        <v>41584</v>
      </c>
      <c r="Q213" s="10"/>
      <c r="R213" s="10">
        <v>46022</v>
      </c>
      <c r="S213" s="23">
        <v>4465.8500000000004</v>
      </c>
      <c r="T213" s="3">
        <v>5529862</v>
      </c>
      <c r="U213" s="3">
        <v>27904250200151</v>
      </c>
      <c r="V213" s="4" t="s">
        <v>1964</v>
      </c>
      <c r="W213" s="4"/>
      <c r="X213" s="4" t="s">
        <v>1583</v>
      </c>
      <c r="Z213" s="3">
        <f ca="1">DATEDIF(Table1[[#This Row],[تاريخ الميلاد]],TODAY(),"y")</f>
        <v>47</v>
      </c>
      <c r="AA21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47 عام 3  شهر  26  يوم </v>
      </c>
      <c r="AB21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12عام9  شهر  14  يوم </v>
      </c>
      <c r="AC213" s="10">
        <f>DATE(YEAR(Table1[[#This Row],[تاريخ الميلاد]])+60,MONTH(Table1[[#This Row],[تاريخ الميلاد]]),DAY(Table1[[#This Row],[تاريخ الميلاد]]))</f>
        <v>50885</v>
      </c>
      <c r="AD213" s="14">
        <f>DATE(YEAR(Table1[[#This Row],[معاش 01/01]])-1,MONTH(Table1[[#This Row],[تاريخ بلوغ 60 ]]),DAY(Table1[[#This Row],[تاريخ بلوغ 60 ]]))</f>
        <v>50885</v>
      </c>
      <c r="AE21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51251</v>
      </c>
      <c r="AF213" s="10" t="str">
        <f>IFERROR(IF(ISODD(MID(Table1[[#This Row],[الرقم القومي]],13,1)),"ذكر","انثي"),"")</f>
        <v>ذكر</v>
      </c>
      <c r="AG213" s="70" t="s">
        <v>2605</v>
      </c>
      <c r="AH213" s="3">
        <f>IF(MONTH(Table1[[#This Row],[تاريخ بلوغ 60 ]])&lt;&gt;1,1,0)</f>
        <v>1</v>
      </c>
      <c r="AI213" s="3">
        <f>IF(DAY(Table1[[#This Row],[تاريخ بلوغ 60 ]])&lt;&gt;1,1,0)</f>
        <v>1</v>
      </c>
      <c r="AJ213" s="4" t="s">
        <v>465</v>
      </c>
      <c r="AK213" s="4" t="s">
        <v>2636</v>
      </c>
      <c r="AL213" s="62" t="s">
        <v>1963</v>
      </c>
      <c r="AM213" s="62" t="s">
        <v>2853</v>
      </c>
      <c r="AN213" s="2">
        <v>4</v>
      </c>
      <c r="AO213" s="4" t="s">
        <v>2641</v>
      </c>
      <c r="AP213" s="74">
        <v>1058.23</v>
      </c>
      <c r="AQ213" s="4">
        <v>25</v>
      </c>
      <c r="AR213" s="4">
        <v>3</v>
      </c>
      <c r="AS213" s="4" t="s">
        <v>2668</v>
      </c>
      <c r="AT213" s="72">
        <v>6</v>
      </c>
      <c r="AU213" s="2">
        <v>6</v>
      </c>
      <c r="AV213" s="4"/>
      <c r="AW213" s="4"/>
      <c r="AX213" s="4"/>
    </row>
    <row r="214" spans="1:50" ht="15" x14ac:dyDescent="0.2">
      <c r="A214" s="3">
        <v>31157</v>
      </c>
      <c r="B214" s="1" t="s">
        <v>468</v>
      </c>
      <c r="C214" s="3">
        <v>1</v>
      </c>
      <c r="D214" s="3" t="s">
        <v>465</v>
      </c>
      <c r="E214" s="3">
        <v>21</v>
      </c>
      <c r="F214" s="3" t="s">
        <v>474</v>
      </c>
      <c r="G214" s="7" t="s">
        <v>175</v>
      </c>
      <c r="H214" s="3">
        <v>99</v>
      </c>
      <c r="I214" s="3" t="s">
        <v>1047</v>
      </c>
      <c r="J214" s="3">
        <v>18</v>
      </c>
      <c r="K214" s="3" t="s">
        <v>1529</v>
      </c>
      <c r="L214" s="3">
        <v>6</v>
      </c>
      <c r="M214" s="3" t="s">
        <v>502</v>
      </c>
      <c r="N214" s="3" t="s">
        <v>1052</v>
      </c>
      <c r="O214" s="10">
        <v>28887</v>
      </c>
      <c r="P214" s="10">
        <v>42370</v>
      </c>
      <c r="Q214" s="10"/>
      <c r="R214" s="10">
        <v>46022</v>
      </c>
      <c r="S214" s="23">
        <v>4254.76</v>
      </c>
      <c r="T214" s="3">
        <v>52962660</v>
      </c>
      <c r="U214" s="3">
        <v>27902011201551</v>
      </c>
      <c r="V214" s="4" t="s">
        <v>1966</v>
      </c>
      <c r="W214" s="4"/>
      <c r="X214" s="4" t="s">
        <v>1583</v>
      </c>
      <c r="Z214" s="3">
        <f ca="1">DATEDIF(Table1[[#This Row],[تاريخ الميلاد]],TODAY(),"y")</f>
        <v>47</v>
      </c>
      <c r="AA21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47 عام 6  شهر  19  يوم </v>
      </c>
      <c r="AB21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10عام7  شهر  19  يوم </v>
      </c>
      <c r="AC214" s="10">
        <f>DATE(YEAR(Table1[[#This Row],[تاريخ الميلاد]])+60,MONTH(Table1[[#This Row],[تاريخ الميلاد]]),DAY(Table1[[#This Row],[تاريخ الميلاد]]))</f>
        <v>50802</v>
      </c>
      <c r="AD214" s="14">
        <f>DATE(YEAR(Table1[[#This Row],[معاش 01/01]])-1,MONTH(Table1[[#This Row],[تاريخ بلوغ 60 ]]),DAY(Table1[[#This Row],[تاريخ بلوغ 60 ]]))</f>
        <v>50802</v>
      </c>
      <c r="AE21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51167</v>
      </c>
      <c r="AF214" s="10" t="str">
        <f>IFERROR(IF(ISODD(MID(Table1[[#This Row],[الرقم القومي]],13,1)),"ذكر","انثي"),"")</f>
        <v>ذكر</v>
      </c>
      <c r="AG214" s="70" t="s">
        <v>1635</v>
      </c>
      <c r="AH214" s="3">
        <f>IF(MONTH(Table1[[#This Row],[تاريخ بلوغ 60 ]])&lt;&gt;1,1,0)</f>
        <v>1</v>
      </c>
      <c r="AI214" s="3">
        <f>IF(DAY(Table1[[#This Row],[تاريخ بلوغ 60 ]])&lt;&gt;1,1,0)</f>
        <v>0</v>
      </c>
      <c r="AJ214" s="4" t="s">
        <v>465</v>
      </c>
      <c r="AK214" s="4" t="s">
        <v>2636</v>
      </c>
      <c r="AL214" s="62" t="s">
        <v>1965</v>
      </c>
      <c r="AM214" s="62" t="s">
        <v>2854</v>
      </c>
      <c r="AN214" s="2">
        <v>4</v>
      </c>
      <c r="AO214" s="4" t="s">
        <v>2641</v>
      </c>
      <c r="AP214" s="74">
        <v>1007.45</v>
      </c>
      <c r="AQ214" s="4">
        <v>25</v>
      </c>
      <c r="AR214" s="4">
        <v>3</v>
      </c>
      <c r="AS214" s="4" t="s">
        <v>2668</v>
      </c>
      <c r="AT214" s="72">
        <v>6</v>
      </c>
      <c r="AU214" s="2">
        <v>6</v>
      </c>
      <c r="AV214" s="4"/>
      <c r="AW214" s="4"/>
      <c r="AX214" s="4"/>
    </row>
    <row r="215" spans="1:50" ht="15" x14ac:dyDescent="0.2">
      <c r="A215" s="3">
        <v>31162</v>
      </c>
      <c r="B215" s="1" t="s">
        <v>468</v>
      </c>
      <c r="C215" s="3">
        <v>1</v>
      </c>
      <c r="D215" s="3" t="s">
        <v>465</v>
      </c>
      <c r="E215" s="3">
        <v>21</v>
      </c>
      <c r="F215" s="3" t="s">
        <v>474</v>
      </c>
      <c r="G215" s="7" t="s">
        <v>176</v>
      </c>
      <c r="H215" s="3">
        <v>99</v>
      </c>
      <c r="I215" s="3" t="s">
        <v>1047</v>
      </c>
      <c r="J215" s="3">
        <v>18</v>
      </c>
      <c r="K215" s="3" t="s">
        <v>1529</v>
      </c>
      <c r="L215" s="3">
        <v>6</v>
      </c>
      <c r="M215" s="3" t="s">
        <v>502</v>
      </c>
      <c r="N215" s="3" t="s">
        <v>1052</v>
      </c>
      <c r="O215" s="10">
        <v>29547</v>
      </c>
      <c r="P215" s="10">
        <v>42370</v>
      </c>
      <c r="Q215" s="10"/>
      <c r="R215" s="10">
        <v>46022</v>
      </c>
      <c r="S215" s="23">
        <v>4123.28</v>
      </c>
      <c r="T215" s="3">
        <v>16588068</v>
      </c>
      <c r="U215" s="3">
        <v>28011220300258</v>
      </c>
      <c r="V215" s="4" t="s">
        <v>1968</v>
      </c>
      <c r="W215" s="4"/>
      <c r="X215" s="4" t="s">
        <v>1583</v>
      </c>
      <c r="Z215" s="3">
        <f ca="1">DATEDIF(Table1[[#This Row],[تاريخ الميلاد]],TODAY(),"y")</f>
        <v>45</v>
      </c>
      <c r="AA21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45 عام 8  شهر  29  يوم </v>
      </c>
      <c r="AB21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10عام7  شهر  19  يوم </v>
      </c>
      <c r="AC215" s="10">
        <f>DATE(YEAR(Table1[[#This Row],[تاريخ الميلاد]])+60,MONTH(Table1[[#This Row],[تاريخ الميلاد]]),DAY(Table1[[#This Row],[تاريخ الميلاد]]))</f>
        <v>51462</v>
      </c>
      <c r="AD215" s="14">
        <f>DATE(YEAR(Table1[[#This Row],[معاش 01/01]])-1,MONTH(Table1[[#This Row],[تاريخ بلوغ 60 ]]),DAY(Table1[[#This Row],[تاريخ بلوغ 60 ]]))</f>
        <v>51462</v>
      </c>
      <c r="AE21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51827</v>
      </c>
      <c r="AF215" s="10" t="str">
        <f>IFERROR(IF(ISODD(MID(Table1[[#This Row],[الرقم القومي]],13,1)),"ذكر","انثي"),"")</f>
        <v>ذكر</v>
      </c>
      <c r="AG215" s="70" t="s">
        <v>2606</v>
      </c>
      <c r="AH215" s="3">
        <f>IF(MONTH(Table1[[#This Row],[تاريخ بلوغ 60 ]])&lt;&gt;1,1,0)</f>
        <v>1</v>
      </c>
      <c r="AI215" s="3">
        <f>IF(DAY(Table1[[#This Row],[تاريخ بلوغ 60 ]])&lt;&gt;1,1,0)</f>
        <v>1</v>
      </c>
      <c r="AJ215" s="4" t="s">
        <v>465</v>
      </c>
      <c r="AK215" s="4" t="s">
        <v>2666</v>
      </c>
      <c r="AL215" s="62" t="s">
        <v>1967</v>
      </c>
      <c r="AM215" s="62" t="s">
        <v>2855</v>
      </c>
      <c r="AN215" s="2">
        <v>4</v>
      </c>
      <c r="AO215" s="4" t="s">
        <v>2641</v>
      </c>
      <c r="AP215" s="74">
        <v>975.81</v>
      </c>
      <c r="AQ215" s="4">
        <v>25</v>
      </c>
      <c r="AR215" s="4">
        <v>3</v>
      </c>
      <c r="AS215" s="4" t="s">
        <v>2668</v>
      </c>
      <c r="AT215" s="72">
        <v>6</v>
      </c>
      <c r="AU215" s="2">
        <v>6</v>
      </c>
      <c r="AV215" s="4"/>
      <c r="AW215" s="4"/>
      <c r="AX215" s="4"/>
    </row>
    <row r="216" spans="1:50" ht="15" x14ac:dyDescent="0.2">
      <c r="A216" s="3">
        <v>31163</v>
      </c>
      <c r="B216" s="1" t="s">
        <v>468</v>
      </c>
      <c r="C216" s="3">
        <v>1</v>
      </c>
      <c r="D216" s="3" t="s">
        <v>465</v>
      </c>
      <c r="E216" s="3">
        <v>3</v>
      </c>
      <c r="F216" s="3" t="s">
        <v>472</v>
      </c>
      <c r="G216" s="7" t="s">
        <v>177</v>
      </c>
      <c r="H216" s="3">
        <v>99</v>
      </c>
      <c r="I216" s="3" t="s">
        <v>1047</v>
      </c>
      <c r="J216" s="3">
        <v>18</v>
      </c>
      <c r="K216" s="3" t="s">
        <v>1529</v>
      </c>
      <c r="L216" s="3">
        <v>6</v>
      </c>
      <c r="M216" s="3" t="s">
        <v>502</v>
      </c>
      <c r="N216" s="3" t="s">
        <v>1052</v>
      </c>
      <c r="O216" s="10">
        <v>28955</v>
      </c>
      <c r="P216" s="10">
        <v>42370</v>
      </c>
      <c r="Q216" s="10"/>
      <c r="R216" s="10">
        <v>46022</v>
      </c>
      <c r="S216" s="23">
        <v>4123.28</v>
      </c>
      <c r="T216" s="3">
        <v>13242694</v>
      </c>
      <c r="U216" s="3">
        <v>27904100300336</v>
      </c>
      <c r="V216" s="4" t="s">
        <v>1970</v>
      </c>
      <c r="W216" s="4"/>
      <c r="X216" s="4" t="s">
        <v>1583</v>
      </c>
      <c r="Z216" s="3">
        <f ca="1">DATEDIF(Table1[[#This Row],[تاريخ الميلاد]],TODAY(),"y")</f>
        <v>47</v>
      </c>
      <c r="AA21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47 عام 4  شهر  10  يوم </v>
      </c>
      <c r="AB21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10عام7  شهر  19  يوم </v>
      </c>
      <c r="AC216" s="10">
        <f>DATE(YEAR(Table1[[#This Row],[تاريخ الميلاد]])+60,MONTH(Table1[[#This Row],[تاريخ الميلاد]]),DAY(Table1[[#This Row],[تاريخ الميلاد]]))</f>
        <v>50870</v>
      </c>
      <c r="AD216" s="14">
        <f>DATE(YEAR(Table1[[#This Row],[معاش 01/01]])-1,MONTH(Table1[[#This Row],[تاريخ بلوغ 60 ]]),DAY(Table1[[#This Row],[تاريخ بلوغ 60 ]]))</f>
        <v>50870</v>
      </c>
      <c r="AE21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51236</v>
      </c>
      <c r="AF216" s="10" t="str">
        <f>IFERROR(IF(ISODD(MID(Table1[[#This Row],[الرقم القومي]],13,1)),"ذكر","انثي"),"")</f>
        <v>ذكر</v>
      </c>
      <c r="AG216" s="70" t="s">
        <v>2606</v>
      </c>
      <c r="AH216" s="3">
        <f>IF(MONTH(Table1[[#This Row],[تاريخ بلوغ 60 ]])&lt;&gt;1,1,0)</f>
        <v>1</v>
      </c>
      <c r="AI216" s="3">
        <f>IF(DAY(Table1[[#This Row],[تاريخ بلوغ 60 ]])&lt;&gt;1,1,0)</f>
        <v>1</v>
      </c>
      <c r="AJ216" s="4" t="s">
        <v>465</v>
      </c>
      <c r="AK216" s="4" t="s">
        <v>2636</v>
      </c>
      <c r="AL216" s="62" t="s">
        <v>1969</v>
      </c>
      <c r="AM216" s="62" t="s">
        <v>2856</v>
      </c>
      <c r="AN216" s="2">
        <v>4</v>
      </c>
      <c r="AO216" s="4" t="s">
        <v>2641</v>
      </c>
      <c r="AP216" s="74">
        <v>975.81</v>
      </c>
      <c r="AQ216" s="4">
        <v>25</v>
      </c>
      <c r="AR216" s="4">
        <v>9</v>
      </c>
      <c r="AS216" s="4" t="s">
        <v>2781</v>
      </c>
      <c r="AT216" s="72">
        <v>4</v>
      </c>
      <c r="AU216" s="2">
        <v>6</v>
      </c>
      <c r="AV216" s="4"/>
      <c r="AW216" s="4"/>
      <c r="AX216" s="4"/>
    </row>
    <row r="217" spans="1:50" ht="15" x14ac:dyDescent="0.2">
      <c r="A217" s="3">
        <v>31166</v>
      </c>
      <c r="B217" s="1" t="s">
        <v>468</v>
      </c>
      <c r="C217" s="3">
        <v>1</v>
      </c>
      <c r="D217" s="3" t="s">
        <v>465</v>
      </c>
      <c r="E217" s="3">
        <v>21</v>
      </c>
      <c r="F217" s="3" t="s">
        <v>474</v>
      </c>
      <c r="G217" s="7" t="s">
        <v>178</v>
      </c>
      <c r="H217" s="3">
        <v>99</v>
      </c>
      <c r="I217" s="3" t="s">
        <v>1047</v>
      </c>
      <c r="J217" s="3">
        <v>18</v>
      </c>
      <c r="K217" s="3" t="s">
        <v>1529</v>
      </c>
      <c r="L217" s="3">
        <v>6</v>
      </c>
      <c r="M217" s="3" t="s">
        <v>502</v>
      </c>
      <c r="N217" s="3" t="s">
        <v>1052</v>
      </c>
      <c r="O217" s="10">
        <v>29281</v>
      </c>
      <c r="P217" s="10">
        <v>42370</v>
      </c>
      <c r="Q217" s="10"/>
      <c r="R217" s="10">
        <v>46022</v>
      </c>
      <c r="S217" s="23">
        <v>4123.28</v>
      </c>
      <c r="T217" s="3">
        <v>6943790</v>
      </c>
      <c r="U217" s="3">
        <v>28003010300236</v>
      </c>
      <c r="V217" s="4" t="s">
        <v>1972</v>
      </c>
      <c r="W217" s="4"/>
      <c r="X217" s="4" t="s">
        <v>1583</v>
      </c>
      <c r="Z217" s="3">
        <f ca="1">DATEDIF(Table1[[#This Row],[تاريخ الميلاد]],TODAY(),"y")</f>
        <v>46</v>
      </c>
      <c r="AA21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46 عام 5  شهر  19  يوم </v>
      </c>
      <c r="AB21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10عام7  شهر  19  يوم </v>
      </c>
      <c r="AC217" s="10">
        <f>DATE(YEAR(Table1[[#This Row],[تاريخ الميلاد]])+60,MONTH(Table1[[#This Row],[تاريخ الميلاد]]),DAY(Table1[[#This Row],[تاريخ الميلاد]]))</f>
        <v>51196</v>
      </c>
      <c r="AD217" s="14">
        <f>DATE(YEAR(Table1[[#This Row],[معاش 01/01]])-1,MONTH(Table1[[#This Row],[تاريخ بلوغ 60 ]]),DAY(Table1[[#This Row],[تاريخ بلوغ 60 ]]))</f>
        <v>51196</v>
      </c>
      <c r="AE21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51561</v>
      </c>
      <c r="AF217" s="10" t="str">
        <f>IFERROR(IF(ISODD(MID(Table1[[#This Row],[الرقم القومي]],13,1)),"ذكر","انثي"),"")</f>
        <v>ذكر</v>
      </c>
      <c r="AG217" s="70" t="s">
        <v>2606</v>
      </c>
      <c r="AH217" s="3">
        <f>IF(MONTH(Table1[[#This Row],[تاريخ بلوغ 60 ]])&lt;&gt;1,1,0)</f>
        <v>1</v>
      </c>
      <c r="AI217" s="3">
        <f>IF(DAY(Table1[[#This Row],[تاريخ بلوغ 60 ]])&lt;&gt;1,1,0)</f>
        <v>0</v>
      </c>
      <c r="AJ217" s="4" t="s">
        <v>465</v>
      </c>
      <c r="AK217" s="4" t="s">
        <v>2666</v>
      </c>
      <c r="AL217" s="62" t="s">
        <v>1971</v>
      </c>
      <c r="AM217" s="62" t="s">
        <v>2857</v>
      </c>
      <c r="AN217" s="2">
        <v>4</v>
      </c>
      <c r="AO217" s="4" t="s">
        <v>2641</v>
      </c>
      <c r="AP217" s="74">
        <v>975.81</v>
      </c>
      <c r="AQ217" s="4">
        <v>25</v>
      </c>
      <c r="AR217" s="4">
        <v>3</v>
      </c>
      <c r="AS217" s="4" t="s">
        <v>2668</v>
      </c>
      <c r="AT217" s="72">
        <v>6</v>
      </c>
      <c r="AU217" s="2">
        <v>6</v>
      </c>
      <c r="AV217" s="4"/>
      <c r="AW217" s="4"/>
      <c r="AX217" s="4"/>
    </row>
    <row r="218" spans="1:50" ht="15" x14ac:dyDescent="0.2">
      <c r="A218" s="3">
        <v>31169</v>
      </c>
      <c r="B218" s="1" t="s">
        <v>468</v>
      </c>
      <c r="C218" s="3">
        <v>1</v>
      </c>
      <c r="D218" s="3" t="s">
        <v>465</v>
      </c>
      <c r="E218" s="3">
        <v>21</v>
      </c>
      <c r="F218" s="3" t="s">
        <v>474</v>
      </c>
      <c r="G218" s="7" t="s">
        <v>179</v>
      </c>
      <c r="H218" s="3">
        <v>99</v>
      </c>
      <c r="I218" s="3" t="s">
        <v>1047</v>
      </c>
      <c r="J218" s="3">
        <v>18</v>
      </c>
      <c r="K218" s="3" t="s">
        <v>1529</v>
      </c>
      <c r="L218" s="3">
        <v>6</v>
      </c>
      <c r="M218" s="3" t="s">
        <v>502</v>
      </c>
      <c r="N218" s="3" t="s">
        <v>1052</v>
      </c>
      <c r="O218" s="10">
        <v>28905</v>
      </c>
      <c r="P218" s="10">
        <v>42370</v>
      </c>
      <c r="Q218" s="10"/>
      <c r="R218" s="10">
        <v>46022</v>
      </c>
      <c r="S218" s="23">
        <v>4123.28</v>
      </c>
      <c r="T218" s="3">
        <v>13903163</v>
      </c>
      <c r="U218" s="3">
        <v>27902190300132</v>
      </c>
      <c r="V218" s="4" t="s">
        <v>1974</v>
      </c>
      <c r="W218" s="4"/>
      <c r="X218" s="4" t="s">
        <v>1583</v>
      </c>
      <c r="Z218" s="3">
        <f ca="1">DATEDIF(Table1[[#This Row],[تاريخ الميلاد]],TODAY(),"y")</f>
        <v>47</v>
      </c>
      <c r="AA21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47 عام 6  شهر  1  يوم </v>
      </c>
      <c r="AB21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10عام7  شهر  19  يوم </v>
      </c>
      <c r="AC218" s="10">
        <f>DATE(YEAR(Table1[[#This Row],[تاريخ الميلاد]])+60,MONTH(Table1[[#This Row],[تاريخ الميلاد]]),DAY(Table1[[#This Row],[تاريخ الميلاد]]))</f>
        <v>50820</v>
      </c>
      <c r="AD218" s="14">
        <f>DATE(YEAR(Table1[[#This Row],[معاش 01/01]])-1,MONTH(Table1[[#This Row],[تاريخ بلوغ 60 ]]),DAY(Table1[[#This Row],[تاريخ بلوغ 60 ]]))</f>
        <v>50820</v>
      </c>
      <c r="AE21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51185</v>
      </c>
      <c r="AF218" s="10" t="str">
        <f>IFERROR(IF(ISODD(MID(Table1[[#This Row],[الرقم القومي]],13,1)),"ذكر","انثي"),"")</f>
        <v>ذكر</v>
      </c>
      <c r="AG218" s="70" t="s">
        <v>2606</v>
      </c>
      <c r="AH218" s="3">
        <f>IF(MONTH(Table1[[#This Row],[تاريخ بلوغ 60 ]])&lt;&gt;1,1,0)</f>
        <v>1</v>
      </c>
      <c r="AI218" s="3">
        <f>IF(DAY(Table1[[#This Row],[تاريخ بلوغ 60 ]])&lt;&gt;1,1,0)</f>
        <v>1</v>
      </c>
      <c r="AJ218" s="4" t="s">
        <v>465</v>
      </c>
      <c r="AK218" s="4" t="s">
        <v>2730</v>
      </c>
      <c r="AL218" s="62" t="s">
        <v>1973</v>
      </c>
      <c r="AM218" s="62" t="s">
        <v>2858</v>
      </c>
      <c r="AN218" s="2">
        <v>4</v>
      </c>
      <c r="AO218" s="4" t="s">
        <v>2641</v>
      </c>
      <c r="AP218" s="74">
        <v>975.81</v>
      </c>
      <c r="AQ218" s="4">
        <v>25</v>
      </c>
      <c r="AR218" s="4">
        <v>3</v>
      </c>
      <c r="AS218" s="4" t="s">
        <v>2668</v>
      </c>
      <c r="AT218" s="72">
        <v>6</v>
      </c>
      <c r="AU218" s="2">
        <v>6</v>
      </c>
      <c r="AV218" s="4"/>
      <c r="AW218" s="4"/>
      <c r="AX218" s="4"/>
    </row>
    <row r="219" spans="1:50" ht="15" x14ac:dyDescent="0.2">
      <c r="A219" s="3">
        <v>31170</v>
      </c>
      <c r="B219" s="1" t="s">
        <v>468</v>
      </c>
      <c r="C219" s="3">
        <v>1</v>
      </c>
      <c r="D219" s="3" t="s">
        <v>465</v>
      </c>
      <c r="E219" s="3">
        <v>21</v>
      </c>
      <c r="F219" s="3" t="s">
        <v>474</v>
      </c>
      <c r="G219" s="7" t="s">
        <v>180</v>
      </c>
      <c r="H219" s="3">
        <v>99</v>
      </c>
      <c r="I219" s="3" t="s">
        <v>1047</v>
      </c>
      <c r="J219" s="3">
        <v>18</v>
      </c>
      <c r="K219" s="3" t="s">
        <v>1529</v>
      </c>
      <c r="L219" s="3">
        <v>6</v>
      </c>
      <c r="M219" s="3" t="s">
        <v>502</v>
      </c>
      <c r="N219" s="3" t="s">
        <v>1052</v>
      </c>
      <c r="O219" s="10">
        <v>29626</v>
      </c>
      <c r="P219" s="10">
        <v>42370</v>
      </c>
      <c r="Q219" s="10"/>
      <c r="R219" s="10">
        <v>46022</v>
      </c>
      <c r="S219" s="23">
        <v>4123.28</v>
      </c>
      <c r="T219" s="3">
        <v>20403171</v>
      </c>
      <c r="U219" s="3">
        <v>28102090300558</v>
      </c>
      <c r="V219" s="4" t="s">
        <v>1976</v>
      </c>
      <c r="W219" s="4"/>
      <c r="X219" s="4" t="s">
        <v>1583</v>
      </c>
      <c r="Z219" s="3">
        <f ca="1">DATEDIF(Table1[[#This Row],[تاريخ الميلاد]],TODAY(),"y")</f>
        <v>45</v>
      </c>
      <c r="AA21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45 عام 6  شهر  11  يوم </v>
      </c>
      <c r="AB21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10عام7  شهر  19  يوم </v>
      </c>
      <c r="AC219" s="10">
        <f>DATE(YEAR(Table1[[#This Row],[تاريخ الميلاد]])+60,MONTH(Table1[[#This Row],[تاريخ الميلاد]]),DAY(Table1[[#This Row],[تاريخ الميلاد]]))</f>
        <v>51541</v>
      </c>
      <c r="AD219" s="14">
        <f>DATE(YEAR(Table1[[#This Row],[معاش 01/01]])-1,MONTH(Table1[[#This Row],[تاريخ بلوغ 60 ]]),DAY(Table1[[#This Row],[تاريخ بلوغ 60 ]]))</f>
        <v>51541</v>
      </c>
      <c r="AE21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51906</v>
      </c>
      <c r="AF219" s="10" t="str">
        <f>IFERROR(IF(ISODD(MID(Table1[[#This Row],[الرقم القومي]],13,1)),"ذكر","انثي"),"")</f>
        <v>ذكر</v>
      </c>
      <c r="AG219" s="70" t="s">
        <v>2606</v>
      </c>
      <c r="AH219" s="3">
        <f>IF(MONTH(Table1[[#This Row],[تاريخ بلوغ 60 ]])&lt;&gt;1,1,0)</f>
        <v>1</v>
      </c>
      <c r="AI219" s="3">
        <f>IF(DAY(Table1[[#This Row],[تاريخ بلوغ 60 ]])&lt;&gt;1,1,0)</f>
        <v>1</v>
      </c>
      <c r="AJ219" s="4" t="s">
        <v>465</v>
      </c>
      <c r="AK219" s="4" t="s">
        <v>2666</v>
      </c>
      <c r="AL219" s="62" t="s">
        <v>1975</v>
      </c>
      <c r="AM219" s="62" t="s">
        <v>2859</v>
      </c>
      <c r="AN219" s="2">
        <v>1</v>
      </c>
      <c r="AO219" s="4" t="s">
        <v>2641</v>
      </c>
      <c r="AP219" s="74">
        <v>487.91</v>
      </c>
      <c r="AQ219" s="4">
        <v>12.5</v>
      </c>
      <c r="AR219" s="4">
        <v>3</v>
      </c>
      <c r="AS219" s="4" t="s">
        <v>2668</v>
      </c>
      <c r="AT219" s="72">
        <v>6</v>
      </c>
      <c r="AU219" s="2">
        <v>6</v>
      </c>
      <c r="AV219" s="4"/>
      <c r="AW219" s="4"/>
      <c r="AX219" s="4"/>
    </row>
    <row r="220" spans="1:50" ht="15" x14ac:dyDescent="0.2">
      <c r="A220" s="3">
        <v>31172</v>
      </c>
      <c r="B220" s="1" t="s">
        <v>468</v>
      </c>
      <c r="C220" s="3">
        <v>1</v>
      </c>
      <c r="D220" s="3" t="s">
        <v>465</v>
      </c>
      <c r="E220" s="3">
        <v>21</v>
      </c>
      <c r="F220" s="3" t="s">
        <v>474</v>
      </c>
      <c r="G220" s="7" t="s">
        <v>181</v>
      </c>
      <c r="H220" s="3">
        <v>99</v>
      </c>
      <c r="I220" s="3" t="s">
        <v>1047</v>
      </c>
      <c r="J220" s="3">
        <v>18</v>
      </c>
      <c r="K220" s="3" t="s">
        <v>1529</v>
      </c>
      <c r="L220" s="3">
        <v>6</v>
      </c>
      <c r="M220" s="3" t="s">
        <v>502</v>
      </c>
      <c r="N220" s="3" t="s">
        <v>1052</v>
      </c>
      <c r="O220" s="10">
        <v>29101</v>
      </c>
      <c r="P220" s="10">
        <v>41583</v>
      </c>
      <c r="Q220" s="10"/>
      <c r="R220" s="10">
        <v>46022</v>
      </c>
      <c r="S220" s="23">
        <v>4465.8500000000004</v>
      </c>
      <c r="T220" s="3">
        <v>5529783</v>
      </c>
      <c r="U220" s="3">
        <v>27909030300238</v>
      </c>
      <c r="V220" s="4" t="s">
        <v>1978</v>
      </c>
      <c r="W220" s="4"/>
      <c r="X220" s="4" t="s">
        <v>1583</v>
      </c>
      <c r="Z220" s="3">
        <f ca="1">DATEDIF(Table1[[#This Row],[تاريخ الميلاد]],TODAY(),"y")</f>
        <v>46</v>
      </c>
      <c r="AA22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46 عام 11  شهر  17  يوم </v>
      </c>
      <c r="AB22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12عام9  شهر  15  يوم </v>
      </c>
      <c r="AC220" s="10">
        <f>DATE(YEAR(Table1[[#This Row],[تاريخ الميلاد]])+60,MONTH(Table1[[#This Row],[تاريخ الميلاد]]),DAY(Table1[[#This Row],[تاريخ الميلاد]]))</f>
        <v>51016</v>
      </c>
      <c r="AD220" s="14">
        <f>DATE(YEAR(Table1[[#This Row],[معاش 01/01]])-1,MONTH(Table1[[#This Row],[تاريخ بلوغ 60 ]]),DAY(Table1[[#This Row],[تاريخ بلوغ 60 ]]))</f>
        <v>51016</v>
      </c>
      <c r="AE22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51382</v>
      </c>
      <c r="AF220" s="10" t="str">
        <f>IFERROR(IF(ISODD(MID(Table1[[#This Row],[الرقم القومي]],13,1)),"ذكر","انثي"),"")</f>
        <v>ذكر</v>
      </c>
      <c r="AG220" s="70" t="s">
        <v>2606</v>
      </c>
      <c r="AH220" s="3">
        <f>IF(MONTH(Table1[[#This Row],[تاريخ بلوغ 60 ]])&lt;&gt;1,1,0)</f>
        <v>1</v>
      </c>
      <c r="AI220" s="3">
        <f>IF(DAY(Table1[[#This Row],[تاريخ بلوغ 60 ]])&lt;&gt;1,1,0)</f>
        <v>1</v>
      </c>
      <c r="AJ220" s="4" t="s">
        <v>465</v>
      </c>
      <c r="AK220" s="4" t="s">
        <v>2636</v>
      </c>
      <c r="AL220" s="62" t="s">
        <v>1977</v>
      </c>
      <c r="AM220" s="62" t="s">
        <v>2860</v>
      </c>
      <c r="AN220" s="2">
        <v>4</v>
      </c>
      <c r="AO220" s="4" t="s">
        <v>2641</v>
      </c>
      <c r="AP220" s="74">
        <v>1058.23</v>
      </c>
      <c r="AQ220" s="4">
        <v>25</v>
      </c>
      <c r="AR220" s="4">
        <v>3</v>
      </c>
      <c r="AS220" s="4" t="s">
        <v>2668</v>
      </c>
      <c r="AT220" s="72">
        <v>6</v>
      </c>
      <c r="AU220" s="2">
        <v>6</v>
      </c>
      <c r="AV220" s="4"/>
      <c r="AW220" s="4"/>
      <c r="AX220" s="4"/>
    </row>
    <row r="221" spans="1:50" ht="15" x14ac:dyDescent="0.2">
      <c r="A221" s="3">
        <v>31175</v>
      </c>
      <c r="B221" s="1" t="s">
        <v>468</v>
      </c>
      <c r="C221" s="3">
        <v>1</v>
      </c>
      <c r="D221" s="3" t="s">
        <v>465</v>
      </c>
      <c r="E221" s="3">
        <v>21</v>
      </c>
      <c r="F221" s="3" t="s">
        <v>474</v>
      </c>
      <c r="G221" s="7" t="s">
        <v>182</v>
      </c>
      <c r="H221" s="3">
        <v>99</v>
      </c>
      <c r="I221" s="3" t="s">
        <v>1047</v>
      </c>
      <c r="J221" s="3">
        <v>18</v>
      </c>
      <c r="K221" s="3" t="s">
        <v>1529</v>
      </c>
      <c r="L221" s="3">
        <v>6</v>
      </c>
      <c r="M221" s="3" t="s">
        <v>502</v>
      </c>
      <c r="N221" s="3" t="s">
        <v>1052</v>
      </c>
      <c r="O221" s="10">
        <v>29793</v>
      </c>
      <c r="P221" s="10">
        <v>42370</v>
      </c>
      <c r="Q221" s="10"/>
      <c r="R221" s="10">
        <v>46022</v>
      </c>
      <c r="S221" s="23">
        <v>4123.28</v>
      </c>
      <c r="T221" s="3">
        <v>55792574</v>
      </c>
      <c r="U221" s="3">
        <v>28107260300215</v>
      </c>
      <c r="V221" s="4" t="s">
        <v>1980</v>
      </c>
      <c r="W221" s="4"/>
      <c r="X221" s="4" t="s">
        <v>1583</v>
      </c>
      <c r="Z221" s="3">
        <f ca="1">DATEDIF(Table1[[#This Row],[تاريخ الميلاد]],TODAY(),"y")</f>
        <v>45</v>
      </c>
      <c r="AA22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45 عام 0  شهر  25  يوم </v>
      </c>
      <c r="AB22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10عام7  شهر  19  يوم </v>
      </c>
      <c r="AC221" s="10">
        <f>DATE(YEAR(Table1[[#This Row],[تاريخ الميلاد]])+60,MONTH(Table1[[#This Row],[تاريخ الميلاد]]),DAY(Table1[[#This Row],[تاريخ الميلاد]]))</f>
        <v>51708</v>
      </c>
      <c r="AD221" s="14">
        <f>DATE(YEAR(Table1[[#This Row],[معاش 01/01]])-1,MONTH(Table1[[#This Row],[تاريخ بلوغ 60 ]]),DAY(Table1[[#This Row],[تاريخ بلوغ 60 ]]))</f>
        <v>51708</v>
      </c>
      <c r="AE22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52073</v>
      </c>
      <c r="AF221" s="10" t="str">
        <f>IFERROR(IF(ISODD(MID(Table1[[#This Row],[الرقم القومي]],13,1)),"ذكر","انثي"),"")</f>
        <v>ذكر</v>
      </c>
      <c r="AG221" s="70" t="s">
        <v>2606</v>
      </c>
      <c r="AH221" s="3">
        <f>IF(MONTH(Table1[[#This Row],[تاريخ بلوغ 60 ]])&lt;&gt;1,1,0)</f>
        <v>1</v>
      </c>
      <c r="AI221" s="3">
        <f>IF(DAY(Table1[[#This Row],[تاريخ بلوغ 60 ]])&lt;&gt;1,1,0)</f>
        <v>1</v>
      </c>
      <c r="AJ221" s="4" t="s">
        <v>465</v>
      </c>
      <c r="AK221" s="4" t="s">
        <v>2730</v>
      </c>
      <c r="AL221" s="62" t="s">
        <v>1979</v>
      </c>
      <c r="AM221" s="62" t="s">
        <v>2861</v>
      </c>
      <c r="AN221" s="2">
        <v>4</v>
      </c>
      <c r="AO221" s="4" t="s">
        <v>2641</v>
      </c>
      <c r="AP221" s="74">
        <v>975.81</v>
      </c>
      <c r="AQ221" s="4">
        <v>25</v>
      </c>
      <c r="AR221" s="4">
        <v>3</v>
      </c>
      <c r="AS221" s="4" t="s">
        <v>2668</v>
      </c>
      <c r="AT221" s="72">
        <v>6</v>
      </c>
      <c r="AU221" s="2">
        <v>6</v>
      </c>
      <c r="AV221" s="4"/>
      <c r="AW221" s="4"/>
      <c r="AX221" s="4"/>
    </row>
    <row r="222" spans="1:50" ht="15" x14ac:dyDescent="0.2">
      <c r="A222" s="3">
        <v>31190</v>
      </c>
      <c r="B222" s="1" t="s">
        <v>468</v>
      </c>
      <c r="C222" s="3">
        <v>1</v>
      </c>
      <c r="D222" s="3" t="s">
        <v>465</v>
      </c>
      <c r="E222" s="3">
        <v>21</v>
      </c>
      <c r="F222" s="3" t="s">
        <v>474</v>
      </c>
      <c r="G222" s="7" t="s">
        <v>183</v>
      </c>
      <c r="H222" s="3">
        <v>99</v>
      </c>
      <c r="I222" s="3" t="s">
        <v>1047</v>
      </c>
      <c r="J222" s="3">
        <v>18</v>
      </c>
      <c r="K222" s="3" t="s">
        <v>1529</v>
      </c>
      <c r="L222" s="3">
        <v>6</v>
      </c>
      <c r="M222" s="3" t="s">
        <v>502</v>
      </c>
      <c r="N222" s="3" t="s">
        <v>1052</v>
      </c>
      <c r="O222" s="10">
        <v>29132</v>
      </c>
      <c r="P222" s="10">
        <v>42370</v>
      </c>
      <c r="Q222" s="10"/>
      <c r="R222" s="10">
        <v>46022</v>
      </c>
      <c r="S222" s="23">
        <v>4200.09</v>
      </c>
      <c r="T222" s="3">
        <v>54375507</v>
      </c>
      <c r="U222" s="3">
        <v>27910040300137</v>
      </c>
      <c r="V222" s="4" t="s">
        <v>1982</v>
      </c>
      <c r="W222" s="4"/>
      <c r="X222" s="4" t="s">
        <v>1583</v>
      </c>
      <c r="Z222" s="3">
        <f ca="1">DATEDIF(Table1[[#This Row],[تاريخ الميلاد]],TODAY(),"y")</f>
        <v>46</v>
      </c>
      <c r="AA22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46 عام 10  شهر  16  يوم </v>
      </c>
      <c r="AB22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10عام7  شهر  19  يوم </v>
      </c>
      <c r="AC222" s="10">
        <f>DATE(YEAR(Table1[[#This Row],[تاريخ الميلاد]])+60,MONTH(Table1[[#This Row],[تاريخ الميلاد]]),DAY(Table1[[#This Row],[تاريخ الميلاد]]))</f>
        <v>51047</v>
      </c>
      <c r="AD222" s="14">
        <f>DATE(YEAR(Table1[[#This Row],[معاش 01/01]])-1,MONTH(Table1[[#This Row],[تاريخ بلوغ 60 ]]),DAY(Table1[[#This Row],[تاريخ بلوغ 60 ]]))</f>
        <v>51047</v>
      </c>
      <c r="AE22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51413</v>
      </c>
      <c r="AF222" s="10" t="str">
        <f>IFERROR(IF(ISODD(MID(Table1[[#This Row],[الرقم القومي]],13,1)),"ذكر","انثي"),"")</f>
        <v>ذكر</v>
      </c>
      <c r="AG222" s="70" t="s">
        <v>2606</v>
      </c>
      <c r="AH222" s="3">
        <f>IF(MONTH(Table1[[#This Row],[تاريخ بلوغ 60 ]])&lt;&gt;1,1,0)</f>
        <v>1</v>
      </c>
      <c r="AI222" s="3">
        <f>IF(DAY(Table1[[#This Row],[تاريخ بلوغ 60 ]])&lt;&gt;1,1,0)</f>
        <v>1</v>
      </c>
      <c r="AJ222" s="4" t="s">
        <v>465</v>
      </c>
      <c r="AK222" s="4" t="s">
        <v>2730</v>
      </c>
      <c r="AL222" s="62" t="s">
        <v>1981</v>
      </c>
      <c r="AM222" s="62" t="s">
        <v>2862</v>
      </c>
      <c r="AN222" s="2">
        <v>1</v>
      </c>
      <c r="AO222" s="4" t="s">
        <v>2641</v>
      </c>
      <c r="AP222" s="74">
        <v>497.51</v>
      </c>
      <c r="AQ222" s="4">
        <v>12.5</v>
      </c>
      <c r="AR222" s="4">
        <v>1</v>
      </c>
      <c r="AS222" s="4" t="s">
        <v>2635</v>
      </c>
      <c r="AT222" s="72">
        <v>2</v>
      </c>
      <c r="AU222" s="2">
        <v>6</v>
      </c>
      <c r="AV222" s="4"/>
      <c r="AW222" s="4"/>
      <c r="AX222" s="4"/>
    </row>
    <row r="223" spans="1:50" ht="15" x14ac:dyDescent="0.2">
      <c r="A223" s="3">
        <v>31198</v>
      </c>
      <c r="B223" s="1" t="s">
        <v>468</v>
      </c>
      <c r="C223" s="3">
        <v>1</v>
      </c>
      <c r="D223" s="3" t="s">
        <v>465</v>
      </c>
      <c r="E223" s="3">
        <v>21</v>
      </c>
      <c r="F223" s="3" t="s">
        <v>474</v>
      </c>
      <c r="G223" s="7" t="s">
        <v>184</v>
      </c>
      <c r="H223" s="3">
        <v>99</v>
      </c>
      <c r="I223" s="3" t="s">
        <v>1047</v>
      </c>
      <c r="J223" s="3">
        <v>18</v>
      </c>
      <c r="K223" s="3" t="s">
        <v>1529</v>
      </c>
      <c r="L223" s="3">
        <v>6</v>
      </c>
      <c r="M223" s="3" t="s">
        <v>502</v>
      </c>
      <c r="N223" s="3" t="s">
        <v>1052</v>
      </c>
      <c r="O223" s="10">
        <v>29863</v>
      </c>
      <c r="P223" s="10">
        <v>42370</v>
      </c>
      <c r="Q223" s="10"/>
      <c r="R223" s="10">
        <v>46022</v>
      </c>
      <c r="S223" s="23">
        <v>4123.28</v>
      </c>
      <c r="T223" s="3">
        <v>13819967</v>
      </c>
      <c r="U223" s="3">
        <v>28110040300215</v>
      </c>
      <c r="V223" s="4" t="s">
        <v>1984</v>
      </c>
      <c r="W223" s="4"/>
      <c r="X223" s="4" t="s">
        <v>1583</v>
      </c>
      <c r="Z223" s="3">
        <f ca="1">DATEDIF(Table1[[#This Row],[تاريخ الميلاد]],TODAY(),"y")</f>
        <v>44</v>
      </c>
      <c r="AA22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44 عام 10  شهر  16  يوم </v>
      </c>
      <c r="AB22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10عام7  شهر  19  يوم </v>
      </c>
      <c r="AC223" s="10">
        <f>DATE(YEAR(Table1[[#This Row],[تاريخ الميلاد]])+60,MONTH(Table1[[#This Row],[تاريخ الميلاد]]),DAY(Table1[[#This Row],[تاريخ الميلاد]]))</f>
        <v>51778</v>
      </c>
      <c r="AD223" s="14">
        <f>DATE(YEAR(Table1[[#This Row],[معاش 01/01]])-1,MONTH(Table1[[#This Row],[تاريخ بلوغ 60 ]]),DAY(Table1[[#This Row],[تاريخ بلوغ 60 ]]))</f>
        <v>51778</v>
      </c>
      <c r="AE22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52143</v>
      </c>
      <c r="AF223" s="10" t="str">
        <f>IFERROR(IF(ISODD(MID(Table1[[#This Row],[الرقم القومي]],13,1)),"ذكر","انثي"),"")</f>
        <v>ذكر</v>
      </c>
      <c r="AG223" s="70" t="s">
        <v>2606</v>
      </c>
      <c r="AH223" s="3">
        <f>IF(MONTH(Table1[[#This Row],[تاريخ بلوغ 60 ]])&lt;&gt;1,1,0)</f>
        <v>1</v>
      </c>
      <c r="AI223" s="3">
        <f>IF(DAY(Table1[[#This Row],[تاريخ بلوغ 60 ]])&lt;&gt;1,1,0)</f>
        <v>1</v>
      </c>
      <c r="AJ223" s="4" t="s">
        <v>465</v>
      </c>
      <c r="AK223" s="4" t="s">
        <v>2730</v>
      </c>
      <c r="AL223" s="62" t="s">
        <v>1983</v>
      </c>
      <c r="AM223" s="62" t="s">
        <v>2863</v>
      </c>
      <c r="AN223" s="2">
        <v>4</v>
      </c>
      <c r="AO223" s="4" t="s">
        <v>2641</v>
      </c>
      <c r="AP223" s="74">
        <v>975.81</v>
      </c>
      <c r="AQ223" s="4">
        <v>25</v>
      </c>
      <c r="AR223" s="4">
        <v>9</v>
      </c>
      <c r="AS223" s="4" t="s">
        <v>2781</v>
      </c>
      <c r="AT223" s="72">
        <v>4</v>
      </c>
      <c r="AU223" s="2">
        <v>6</v>
      </c>
      <c r="AV223" s="4"/>
      <c r="AW223" s="4"/>
      <c r="AX223" s="4"/>
    </row>
    <row r="224" spans="1:50" ht="15" x14ac:dyDescent="0.2">
      <c r="A224" s="3">
        <v>31200</v>
      </c>
      <c r="B224" s="1" t="s">
        <v>468</v>
      </c>
      <c r="C224" s="3">
        <v>1</v>
      </c>
      <c r="D224" s="3" t="s">
        <v>465</v>
      </c>
      <c r="E224" s="3">
        <v>21</v>
      </c>
      <c r="F224" s="3" t="s">
        <v>474</v>
      </c>
      <c r="G224" s="7" t="s">
        <v>185</v>
      </c>
      <c r="H224" s="3">
        <v>99</v>
      </c>
      <c r="I224" s="3" t="s">
        <v>1047</v>
      </c>
      <c r="J224" s="3">
        <v>18</v>
      </c>
      <c r="K224" s="3" t="s">
        <v>1529</v>
      </c>
      <c r="L224" s="3">
        <v>6</v>
      </c>
      <c r="M224" s="3" t="s">
        <v>502</v>
      </c>
      <c r="N224" s="3" t="s">
        <v>1052</v>
      </c>
      <c r="O224" s="10">
        <v>29200</v>
      </c>
      <c r="P224" s="10">
        <v>42370</v>
      </c>
      <c r="Q224" s="10"/>
      <c r="R224" s="10">
        <v>46022</v>
      </c>
      <c r="S224" s="23">
        <v>4123.28</v>
      </c>
      <c r="T224" s="3">
        <v>46644988</v>
      </c>
      <c r="U224" s="3">
        <v>27912110300051</v>
      </c>
      <c r="V224" s="4" t="s">
        <v>1986</v>
      </c>
      <c r="W224" s="4"/>
      <c r="X224" s="4" t="s">
        <v>1583</v>
      </c>
      <c r="Z224" s="3">
        <f ca="1">DATEDIF(Table1[[#This Row],[تاريخ الميلاد]],TODAY(),"y")</f>
        <v>46</v>
      </c>
      <c r="AA22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46 عام 8  شهر  9  يوم </v>
      </c>
      <c r="AB22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10عام7  شهر  19  يوم </v>
      </c>
      <c r="AC224" s="10">
        <f>DATE(YEAR(Table1[[#This Row],[تاريخ الميلاد]])+60,MONTH(Table1[[#This Row],[تاريخ الميلاد]]),DAY(Table1[[#This Row],[تاريخ الميلاد]]))</f>
        <v>51115</v>
      </c>
      <c r="AD224" s="14">
        <f>DATE(YEAR(Table1[[#This Row],[معاش 01/01]])-1,MONTH(Table1[[#This Row],[تاريخ بلوغ 60 ]]),DAY(Table1[[#This Row],[تاريخ بلوغ 60 ]]))</f>
        <v>51115</v>
      </c>
      <c r="AE22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51481</v>
      </c>
      <c r="AF224" s="10" t="str">
        <f>IFERROR(IF(ISODD(MID(Table1[[#This Row],[الرقم القومي]],13,1)),"ذكر","انثي"),"")</f>
        <v>ذكر</v>
      </c>
      <c r="AG224" s="70" t="s">
        <v>2606</v>
      </c>
      <c r="AH224" s="3">
        <f>IF(MONTH(Table1[[#This Row],[تاريخ بلوغ 60 ]])&lt;&gt;1,1,0)</f>
        <v>1</v>
      </c>
      <c r="AI224" s="3">
        <f>IF(DAY(Table1[[#This Row],[تاريخ بلوغ 60 ]])&lt;&gt;1,1,0)</f>
        <v>1</v>
      </c>
      <c r="AJ224" s="4" t="s">
        <v>465</v>
      </c>
      <c r="AK224" s="4" t="s">
        <v>2636</v>
      </c>
      <c r="AL224" s="62" t="s">
        <v>1985</v>
      </c>
      <c r="AM224" s="62" t="s">
        <v>2864</v>
      </c>
      <c r="AN224" s="2">
        <v>4</v>
      </c>
      <c r="AO224" s="4" t="s">
        <v>2641</v>
      </c>
      <c r="AP224" s="74">
        <v>975.81</v>
      </c>
      <c r="AQ224" s="4">
        <v>25</v>
      </c>
      <c r="AR224" s="4">
        <v>2</v>
      </c>
      <c r="AS224" s="4" t="s">
        <v>2696</v>
      </c>
      <c r="AT224" s="72">
        <v>4</v>
      </c>
      <c r="AU224" s="2">
        <v>6</v>
      </c>
      <c r="AV224" s="4"/>
      <c r="AW224" s="4"/>
      <c r="AX224" s="4"/>
    </row>
    <row r="225" spans="1:50" ht="15" x14ac:dyDescent="0.2">
      <c r="A225" s="3">
        <v>31201</v>
      </c>
      <c r="B225" s="1" t="s">
        <v>468</v>
      </c>
      <c r="C225" s="3">
        <v>1</v>
      </c>
      <c r="D225" s="3" t="s">
        <v>465</v>
      </c>
      <c r="E225" s="3">
        <v>21</v>
      </c>
      <c r="F225" s="3" t="s">
        <v>474</v>
      </c>
      <c r="G225" s="7" t="s">
        <v>186</v>
      </c>
      <c r="H225" s="3">
        <v>99</v>
      </c>
      <c r="I225" s="3" t="s">
        <v>1047</v>
      </c>
      <c r="J225" s="3">
        <v>18</v>
      </c>
      <c r="K225" s="3" t="s">
        <v>1529</v>
      </c>
      <c r="L225" s="3">
        <v>6</v>
      </c>
      <c r="M225" s="3" t="s">
        <v>502</v>
      </c>
      <c r="N225" s="3" t="s">
        <v>1052</v>
      </c>
      <c r="O225" s="10">
        <v>29037</v>
      </c>
      <c r="P225" s="10">
        <v>42370</v>
      </c>
      <c r="Q225" s="10"/>
      <c r="R225" s="10">
        <v>46022</v>
      </c>
      <c r="S225" s="23">
        <v>4123.28</v>
      </c>
      <c r="T225" s="3">
        <v>6505128</v>
      </c>
      <c r="U225" s="3">
        <v>27907011301913</v>
      </c>
      <c r="V225" s="4" t="s">
        <v>1988</v>
      </c>
      <c r="W225" s="4"/>
      <c r="X225" s="4" t="s">
        <v>1583</v>
      </c>
      <c r="Z225" s="3">
        <f ca="1">DATEDIF(Table1[[#This Row],[تاريخ الميلاد]],TODAY(),"y")</f>
        <v>47</v>
      </c>
      <c r="AA22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47 عام 1  شهر  19  يوم </v>
      </c>
      <c r="AB22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10عام7  شهر  19  يوم </v>
      </c>
      <c r="AC225" s="10">
        <f>DATE(YEAR(Table1[[#This Row],[تاريخ الميلاد]])+60,MONTH(Table1[[#This Row],[تاريخ الميلاد]]),DAY(Table1[[#This Row],[تاريخ الميلاد]]))</f>
        <v>50952</v>
      </c>
      <c r="AD225" s="14">
        <f>DATE(YEAR(Table1[[#This Row],[معاش 01/01]])-1,MONTH(Table1[[#This Row],[تاريخ بلوغ 60 ]]),DAY(Table1[[#This Row],[تاريخ بلوغ 60 ]]))</f>
        <v>50952</v>
      </c>
      <c r="AE22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51318</v>
      </c>
      <c r="AF225" s="10" t="str">
        <f>IFERROR(IF(ISODD(MID(Table1[[#This Row],[الرقم القومي]],13,1)),"ذكر","انثي"),"")</f>
        <v>ذكر</v>
      </c>
      <c r="AG225" s="70" t="s">
        <v>2610</v>
      </c>
      <c r="AH225" s="3">
        <f>IF(MONTH(Table1[[#This Row],[تاريخ بلوغ 60 ]])&lt;&gt;1,1,0)</f>
        <v>1</v>
      </c>
      <c r="AI225" s="3">
        <f>IF(DAY(Table1[[#This Row],[تاريخ بلوغ 60 ]])&lt;&gt;1,1,0)</f>
        <v>0</v>
      </c>
      <c r="AJ225" s="4" t="s">
        <v>465</v>
      </c>
      <c r="AK225" s="4" t="s">
        <v>2666</v>
      </c>
      <c r="AL225" s="62" t="s">
        <v>1987</v>
      </c>
      <c r="AM225" s="62" t="s">
        <v>2865</v>
      </c>
      <c r="AN225" s="2">
        <v>4</v>
      </c>
      <c r="AO225" s="4" t="s">
        <v>2641</v>
      </c>
      <c r="AP225" s="74">
        <v>975.81</v>
      </c>
      <c r="AQ225" s="4">
        <v>25</v>
      </c>
      <c r="AR225" s="4">
        <v>3</v>
      </c>
      <c r="AS225" s="4" t="s">
        <v>2668</v>
      </c>
      <c r="AT225" s="72">
        <v>6</v>
      </c>
      <c r="AU225" s="2">
        <v>6</v>
      </c>
      <c r="AV225" s="4"/>
      <c r="AW225" s="4"/>
      <c r="AX225" s="4"/>
    </row>
    <row r="226" spans="1:50" ht="15" x14ac:dyDescent="0.2">
      <c r="A226" s="3">
        <v>31303</v>
      </c>
      <c r="B226" s="1" t="s">
        <v>468</v>
      </c>
      <c r="C226" s="3">
        <v>1</v>
      </c>
      <c r="D226" s="3" t="s">
        <v>465</v>
      </c>
      <c r="E226" s="3">
        <v>21</v>
      </c>
      <c r="F226" s="3" t="s">
        <v>474</v>
      </c>
      <c r="G226" s="7" t="s">
        <v>1989</v>
      </c>
      <c r="H226" s="3">
        <v>158</v>
      </c>
      <c r="I226" s="3" t="s">
        <v>1330</v>
      </c>
      <c r="J226" s="3">
        <v>20</v>
      </c>
      <c r="K226" s="3" t="s">
        <v>1531</v>
      </c>
      <c r="L226" s="3">
        <v>8</v>
      </c>
      <c r="M226" s="3" t="s">
        <v>506</v>
      </c>
      <c r="N226" s="3" t="s">
        <v>1335</v>
      </c>
      <c r="O226" s="10">
        <v>32199</v>
      </c>
      <c r="P226" s="10">
        <v>42552</v>
      </c>
      <c r="Q226" s="10"/>
      <c r="R226" s="10">
        <v>45657</v>
      </c>
      <c r="S226" s="23">
        <v>3526.9</v>
      </c>
      <c r="T226" s="3">
        <v>21073510</v>
      </c>
      <c r="U226" s="3">
        <v>28802260300096</v>
      </c>
      <c r="V226" s="4" t="s">
        <v>1991</v>
      </c>
      <c r="W226" s="4"/>
      <c r="X226" s="4" t="s">
        <v>1583</v>
      </c>
      <c r="Z226" s="3">
        <f ca="1">DATEDIF(Table1[[#This Row],[تاريخ الميلاد]],TODAY(),"y")</f>
        <v>38</v>
      </c>
      <c r="AA22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5  شهر  25  يوم </v>
      </c>
      <c r="AB22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10عام1  شهر  19  يوم </v>
      </c>
      <c r="AC226" s="10">
        <f>DATE(YEAR(Table1[[#This Row],[تاريخ الميلاد]])+60,MONTH(Table1[[#This Row],[تاريخ الميلاد]]),DAY(Table1[[#This Row],[تاريخ الميلاد]]))</f>
        <v>54114</v>
      </c>
      <c r="AD226" s="14">
        <f>DATE(YEAR(Table1[[#This Row],[معاش 01/01]])-1,MONTH(Table1[[#This Row],[تاريخ بلوغ 60 ]]),DAY(Table1[[#This Row],[تاريخ بلوغ 60 ]]))</f>
        <v>54114</v>
      </c>
      <c r="AE22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54480</v>
      </c>
      <c r="AF226" s="10" t="str">
        <f>IFERROR(IF(ISODD(MID(Table1[[#This Row],[الرقم القومي]],13,1)),"ذكر","انثي"),"")</f>
        <v>ذكر</v>
      </c>
      <c r="AG226" s="70" t="s">
        <v>2606</v>
      </c>
      <c r="AH226" s="3">
        <f>IF(MONTH(Table1[[#This Row],[تاريخ بلوغ 60 ]])&lt;&gt;1,1,0)</f>
        <v>1</v>
      </c>
      <c r="AI226" s="3">
        <f>IF(DAY(Table1[[#This Row],[تاريخ بلوغ 60 ]])&lt;&gt;1,1,0)</f>
        <v>1</v>
      </c>
      <c r="AJ226" s="4" t="s">
        <v>465</v>
      </c>
      <c r="AK226" s="4" t="s">
        <v>2730</v>
      </c>
      <c r="AL226" s="62" t="s">
        <v>1990</v>
      </c>
      <c r="AM226" s="62" t="s">
        <v>2866</v>
      </c>
      <c r="AN226" s="2">
        <v>1</v>
      </c>
      <c r="AO226" s="4" t="s">
        <v>2641</v>
      </c>
      <c r="AP226" s="74">
        <v>415</v>
      </c>
      <c r="AQ226" s="4">
        <v>12.5</v>
      </c>
      <c r="AR226" s="4">
        <v>3</v>
      </c>
      <c r="AS226" s="4" t="s">
        <v>2668</v>
      </c>
      <c r="AT226" s="72">
        <v>6</v>
      </c>
      <c r="AU226" s="2">
        <v>8</v>
      </c>
      <c r="AV226" s="4"/>
      <c r="AW226" s="4"/>
      <c r="AX226" s="4"/>
    </row>
    <row r="227" spans="1:50" ht="15" x14ac:dyDescent="0.2">
      <c r="A227" s="3">
        <v>31666</v>
      </c>
      <c r="B227" s="1" t="s">
        <v>468</v>
      </c>
      <c r="C227" s="3">
        <v>1</v>
      </c>
      <c r="D227" s="3" t="s">
        <v>465</v>
      </c>
      <c r="E227" s="3">
        <v>3</v>
      </c>
      <c r="F227" s="3" t="s">
        <v>472</v>
      </c>
      <c r="G227" s="7" t="s">
        <v>187</v>
      </c>
      <c r="H227" s="3">
        <v>41</v>
      </c>
      <c r="I227" s="3" t="s">
        <v>713</v>
      </c>
      <c r="J227" s="3">
        <v>17</v>
      </c>
      <c r="K227" s="3" t="s">
        <v>1530</v>
      </c>
      <c r="L227" s="3">
        <v>7</v>
      </c>
      <c r="M227" s="3" t="s">
        <v>504</v>
      </c>
      <c r="N227" s="3" t="s">
        <v>719</v>
      </c>
      <c r="O227" s="10">
        <v>32007</v>
      </c>
      <c r="P227" s="10">
        <v>42917</v>
      </c>
      <c r="Q227" s="10"/>
      <c r="R227" s="10">
        <v>44926</v>
      </c>
      <c r="S227" s="23">
        <v>3652.98</v>
      </c>
      <c r="T227" s="3">
        <v>18135537</v>
      </c>
      <c r="U227" s="3">
        <v>28708180300102</v>
      </c>
      <c r="V227" s="4" t="s">
        <v>1993</v>
      </c>
      <c r="W227" s="4">
        <v>13347</v>
      </c>
      <c r="X227" s="4" t="s">
        <v>1583</v>
      </c>
      <c r="Z227" s="3">
        <f ca="1">DATEDIF(Table1[[#This Row],[تاريخ الميلاد]],TODAY(),"y")</f>
        <v>39</v>
      </c>
      <c r="AA22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39 عام 0  شهر  2  يوم </v>
      </c>
      <c r="AB22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9عام1  شهر  19  يوم </v>
      </c>
      <c r="AC227" s="10">
        <f>DATE(YEAR(Table1[[#This Row],[تاريخ الميلاد]])+60,MONTH(Table1[[#This Row],[تاريخ الميلاد]]),DAY(Table1[[#This Row],[تاريخ الميلاد]]))</f>
        <v>53922</v>
      </c>
      <c r="AD227" s="14">
        <f>DATE(YEAR(Table1[[#This Row],[معاش 01/01]])-1,MONTH(Table1[[#This Row],[تاريخ بلوغ 60 ]]),DAY(Table1[[#This Row],[تاريخ بلوغ 60 ]]))</f>
        <v>53922</v>
      </c>
      <c r="AE22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54288</v>
      </c>
      <c r="AF227" s="10" t="str">
        <f>IFERROR(IF(ISODD(MID(Table1[[#This Row],[الرقم القومي]],13,1)),"ذكر","انثي"),"")</f>
        <v>انثي</v>
      </c>
      <c r="AG227" s="70" t="s">
        <v>2606</v>
      </c>
      <c r="AH227" s="3">
        <f>IF(MONTH(Table1[[#This Row],[تاريخ بلوغ 60 ]])&lt;&gt;1,1,0)</f>
        <v>1</v>
      </c>
      <c r="AI227" s="3">
        <f>IF(DAY(Table1[[#This Row],[تاريخ بلوغ 60 ]])&lt;&gt;1,1,0)</f>
        <v>1</v>
      </c>
      <c r="AJ227" s="4" t="s">
        <v>465</v>
      </c>
      <c r="AK227" s="4" t="s">
        <v>2636</v>
      </c>
      <c r="AL227" s="62" t="s">
        <v>1992</v>
      </c>
      <c r="AM227" s="62" t="s">
        <v>2867</v>
      </c>
      <c r="AN227" s="2">
        <v>1</v>
      </c>
      <c r="AO227" s="4" t="s">
        <v>2641</v>
      </c>
      <c r="AP227" s="74">
        <v>430.13</v>
      </c>
      <c r="AQ227" s="4">
        <v>12.5</v>
      </c>
      <c r="AR227" s="4">
        <v>3</v>
      </c>
      <c r="AS227" s="4" t="s">
        <v>2668</v>
      </c>
      <c r="AT227" s="72">
        <v>6</v>
      </c>
      <c r="AU227" s="2">
        <v>7</v>
      </c>
      <c r="AV227" s="4"/>
      <c r="AW227" s="4"/>
      <c r="AX227" s="4"/>
    </row>
    <row r="228" spans="1:50" ht="15" x14ac:dyDescent="0.2">
      <c r="A228" s="3">
        <v>31682</v>
      </c>
      <c r="B228" s="1" t="s">
        <v>468</v>
      </c>
      <c r="C228" s="3">
        <v>1</v>
      </c>
      <c r="D228" s="3" t="s">
        <v>465</v>
      </c>
      <c r="E228" s="3">
        <v>3</v>
      </c>
      <c r="F228" s="3" t="s">
        <v>472</v>
      </c>
      <c r="G228" s="7" t="s">
        <v>188</v>
      </c>
      <c r="H228" s="3">
        <v>104</v>
      </c>
      <c r="I228" s="3" t="s">
        <v>1083</v>
      </c>
      <c r="J228" s="3">
        <v>18</v>
      </c>
      <c r="K228" s="3" t="s">
        <v>1529</v>
      </c>
      <c r="L228" s="3">
        <v>7</v>
      </c>
      <c r="M228" s="3" t="s">
        <v>504</v>
      </c>
      <c r="N228" s="3" t="s">
        <v>1089</v>
      </c>
      <c r="O228" s="10">
        <v>32385</v>
      </c>
      <c r="P228" s="10">
        <v>42917</v>
      </c>
      <c r="Q228" s="10"/>
      <c r="R228" s="10">
        <v>44926</v>
      </c>
      <c r="S228" s="23">
        <v>3652.98</v>
      </c>
      <c r="T228" s="3">
        <v>59778231</v>
      </c>
      <c r="U228" s="3">
        <v>28808300300289</v>
      </c>
      <c r="V228" s="4" t="s">
        <v>1995</v>
      </c>
      <c r="W228" s="4">
        <v>13321</v>
      </c>
      <c r="X228" s="4" t="s">
        <v>1583</v>
      </c>
      <c r="Y228" s="4">
        <v>2005</v>
      </c>
      <c r="Z228" s="3">
        <f ca="1">DATEDIF(Table1[[#This Row],[تاريخ الميلاد]],TODAY(),"y")</f>
        <v>37</v>
      </c>
      <c r="AA22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11  شهر  21  يوم </v>
      </c>
      <c r="AB22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9عام1  شهر  19  يوم </v>
      </c>
      <c r="AC228" s="10">
        <f>DATE(YEAR(Table1[[#This Row],[تاريخ الميلاد]])+60,MONTH(Table1[[#This Row],[تاريخ الميلاد]]),DAY(Table1[[#This Row],[تاريخ الميلاد]]))</f>
        <v>54300</v>
      </c>
      <c r="AD228" s="14">
        <f>DATE(YEAR(Table1[[#This Row],[معاش 01/01]])-1,MONTH(Table1[[#This Row],[تاريخ بلوغ 60 ]]),DAY(Table1[[#This Row],[تاريخ بلوغ 60 ]]))</f>
        <v>54300</v>
      </c>
      <c r="AE22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54665</v>
      </c>
      <c r="AF228" s="10" t="str">
        <f>IFERROR(IF(ISODD(MID(Table1[[#This Row],[الرقم القومي]],13,1)),"ذكر","انثي"),"")</f>
        <v>انثي</v>
      </c>
      <c r="AG228" s="70" t="s">
        <v>2606</v>
      </c>
      <c r="AH228" s="3">
        <f>IF(MONTH(Table1[[#This Row],[تاريخ بلوغ 60 ]])&lt;&gt;1,1,0)</f>
        <v>1</v>
      </c>
      <c r="AI228" s="3">
        <f>IF(DAY(Table1[[#This Row],[تاريخ بلوغ 60 ]])&lt;&gt;1,1,0)</f>
        <v>1</v>
      </c>
      <c r="AJ228" s="4" t="s">
        <v>465</v>
      </c>
      <c r="AK228" s="4" t="s">
        <v>2730</v>
      </c>
      <c r="AL228" s="62" t="s">
        <v>1994</v>
      </c>
      <c r="AM228" s="62" t="s">
        <v>2868</v>
      </c>
      <c r="AN228" s="2">
        <v>3</v>
      </c>
      <c r="AO228" s="4" t="s">
        <v>2641</v>
      </c>
      <c r="AP228" s="74">
        <v>645.19000000000005</v>
      </c>
      <c r="AQ228" s="4">
        <v>18.75</v>
      </c>
      <c r="AR228" s="4">
        <v>1</v>
      </c>
      <c r="AS228" s="4" t="s">
        <v>2635</v>
      </c>
      <c r="AT228" s="72">
        <v>2</v>
      </c>
      <c r="AU228" s="2">
        <v>7</v>
      </c>
      <c r="AV228" s="4"/>
      <c r="AW228" s="4"/>
      <c r="AX228" s="4"/>
    </row>
    <row r="229" spans="1:50" ht="15" x14ac:dyDescent="0.2">
      <c r="A229" s="3">
        <v>31734</v>
      </c>
      <c r="B229" s="1" t="s">
        <v>468</v>
      </c>
      <c r="C229" s="3">
        <v>1</v>
      </c>
      <c r="D229" s="3" t="s">
        <v>465</v>
      </c>
      <c r="E229" s="3">
        <v>3</v>
      </c>
      <c r="F229" s="3" t="s">
        <v>472</v>
      </c>
      <c r="G229" s="7" t="s">
        <v>189</v>
      </c>
      <c r="H229" s="3">
        <v>224</v>
      </c>
      <c r="I229" s="3" t="s">
        <v>1550</v>
      </c>
      <c r="J229" s="3">
        <v>18</v>
      </c>
      <c r="K229" s="3" t="s">
        <v>1529</v>
      </c>
      <c r="L229" s="3">
        <v>7</v>
      </c>
      <c r="M229" s="3" t="s">
        <v>504</v>
      </c>
      <c r="N229" s="3" t="s">
        <v>1547</v>
      </c>
      <c r="O229" s="10">
        <v>34335</v>
      </c>
      <c r="P229" s="10">
        <v>43101</v>
      </c>
      <c r="Q229" s="10"/>
      <c r="R229" s="10">
        <v>44926</v>
      </c>
      <c r="S229" s="23">
        <v>3501.11</v>
      </c>
      <c r="T229" s="3">
        <v>70370239</v>
      </c>
      <c r="U229" s="3">
        <v>29401010300774</v>
      </c>
      <c r="V229" s="4" t="s">
        <v>1997</v>
      </c>
      <c r="W229" s="4">
        <v>13404</v>
      </c>
      <c r="X229" s="4" t="s">
        <v>1583</v>
      </c>
      <c r="Y229" s="4">
        <v>2014</v>
      </c>
      <c r="Z229" s="3">
        <f ca="1">DATEDIF(Table1[[#This Row],[تاريخ الميلاد]],TODAY(),"y")</f>
        <v>32</v>
      </c>
      <c r="AA22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32 عام 7  شهر  19  يوم </v>
      </c>
      <c r="AB22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8عام7  شهر  19  يوم </v>
      </c>
      <c r="AC229" s="10">
        <f>DATE(YEAR(Table1[[#This Row],[تاريخ الميلاد]])+60,MONTH(Table1[[#This Row],[تاريخ الميلاد]]),DAY(Table1[[#This Row],[تاريخ الميلاد]]))</f>
        <v>56250</v>
      </c>
      <c r="AD229" s="14">
        <f>DATE(YEAR(Table1[[#This Row],[معاش 01/01]])-1,MONTH(Table1[[#This Row],[تاريخ بلوغ 60 ]]),DAY(Table1[[#This Row],[تاريخ بلوغ 60 ]]))</f>
        <v>55885</v>
      </c>
      <c r="AE22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56250</v>
      </c>
      <c r="AF229" s="10" t="str">
        <f>IFERROR(IF(ISODD(MID(Table1[[#This Row],[الرقم القومي]],13,1)),"ذكر","انثي"),"")</f>
        <v>ذكر</v>
      </c>
      <c r="AG229" s="70" t="s">
        <v>2606</v>
      </c>
      <c r="AH229" s="3">
        <f>IF(MONTH(Table1[[#This Row],[تاريخ بلوغ 60 ]])&lt;&gt;1,1,0)</f>
        <v>0</v>
      </c>
      <c r="AI229" s="3">
        <f>IF(DAY(Table1[[#This Row],[تاريخ بلوغ 60 ]])&lt;&gt;1,1,0)</f>
        <v>0</v>
      </c>
      <c r="AJ229" s="4" t="s">
        <v>465</v>
      </c>
      <c r="AK229" s="4" t="s">
        <v>2636</v>
      </c>
      <c r="AL229" s="62" t="s">
        <v>1996</v>
      </c>
      <c r="AM229" s="62" t="s">
        <v>2869</v>
      </c>
      <c r="AN229" s="2">
        <v>4</v>
      </c>
      <c r="AO229" s="4" t="s">
        <v>2641</v>
      </c>
      <c r="AP229" s="74">
        <v>824.69</v>
      </c>
      <c r="AQ229" s="4">
        <v>25</v>
      </c>
      <c r="AR229" s="4">
        <v>1</v>
      </c>
      <c r="AS229" s="4" t="s">
        <v>2635</v>
      </c>
      <c r="AT229" s="72">
        <v>2</v>
      </c>
      <c r="AU229" s="2">
        <v>7</v>
      </c>
      <c r="AV229" s="4"/>
      <c r="AW229" s="4"/>
      <c r="AX229" s="4"/>
    </row>
    <row r="230" spans="1:50" ht="15" x14ac:dyDescent="0.2">
      <c r="A230" s="3">
        <v>31752</v>
      </c>
      <c r="B230" s="1" t="s">
        <v>468</v>
      </c>
      <c r="C230" s="3">
        <v>1</v>
      </c>
      <c r="D230" s="3" t="s">
        <v>465</v>
      </c>
      <c r="E230" s="3">
        <v>21</v>
      </c>
      <c r="F230" s="3" t="s">
        <v>474</v>
      </c>
      <c r="G230" s="7" t="s">
        <v>190</v>
      </c>
      <c r="H230" s="3">
        <v>227</v>
      </c>
      <c r="I230" s="3" t="s">
        <v>1564</v>
      </c>
      <c r="J230" s="3">
        <v>18</v>
      </c>
      <c r="K230" s="3" t="s">
        <v>1529</v>
      </c>
      <c r="L230" s="3">
        <v>7</v>
      </c>
      <c r="M230" s="3" t="s">
        <v>504</v>
      </c>
      <c r="N230" s="3" t="s">
        <v>1568</v>
      </c>
      <c r="O230" s="10">
        <v>34289</v>
      </c>
      <c r="P230" s="10">
        <v>42312</v>
      </c>
      <c r="Q230" s="10"/>
      <c r="R230" s="10">
        <v>44926</v>
      </c>
      <c r="S230" s="23">
        <v>3900.04</v>
      </c>
      <c r="T230" s="3">
        <v>5163743</v>
      </c>
      <c r="U230" s="3">
        <v>29311160300196</v>
      </c>
      <c r="V230" s="4" t="s">
        <v>1999</v>
      </c>
      <c r="W230" s="4"/>
      <c r="X230" s="4" t="s">
        <v>1583</v>
      </c>
      <c r="Y230" s="4">
        <v>2014</v>
      </c>
      <c r="Z230" s="3">
        <f ca="1">DATEDIF(Table1[[#This Row],[تاريخ الميلاد]],TODAY(),"y")</f>
        <v>32</v>
      </c>
      <c r="AA23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32 عام 9  شهر  4  يوم </v>
      </c>
      <c r="AB23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10عام9  شهر  16  يوم </v>
      </c>
      <c r="AC230" s="10">
        <f>DATE(YEAR(Table1[[#This Row],[تاريخ الميلاد]])+60,MONTH(Table1[[#This Row],[تاريخ الميلاد]]),DAY(Table1[[#This Row],[تاريخ الميلاد]]))</f>
        <v>56204</v>
      </c>
      <c r="AD230" s="14">
        <f>DATE(YEAR(Table1[[#This Row],[معاش 01/01]])-1,MONTH(Table1[[#This Row],[تاريخ بلوغ 60 ]]),DAY(Table1[[#This Row],[تاريخ بلوغ 60 ]]))</f>
        <v>56204</v>
      </c>
      <c r="AE23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56569</v>
      </c>
      <c r="AF230" s="10" t="str">
        <f>IFERROR(IF(ISODD(MID(Table1[[#This Row],[الرقم القومي]],13,1)),"ذكر","انثي"),"")</f>
        <v>ذكر</v>
      </c>
      <c r="AG230" s="70" t="s">
        <v>2606</v>
      </c>
      <c r="AH230" s="3">
        <f>IF(MONTH(Table1[[#This Row],[تاريخ بلوغ 60 ]])&lt;&gt;1,1,0)</f>
        <v>1</v>
      </c>
      <c r="AI230" s="3">
        <f>IF(DAY(Table1[[#This Row],[تاريخ بلوغ 60 ]])&lt;&gt;1,1,0)</f>
        <v>1</v>
      </c>
      <c r="AJ230" s="4" t="s">
        <v>465</v>
      </c>
      <c r="AK230" s="4" t="s">
        <v>2666</v>
      </c>
      <c r="AL230" s="62" t="s">
        <v>1998</v>
      </c>
      <c r="AM230" s="62" t="s">
        <v>2870</v>
      </c>
      <c r="AN230" s="2">
        <v>4</v>
      </c>
      <c r="AO230" s="4" t="s">
        <v>2641</v>
      </c>
      <c r="AP230" s="74">
        <v>920</v>
      </c>
      <c r="AQ230" s="4">
        <v>25</v>
      </c>
      <c r="AR230" s="4">
        <v>3</v>
      </c>
      <c r="AS230" s="4" t="s">
        <v>2668</v>
      </c>
      <c r="AT230" s="72">
        <v>6</v>
      </c>
      <c r="AU230" s="2">
        <v>7</v>
      </c>
      <c r="AV230" s="4"/>
      <c r="AW230" s="4"/>
      <c r="AX230" s="4"/>
    </row>
    <row r="231" spans="1:50" ht="15" x14ac:dyDescent="0.2">
      <c r="A231" s="3">
        <v>31841</v>
      </c>
      <c r="B231" s="1" t="s">
        <v>468</v>
      </c>
      <c r="C231" s="3">
        <v>1</v>
      </c>
      <c r="D231" s="3" t="s">
        <v>465</v>
      </c>
      <c r="E231" s="3">
        <v>21</v>
      </c>
      <c r="F231" s="3" t="s">
        <v>474</v>
      </c>
      <c r="G231" s="7" t="s">
        <v>191</v>
      </c>
      <c r="H231" s="3">
        <v>225</v>
      </c>
      <c r="I231" s="3" t="s">
        <v>1551</v>
      </c>
      <c r="J231" s="3">
        <v>18</v>
      </c>
      <c r="K231" s="3" t="s">
        <v>1529</v>
      </c>
      <c r="L231" s="3">
        <v>7</v>
      </c>
      <c r="M231" s="3" t="s">
        <v>504</v>
      </c>
      <c r="N231" s="3" t="s">
        <v>1556</v>
      </c>
      <c r="O231" s="10">
        <v>34516</v>
      </c>
      <c r="P231" s="10">
        <v>43101</v>
      </c>
      <c r="Q231" s="10"/>
      <c r="R231" s="10">
        <v>44926</v>
      </c>
      <c r="S231" s="23">
        <v>3413.98</v>
      </c>
      <c r="T231" s="3">
        <v>70390167</v>
      </c>
      <c r="U231" s="3">
        <v>29407010300233</v>
      </c>
      <c r="V231" s="4" t="s">
        <v>2001</v>
      </c>
      <c r="W231" s="4"/>
      <c r="X231" s="4" t="s">
        <v>1583</v>
      </c>
      <c r="Y231" s="4">
        <v>2014</v>
      </c>
      <c r="Z231" s="3">
        <f ca="1">DATEDIF(Table1[[#This Row],[تاريخ الميلاد]],TODAY(),"y")</f>
        <v>32</v>
      </c>
      <c r="AA23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32 عام 1  شهر  19  يوم </v>
      </c>
      <c r="AB23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8عام7  شهر  19  يوم </v>
      </c>
      <c r="AC231" s="10">
        <f>DATE(YEAR(Table1[[#This Row],[تاريخ الميلاد]])+60,MONTH(Table1[[#This Row],[تاريخ الميلاد]]),DAY(Table1[[#This Row],[تاريخ الميلاد]]))</f>
        <v>56431</v>
      </c>
      <c r="AD231" s="14">
        <f>DATE(YEAR(Table1[[#This Row],[معاش 01/01]])-1,MONTH(Table1[[#This Row],[تاريخ بلوغ 60 ]]),DAY(Table1[[#This Row],[تاريخ بلوغ 60 ]]))</f>
        <v>56431</v>
      </c>
      <c r="AE23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56796</v>
      </c>
      <c r="AF231" s="10" t="str">
        <f>IFERROR(IF(ISODD(MID(Table1[[#This Row],[الرقم القومي]],13,1)),"ذكر","انثي"),"")</f>
        <v>ذكر</v>
      </c>
      <c r="AG231" s="70" t="s">
        <v>2606</v>
      </c>
      <c r="AH231" s="3">
        <f>IF(MONTH(Table1[[#This Row],[تاريخ بلوغ 60 ]])&lt;&gt;1,1,0)</f>
        <v>1</v>
      </c>
      <c r="AI231" s="3">
        <f>IF(DAY(Table1[[#This Row],[تاريخ بلوغ 60 ]])&lt;&gt;1,1,0)</f>
        <v>0</v>
      </c>
      <c r="AJ231" s="4" t="s">
        <v>465</v>
      </c>
      <c r="AK231" s="4" t="s">
        <v>2730</v>
      </c>
      <c r="AL231" s="62" t="s">
        <v>2000</v>
      </c>
      <c r="AM231" s="62" t="s">
        <v>2871</v>
      </c>
      <c r="AN231" s="2">
        <v>4</v>
      </c>
      <c r="AO231" s="4" t="s">
        <v>2641</v>
      </c>
      <c r="AP231" s="74">
        <v>802.91</v>
      </c>
      <c r="AQ231" s="4">
        <v>25</v>
      </c>
      <c r="AR231" s="4">
        <v>3</v>
      </c>
      <c r="AS231" s="4" t="s">
        <v>2668</v>
      </c>
      <c r="AT231" s="72">
        <v>6</v>
      </c>
      <c r="AU231" s="2">
        <v>7</v>
      </c>
      <c r="AV231" s="4"/>
      <c r="AW231" s="4"/>
      <c r="AX231" s="4"/>
    </row>
    <row r="232" spans="1:50" ht="15" x14ac:dyDescent="0.2">
      <c r="A232" s="3">
        <v>31896</v>
      </c>
      <c r="B232" s="1" t="s">
        <v>468</v>
      </c>
      <c r="C232" s="3">
        <v>1</v>
      </c>
      <c r="D232" s="3" t="s">
        <v>465</v>
      </c>
      <c r="E232" s="3">
        <v>3</v>
      </c>
      <c r="F232" s="3" t="s">
        <v>472</v>
      </c>
      <c r="G232" s="7" t="s">
        <v>2002</v>
      </c>
      <c r="H232" s="3">
        <v>103</v>
      </c>
      <c r="I232" s="3" t="s">
        <v>1075</v>
      </c>
      <c r="J232" s="3">
        <v>18</v>
      </c>
      <c r="K232" s="3" t="s">
        <v>1529</v>
      </c>
      <c r="L232" s="3">
        <v>7</v>
      </c>
      <c r="M232" s="3" t="s">
        <v>504</v>
      </c>
      <c r="N232" s="3" t="s">
        <v>1081</v>
      </c>
      <c r="O232" s="10">
        <v>32201</v>
      </c>
      <c r="P232" s="10">
        <v>43282</v>
      </c>
      <c r="Q232" s="10"/>
      <c r="R232" s="10">
        <v>45291</v>
      </c>
      <c r="S232" s="23">
        <v>3751.66</v>
      </c>
      <c r="T232" s="3">
        <v>45351702</v>
      </c>
      <c r="U232" s="3">
        <v>28802280300033</v>
      </c>
      <c r="V232" s="4" t="s">
        <v>2004</v>
      </c>
      <c r="W232" s="4">
        <v>13569</v>
      </c>
      <c r="X232" s="4" t="s">
        <v>1583</v>
      </c>
      <c r="Y232" s="4">
        <v>2008</v>
      </c>
      <c r="Z232" s="3">
        <f ca="1">DATEDIF(Table1[[#This Row],[تاريخ الميلاد]],TODAY(),"y")</f>
        <v>38</v>
      </c>
      <c r="AA23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5  شهر  23  يوم </v>
      </c>
      <c r="AB23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8عام1  شهر  19  يوم </v>
      </c>
      <c r="AC232" s="10">
        <f>DATE(YEAR(Table1[[#This Row],[تاريخ الميلاد]])+60,MONTH(Table1[[#This Row],[تاريخ الميلاد]]),DAY(Table1[[#This Row],[تاريخ الميلاد]]))</f>
        <v>54116</v>
      </c>
      <c r="AD232" s="14">
        <f>DATE(YEAR(Table1[[#This Row],[معاش 01/01]])-1,MONTH(Table1[[#This Row],[تاريخ بلوغ 60 ]]),DAY(Table1[[#This Row],[تاريخ بلوغ 60 ]]))</f>
        <v>54116</v>
      </c>
      <c r="AE23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54482</v>
      </c>
      <c r="AF232" s="10" t="str">
        <f>IFERROR(IF(ISODD(MID(Table1[[#This Row],[الرقم القومي]],13,1)),"ذكر","انثي"),"")</f>
        <v>ذكر</v>
      </c>
      <c r="AG232" s="70" t="s">
        <v>2606</v>
      </c>
      <c r="AH232" s="3">
        <f>IF(MONTH(Table1[[#This Row],[تاريخ بلوغ 60 ]])&lt;&gt;1,1,0)</f>
        <v>1</v>
      </c>
      <c r="AI232" s="3">
        <f>IF(DAY(Table1[[#This Row],[تاريخ بلوغ 60 ]])&lt;&gt;1,1,0)</f>
        <v>1</v>
      </c>
      <c r="AJ232" s="4" t="s">
        <v>465</v>
      </c>
      <c r="AK232" s="4" t="s">
        <v>2811</v>
      </c>
      <c r="AL232" s="62" t="s">
        <v>2003</v>
      </c>
      <c r="AM232" s="62" t="s">
        <v>2872</v>
      </c>
      <c r="AN232" s="2">
        <v>4</v>
      </c>
      <c r="AO232" s="4" t="s">
        <v>2641</v>
      </c>
      <c r="AP232" s="74">
        <v>883.93</v>
      </c>
      <c r="AQ232" s="4">
        <v>25</v>
      </c>
      <c r="AR232" s="4">
        <v>3</v>
      </c>
      <c r="AS232" s="4" t="s">
        <v>2668</v>
      </c>
      <c r="AT232" s="72">
        <v>6</v>
      </c>
      <c r="AU232" s="2">
        <v>7</v>
      </c>
      <c r="AV232" s="4"/>
      <c r="AW232" s="4"/>
      <c r="AX232" s="4"/>
    </row>
    <row r="233" spans="1:50" ht="15" x14ac:dyDescent="0.2">
      <c r="A233" s="3">
        <v>31897</v>
      </c>
      <c r="B233" s="1" t="s">
        <v>468</v>
      </c>
      <c r="C233" s="3">
        <v>1</v>
      </c>
      <c r="D233" s="3" t="s">
        <v>465</v>
      </c>
      <c r="E233" s="3">
        <v>3</v>
      </c>
      <c r="F233" s="3" t="s">
        <v>472</v>
      </c>
      <c r="G233" s="7" t="s">
        <v>192</v>
      </c>
      <c r="H233" s="3">
        <v>103</v>
      </c>
      <c r="I233" s="3" t="s">
        <v>1075</v>
      </c>
      <c r="J233" s="3">
        <v>18</v>
      </c>
      <c r="K233" s="3" t="s">
        <v>1529</v>
      </c>
      <c r="L233" s="3">
        <v>7</v>
      </c>
      <c r="M233" s="3" t="s">
        <v>504</v>
      </c>
      <c r="N233" s="3" t="s">
        <v>1081</v>
      </c>
      <c r="O233" s="10">
        <v>33684</v>
      </c>
      <c r="P233" s="10">
        <v>43282</v>
      </c>
      <c r="Q233" s="10"/>
      <c r="R233" s="10">
        <v>45291</v>
      </c>
      <c r="S233" s="23">
        <v>3751.66</v>
      </c>
      <c r="T233" s="3">
        <v>63572401</v>
      </c>
      <c r="U233" s="3">
        <v>29203210300438</v>
      </c>
      <c r="V233" s="4" t="s">
        <v>2006</v>
      </c>
      <c r="W233" s="4">
        <v>13570</v>
      </c>
      <c r="X233" s="4" t="s">
        <v>1583</v>
      </c>
      <c r="Y233" s="4">
        <v>2012</v>
      </c>
      <c r="Z233" s="3">
        <f ca="1">DATEDIF(Table1[[#This Row],[تاريخ الميلاد]],TODAY(),"y")</f>
        <v>34</v>
      </c>
      <c r="AA23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34 عام 4  شهر  30  يوم </v>
      </c>
      <c r="AB23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8عام1  شهر  19  يوم </v>
      </c>
      <c r="AC233" s="10">
        <f>DATE(YEAR(Table1[[#This Row],[تاريخ الميلاد]])+60,MONTH(Table1[[#This Row],[تاريخ الميلاد]]),DAY(Table1[[#This Row],[تاريخ الميلاد]]))</f>
        <v>55599</v>
      </c>
      <c r="AD233" s="14">
        <f>DATE(YEAR(Table1[[#This Row],[معاش 01/01]])-1,MONTH(Table1[[#This Row],[تاريخ بلوغ 60 ]]),DAY(Table1[[#This Row],[تاريخ بلوغ 60 ]]))</f>
        <v>55599</v>
      </c>
      <c r="AE23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55964</v>
      </c>
      <c r="AF233" s="10" t="str">
        <f>IFERROR(IF(ISODD(MID(Table1[[#This Row],[الرقم القومي]],13,1)),"ذكر","انثي"),"")</f>
        <v>ذكر</v>
      </c>
      <c r="AG233" s="70" t="s">
        <v>2606</v>
      </c>
      <c r="AH233" s="3">
        <f>IF(MONTH(Table1[[#This Row],[تاريخ بلوغ 60 ]])&lt;&gt;1,1,0)</f>
        <v>1</v>
      </c>
      <c r="AI233" s="3">
        <f>IF(DAY(Table1[[#This Row],[تاريخ بلوغ 60 ]])&lt;&gt;1,1,0)</f>
        <v>1</v>
      </c>
      <c r="AJ233" s="4" t="s">
        <v>465</v>
      </c>
      <c r="AK233" s="4" t="s">
        <v>2636</v>
      </c>
      <c r="AL233" s="62" t="s">
        <v>2005</v>
      </c>
      <c r="AM233" s="62" t="s">
        <v>2873</v>
      </c>
      <c r="AN233" s="2">
        <v>4</v>
      </c>
      <c r="AO233" s="4" t="s">
        <v>2641</v>
      </c>
      <c r="AP233" s="74">
        <v>883.93</v>
      </c>
      <c r="AQ233" s="4">
        <v>25</v>
      </c>
      <c r="AR233" s="4">
        <v>1</v>
      </c>
      <c r="AS233" s="4" t="s">
        <v>2635</v>
      </c>
      <c r="AT233" s="72">
        <v>2</v>
      </c>
      <c r="AU233" s="2">
        <v>7</v>
      </c>
      <c r="AV233" s="4"/>
      <c r="AW233" s="4"/>
      <c r="AX233" s="4"/>
    </row>
    <row r="234" spans="1:50" ht="15" x14ac:dyDescent="0.2">
      <c r="A234" s="3">
        <v>31899</v>
      </c>
      <c r="B234" s="1" t="s">
        <v>468</v>
      </c>
      <c r="C234" s="3">
        <v>1</v>
      </c>
      <c r="D234" s="3" t="s">
        <v>465</v>
      </c>
      <c r="E234" s="3">
        <v>3</v>
      </c>
      <c r="F234" s="3" t="s">
        <v>472</v>
      </c>
      <c r="G234" s="7" t="s">
        <v>193</v>
      </c>
      <c r="H234" s="3">
        <v>103</v>
      </c>
      <c r="I234" s="3" t="s">
        <v>1075</v>
      </c>
      <c r="J234" s="3">
        <v>18</v>
      </c>
      <c r="K234" s="3" t="s">
        <v>1529</v>
      </c>
      <c r="L234" s="3">
        <v>7</v>
      </c>
      <c r="M234" s="3" t="s">
        <v>504</v>
      </c>
      <c r="N234" s="3" t="s">
        <v>1081</v>
      </c>
      <c r="O234" s="10">
        <v>32305</v>
      </c>
      <c r="P234" s="10">
        <v>43282</v>
      </c>
      <c r="Q234" s="10"/>
      <c r="R234" s="10">
        <v>45291</v>
      </c>
      <c r="S234" s="23">
        <v>3751.66</v>
      </c>
      <c r="T234" s="3">
        <v>51810576</v>
      </c>
      <c r="U234" s="3">
        <v>28806111202931</v>
      </c>
      <c r="V234" s="4" t="s">
        <v>2008</v>
      </c>
      <c r="W234" s="4">
        <v>13573</v>
      </c>
      <c r="X234" s="4" t="s">
        <v>1583</v>
      </c>
      <c r="Y234" s="4">
        <v>2009</v>
      </c>
      <c r="Z234" s="3">
        <f ca="1">DATEDIF(Table1[[#This Row],[تاريخ الميلاد]],TODAY(),"y")</f>
        <v>38</v>
      </c>
      <c r="AA23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2  شهر  9  يوم </v>
      </c>
      <c r="AB23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8عام1  شهر  19  يوم </v>
      </c>
      <c r="AC234" s="10">
        <f>DATE(YEAR(Table1[[#This Row],[تاريخ الميلاد]])+60,MONTH(Table1[[#This Row],[تاريخ الميلاد]]),DAY(Table1[[#This Row],[تاريخ الميلاد]]))</f>
        <v>54220</v>
      </c>
      <c r="AD234" s="14">
        <f>DATE(YEAR(Table1[[#This Row],[معاش 01/01]])-1,MONTH(Table1[[#This Row],[تاريخ بلوغ 60 ]]),DAY(Table1[[#This Row],[تاريخ بلوغ 60 ]]))</f>
        <v>54220</v>
      </c>
      <c r="AE23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54585</v>
      </c>
      <c r="AF234" s="10" t="str">
        <f>IFERROR(IF(ISODD(MID(Table1[[#This Row],[الرقم القومي]],13,1)),"ذكر","انثي"),"")</f>
        <v>ذكر</v>
      </c>
      <c r="AG234" s="70" t="s">
        <v>1635</v>
      </c>
      <c r="AH234" s="3">
        <f>IF(MONTH(Table1[[#This Row],[تاريخ بلوغ 60 ]])&lt;&gt;1,1,0)</f>
        <v>1</v>
      </c>
      <c r="AI234" s="3">
        <f>IF(DAY(Table1[[#This Row],[تاريخ بلوغ 60 ]])&lt;&gt;1,1,0)</f>
        <v>1</v>
      </c>
      <c r="AJ234" s="4" t="s">
        <v>465</v>
      </c>
      <c r="AK234" s="4" t="s">
        <v>2689</v>
      </c>
      <c r="AL234" s="62" t="s">
        <v>2007</v>
      </c>
      <c r="AM234" s="62" t="s">
        <v>2874</v>
      </c>
      <c r="AN234" s="2">
        <v>4</v>
      </c>
      <c r="AO234" s="4" t="s">
        <v>2641</v>
      </c>
      <c r="AP234" s="74">
        <v>883.93</v>
      </c>
      <c r="AQ234" s="4">
        <v>25</v>
      </c>
      <c r="AR234" s="4">
        <v>3</v>
      </c>
      <c r="AS234" s="4" t="s">
        <v>2668</v>
      </c>
      <c r="AT234" s="72">
        <v>6</v>
      </c>
      <c r="AU234" s="2">
        <v>7</v>
      </c>
      <c r="AV234" s="4"/>
      <c r="AW234" s="4"/>
      <c r="AX234" s="4"/>
    </row>
    <row r="235" spans="1:50" ht="15" x14ac:dyDescent="0.2">
      <c r="A235" s="3">
        <v>32088</v>
      </c>
      <c r="B235" s="1" t="s">
        <v>468</v>
      </c>
      <c r="C235" s="3">
        <v>1</v>
      </c>
      <c r="D235" s="3" t="s">
        <v>465</v>
      </c>
      <c r="E235" s="3">
        <v>3</v>
      </c>
      <c r="F235" s="3" t="s">
        <v>472</v>
      </c>
      <c r="G235" s="7" t="s">
        <v>194</v>
      </c>
      <c r="H235" s="3">
        <v>102</v>
      </c>
      <c r="I235" s="3" t="s">
        <v>1068</v>
      </c>
      <c r="J235" s="3">
        <v>18</v>
      </c>
      <c r="K235" s="3" t="s">
        <v>1529</v>
      </c>
      <c r="L235" s="3">
        <v>7</v>
      </c>
      <c r="M235" s="3" t="s">
        <v>504</v>
      </c>
      <c r="N235" s="3" t="s">
        <v>1073</v>
      </c>
      <c r="O235" s="10">
        <v>33258</v>
      </c>
      <c r="P235" s="10">
        <v>43282</v>
      </c>
      <c r="Q235" s="10"/>
      <c r="R235" s="10">
        <v>45291</v>
      </c>
      <c r="S235" s="23">
        <v>3751.66</v>
      </c>
      <c r="T235" s="3">
        <v>63308932</v>
      </c>
      <c r="U235" s="3">
        <v>29101201604231</v>
      </c>
      <c r="V235" s="4" t="s">
        <v>2011</v>
      </c>
      <c r="W235" s="4">
        <v>70018</v>
      </c>
      <c r="X235" s="4" t="s">
        <v>1583</v>
      </c>
      <c r="Z235" s="3">
        <f ca="1">DATEDIF(Table1[[#This Row],[تاريخ الميلاد]],TODAY(),"y")</f>
        <v>35</v>
      </c>
      <c r="AA23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35 عام 7  شهر  0  يوم </v>
      </c>
      <c r="AB23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8عام1  شهر  19  يوم </v>
      </c>
      <c r="AC235" s="10">
        <f>DATE(YEAR(Table1[[#This Row],[تاريخ الميلاد]])+60,MONTH(Table1[[#This Row],[تاريخ الميلاد]]),DAY(Table1[[#This Row],[تاريخ الميلاد]]))</f>
        <v>55173</v>
      </c>
      <c r="AD235" s="14">
        <f>DATE(YEAR(Table1[[#This Row],[معاش 01/01]])-1,MONTH(Table1[[#This Row],[تاريخ بلوغ 60 ]]),DAY(Table1[[#This Row],[تاريخ بلوغ 60 ]]))</f>
        <v>55173</v>
      </c>
      <c r="AE23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55538</v>
      </c>
      <c r="AF235" s="10" t="str">
        <f>IFERROR(IF(ISODD(MID(Table1[[#This Row],[الرقم القومي]],13,1)),"ذكر","انثي"),"")</f>
        <v>ذكر</v>
      </c>
      <c r="AG235" s="70" t="s">
        <v>2613</v>
      </c>
      <c r="AH235" s="3">
        <f>IF(MONTH(Table1[[#This Row],[تاريخ بلوغ 60 ]])&lt;&gt;1,1,0)</f>
        <v>0</v>
      </c>
      <c r="AI235" s="3">
        <f>IF(DAY(Table1[[#This Row],[تاريخ بلوغ 60 ]])&lt;&gt;1,1,0)</f>
        <v>1</v>
      </c>
      <c r="AJ235" s="4" t="s">
        <v>2009</v>
      </c>
      <c r="AK235" s="4" t="s">
        <v>2876</v>
      </c>
      <c r="AL235" s="62" t="s">
        <v>2010</v>
      </c>
      <c r="AM235" s="62" t="s">
        <v>2875</v>
      </c>
      <c r="AN235" s="2">
        <v>4</v>
      </c>
      <c r="AO235" s="4" t="s">
        <v>2641</v>
      </c>
      <c r="AP235" s="74">
        <v>883.93</v>
      </c>
      <c r="AQ235" s="4">
        <v>25</v>
      </c>
      <c r="AR235" s="4">
        <v>3</v>
      </c>
      <c r="AS235" s="4" t="s">
        <v>2668</v>
      </c>
      <c r="AT235" s="72">
        <v>6</v>
      </c>
      <c r="AU235" s="2">
        <v>7</v>
      </c>
      <c r="AV235" s="4"/>
      <c r="AW235" s="4"/>
      <c r="AX235" s="4"/>
    </row>
    <row r="236" spans="1:50" ht="15" x14ac:dyDescent="0.2">
      <c r="A236" s="3">
        <v>32092</v>
      </c>
      <c r="B236" s="1" t="s">
        <v>468</v>
      </c>
      <c r="C236" s="3">
        <v>1</v>
      </c>
      <c r="D236" s="3" t="s">
        <v>465</v>
      </c>
      <c r="E236" s="3">
        <v>3</v>
      </c>
      <c r="F236" s="3" t="s">
        <v>472</v>
      </c>
      <c r="G236" s="7" t="s">
        <v>195</v>
      </c>
      <c r="H236" s="3">
        <v>102</v>
      </c>
      <c r="I236" s="3" t="s">
        <v>1068</v>
      </c>
      <c r="J236" s="3">
        <v>18</v>
      </c>
      <c r="K236" s="3" t="s">
        <v>1529</v>
      </c>
      <c r="L236" s="3">
        <v>7</v>
      </c>
      <c r="M236" s="3" t="s">
        <v>504</v>
      </c>
      <c r="N236" s="3" t="s">
        <v>1073</v>
      </c>
      <c r="O236" s="10">
        <v>33337</v>
      </c>
      <c r="P236" s="10">
        <v>43282</v>
      </c>
      <c r="Q236" s="10"/>
      <c r="R236" s="10">
        <v>45291</v>
      </c>
      <c r="S236" s="23">
        <v>3751.66</v>
      </c>
      <c r="T236" s="3">
        <v>65563050</v>
      </c>
      <c r="U236" s="3">
        <v>29104090300139</v>
      </c>
      <c r="V236" s="4" t="s">
        <v>2013</v>
      </c>
      <c r="W236" s="4">
        <v>70022</v>
      </c>
      <c r="X236" s="4" t="s">
        <v>1583</v>
      </c>
      <c r="Z236" s="3">
        <f ca="1">DATEDIF(Table1[[#This Row],[تاريخ الميلاد]],TODAY(),"y")</f>
        <v>35</v>
      </c>
      <c r="AA23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35 عام 4  شهر  11  يوم </v>
      </c>
      <c r="AB23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8عام1  شهر  19  يوم </v>
      </c>
      <c r="AC236" s="10">
        <f>DATE(YEAR(Table1[[#This Row],[تاريخ الميلاد]])+60,MONTH(Table1[[#This Row],[تاريخ الميلاد]]),DAY(Table1[[#This Row],[تاريخ الميلاد]]))</f>
        <v>55252</v>
      </c>
      <c r="AD236" s="14">
        <f>DATE(YEAR(Table1[[#This Row],[معاش 01/01]])-1,MONTH(Table1[[#This Row],[تاريخ بلوغ 60 ]]),DAY(Table1[[#This Row],[تاريخ بلوغ 60 ]]))</f>
        <v>55252</v>
      </c>
      <c r="AE23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55618</v>
      </c>
      <c r="AF236" s="10" t="str">
        <f>IFERROR(IF(ISODD(MID(Table1[[#This Row],[الرقم القومي]],13,1)),"ذكر","انثي"),"")</f>
        <v>ذكر</v>
      </c>
      <c r="AG236" s="70" t="s">
        <v>2606</v>
      </c>
      <c r="AH236" s="3">
        <f>IF(MONTH(Table1[[#This Row],[تاريخ بلوغ 60 ]])&lt;&gt;1,1,0)</f>
        <v>1</v>
      </c>
      <c r="AI236" s="3">
        <f>IF(DAY(Table1[[#This Row],[تاريخ بلوغ 60 ]])&lt;&gt;1,1,0)</f>
        <v>1</v>
      </c>
      <c r="AJ236" s="4" t="s">
        <v>465</v>
      </c>
      <c r="AK236" s="4" t="s">
        <v>2730</v>
      </c>
      <c r="AL236" s="62" t="s">
        <v>2012</v>
      </c>
      <c r="AM236" s="62" t="s">
        <v>2877</v>
      </c>
      <c r="AN236" s="2">
        <v>4</v>
      </c>
      <c r="AO236" s="4" t="s">
        <v>2641</v>
      </c>
      <c r="AP236" s="74">
        <v>883.93</v>
      </c>
      <c r="AQ236" s="4">
        <v>25</v>
      </c>
      <c r="AR236" s="4">
        <v>3</v>
      </c>
      <c r="AS236" s="4" t="s">
        <v>2668</v>
      </c>
      <c r="AT236" s="72">
        <v>6</v>
      </c>
      <c r="AU236" s="2">
        <v>7</v>
      </c>
      <c r="AV236" s="4"/>
      <c r="AW236" s="4"/>
      <c r="AX236" s="4"/>
    </row>
    <row r="237" spans="1:50" ht="15" x14ac:dyDescent="0.2">
      <c r="A237" s="3">
        <v>32103</v>
      </c>
      <c r="B237" s="1" t="s">
        <v>468</v>
      </c>
      <c r="C237" s="3">
        <v>1</v>
      </c>
      <c r="D237" s="3" t="s">
        <v>465</v>
      </c>
      <c r="E237" s="3">
        <v>3</v>
      </c>
      <c r="F237" s="3" t="s">
        <v>472</v>
      </c>
      <c r="G237" s="7" t="s">
        <v>196</v>
      </c>
      <c r="H237" s="3">
        <v>102</v>
      </c>
      <c r="I237" s="3" t="s">
        <v>1068</v>
      </c>
      <c r="J237" s="3">
        <v>18</v>
      </c>
      <c r="K237" s="3" t="s">
        <v>1529</v>
      </c>
      <c r="L237" s="3">
        <v>7</v>
      </c>
      <c r="M237" s="3" t="s">
        <v>504</v>
      </c>
      <c r="N237" s="3" t="s">
        <v>1073</v>
      </c>
      <c r="O237" s="10">
        <v>32313</v>
      </c>
      <c r="P237" s="10">
        <v>43282</v>
      </c>
      <c r="Q237" s="10"/>
      <c r="R237" s="10">
        <v>45291</v>
      </c>
      <c r="S237" s="23">
        <v>3751.66</v>
      </c>
      <c r="T237" s="3">
        <v>64283228</v>
      </c>
      <c r="U237" s="3">
        <v>28806191304471</v>
      </c>
      <c r="V237" s="4" t="s">
        <v>2015</v>
      </c>
      <c r="W237" s="4">
        <v>70032</v>
      </c>
      <c r="X237" s="4" t="s">
        <v>1583</v>
      </c>
      <c r="Z237" s="3">
        <f ca="1">DATEDIF(Table1[[#This Row],[تاريخ الميلاد]],TODAY(),"y")</f>
        <v>38</v>
      </c>
      <c r="AA23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2  شهر  1  يوم </v>
      </c>
      <c r="AB23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8عام1  شهر  19  يوم </v>
      </c>
      <c r="AC237" s="10">
        <f>DATE(YEAR(Table1[[#This Row],[تاريخ الميلاد]])+60,MONTH(Table1[[#This Row],[تاريخ الميلاد]]),DAY(Table1[[#This Row],[تاريخ الميلاد]]))</f>
        <v>54228</v>
      </c>
      <c r="AD237" s="14">
        <f>DATE(YEAR(Table1[[#This Row],[معاش 01/01]])-1,MONTH(Table1[[#This Row],[تاريخ بلوغ 60 ]]),DAY(Table1[[#This Row],[تاريخ بلوغ 60 ]]))</f>
        <v>54228</v>
      </c>
      <c r="AE23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54593</v>
      </c>
      <c r="AF237" s="10" t="str">
        <f>IFERROR(IF(ISODD(MID(Table1[[#This Row],[الرقم القومي]],13,1)),"ذكر","انثي"),"")</f>
        <v>ذكر</v>
      </c>
      <c r="AG237" s="70" t="s">
        <v>2610</v>
      </c>
      <c r="AH237" s="3">
        <f>IF(MONTH(Table1[[#This Row],[تاريخ بلوغ 60 ]])&lt;&gt;1,1,0)</f>
        <v>1</v>
      </c>
      <c r="AI237" s="3">
        <f>IF(DAY(Table1[[#This Row],[تاريخ بلوغ 60 ]])&lt;&gt;1,1,0)</f>
        <v>1</v>
      </c>
      <c r="AJ237" s="4" t="s">
        <v>465</v>
      </c>
      <c r="AK237" s="4" t="s">
        <v>2636</v>
      </c>
      <c r="AL237" s="62" t="s">
        <v>2014</v>
      </c>
      <c r="AM237" s="62" t="s">
        <v>2878</v>
      </c>
      <c r="AN237" s="2">
        <v>4</v>
      </c>
      <c r="AO237" s="4" t="s">
        <v>2641</v>
      </c>
      <c r="AP237" s="74">
        <v>883.93</v>
      </c>
      <c r="AQ237" s="4">
        <v>25</v>
      </c>
      <c r="AR237" s="4">
        <v>2</v>
      </c>
      <c r="AS237" s="4" t="s">
        <v>2696</v>
      </c>
      <c r="AT237" s="72">
        <v>4</v>
      </c>
      <c r="AU237" s="2">
        <v>7</v>
      </c>
      <c r="AV237" s="4"/>
      <c r="AW237" s="4"/>
      <c r="AX237" s="4"/>
    </row>
    <row r="238" spans="1:50" ht="15" x14ac:dyDescent="0.2">
      <c r="A238" s="3">
        <v>32105</v>
      </c>
      <c r="B238" s="1" t="s">
        <v>468</v>
      </c>
      <c r="C238" s="3">
        <v>1</v>
      </c>
      <c r="D238" s="3" t="s">
        <v>465</v>
      </c>
      <c r="E238" s="3">
        <v>3</v>
      </c>
      <c r="F238" s="3" t="s">
        <v>472</v>
      </c>
      <c r="G238" s="7" t="s">
        <v>197</v>
      </c>
      <c r="H238" s="3">
        <v>102</v>
      </c>
      <c r="I238" s="3" t="s">
        <v>1068</v>
      </c>
      <c r="J238" s="3">
        <v>18</v>
      </c>
      <c r="K238" s="3" t="s">
        <v>1529</v>
      </c>
      <c r="L238" s="3">
        <v>7</v>
      </c>
      <c r="M238" s="3" t="s">
        <v>504</v>
      </c>
      <c r="N238" s="3" t="s">
        <v>1073</v>
      </c>
      <c r="O238" s="10">
        <v>33050</v>
      </c>
      <c r="P238" s="10">
        <v>43282</v>
      </c>
      <c r="Q238" s="10"/>
      <c r="R238" s="10">
        <v>45291</v>
      </c>
      <c r="S238" s="23">
        <v>3751.66</v>
      </c>
      <c r="T238" s="3">
        <v>43691426</v>
      </c>
      <c r="U238" s="3">
        <v>29006261601599</v>
      </c>
      <c r="V238" s="4" t="s">
        <v>2018</v>
      </c>
      <c r="W238" s="4">
        <v>70034</v>
      </c>
      <c r="X238" s="4" t="s">
        <v>1583</v>
      </c>
      <c r="Z238" s="3">
        <f ca="1">DATEDIF(Table1[[#This Row],[تاريخ الميلاد]],TODAY(),"y")</f>
        <v>36</v>
      </c>
      <c r="AA23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36 عام 1  شهر  25  يوم </v>
      </c>
      <c r="AB23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8عام1  شهر  19  يوم </v>
      </c>
      <c r="AC238" s="10">
        <f>DATE(YEAR(Table1[[#This Row],[تاريخ الميلاد]])+60,MONTH(Table1[[#This Row],[تاريخ الميلاد]]),DAY(Table1[[#This Row],[تاريخ الميلاد]]))</f>
        <v>54965</v>
      </c>
      <c r="AD238" s="14">
        <f>DATE(YEAR(Table1[[#This Row],[معاش 01/01]])-1,MONTH(Table1[[#This Row],[تاريخ بلوغ 60 ]]),DAY(Table1[[#This Row],[تاريخ بلوغ 60 ]]))</f>
        <v>54965</v>
      </c>
      <c r="AE23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55330</v>
      </c>
      <c r="AF238" s="10" t="str">
        <f>IFERROR(IF(ISODD(MID(Table1[[#This Row],[الرقم القومي]],13,1)),"ذكر","انثي"),"")</f>
        <v>ذكر</v>
      </c>
      <c r="AG238" s="70" t="s">
        <v>2613</v>
      </c>
      <c r="AH238" s="3">
        <f>IF(MONTH(Table1[[#This Row],[تاريخ بلوغ 60 ]])&lt;&gt;1,1,0)</f>
        <v>1</v>
      </c>
      <c r="AI238" s="3">
        <f>IF(DAY(Table1[[#This Row],[تاريخ بلوغ 60 ]])&lt;&gt;1,1,0)</f>
        <v>1</v>
      </c>
      <c r="AJ238" s="4" t="s">
        <v>2016</v>
      </c>
      <c r="AK238" s="4" t="s">
        <v>2880</v>
      </c>
      <c r="AL238" s="62" t="s">
        <v>2017</v>
      </c>
      <c r="AM238" s="62" t="s">
        <v>2879</v>
      </c>
      <c r="AN238" s="2">
        <v>4</v>
      </c>
      <c r="AO238" s="4" t="s">
        <v>2641</v>
      </c>
      <c r="AP238" s="74">
        <v>883.93</v>
      </c>
      <c r="AQ238" s="4">
        <v>25</v>
      </c>
      <c r="AR238" s="4">
        <v>2</v>
      </c>
      <c r="AS238" s="4" t="s">
        <v>2696</v>
      </c>
      <c r="AT238" s="72">
        <v>4</v>
      </c>
      <c r="AU238" s="2">
        <v>7</v>
      </c>
      <c r="AV238" s="4"/>
      <c r="AW238" s="4"/>
      <c r="AX238" s="4"/>
    </row>
    <row r="239" spans="1:50" ht="15" x14ac:dyDescent="0.2">
      <c r="A239" s="3">
        <v>32146</v>
      </c>
      <c r="B239" s="1" t="s">
        <v>468</v>
      </c>
      <c r="C239" s="3">
        <v>1</v>
      </c>
      <c r="D239" s="3" t="s">
        <v>465</v>
      </c>
      <c r="E239" s="3">
        <v>3</v>
      </c>
      <c r="F239" s="3" t="s">
        <v>472</v>
      </c>
      <c r="G239" s="7" t="s">
        <v>198</v>
      </c>
      <c r="H239" s="3">
        <v>104</v>
      </c>
      <c r="I239" s="3" t="s">
        <v>1083</v>
      </c>
      <c r="J239" s="3">
        <v>18</v>
      </c>
      <c r="K239" s="3" t="s">
        <v>1529</v>
      </c>
      <c r="L239" s="3">
        <v>7</v>
      </c>
      <c r="M239" s="3" t="s">
        <v>504</v>
      </c>
      <c r="N239" s="3" t="s">
        <v>1089</v>
      </c>
      <c r="O239" s="10">
        <v>31397</v>
      </c>
      <c r="P239" s="10">
        <v>43282</v>
      </c>
      <c r="Q239" s="10"/>
      <c r="R239" s="10">
        <v>45291</v>
      </c>
      <c r="S239" s="23">
        <v>3398.76</v>
      </c>
      <c r="T239" s="3">
        <v>57638503</v>
      </c>
      <c r="U239" s="3">
        <v>28512160300309</v>
      </c>
      <c r="V239" s="4" t="s">
        <v>2020</v>
      </c>
      <c r="W239" s="4">
        <v>70067</v>
      </c>
      <c r="X239" s="4" t="s">
        <v>1583</v>
      </c>
      <c r="Z239" s="3">
        <f ca="1">DATEDIF(Table1[[#This Row],[تاريخ الميلاد]],TODAY(),"y")</f>
        <v>40</v>
      </c>
      <c r="AA23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40 عام 8  شهر  4  يوم </v>
      </c>
      <c r="AB23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8عام1  شهر  19  يوم </v>
      </c>
      <c r="AC239" s="10">
        <f>DATE(YEAR(Table1[[#This Row],[تاريخ الميلاد]])+60,MONTH(Table1[[#This Row],[تاريخ الميلاد]]),DAY(Table1[[#This Row],[تاريخ الميلاد]]))</f>
        <v>53312</v>
      </c>
      <c r="AD239" s="14">
        <f>DATE(YEAR(Table1[[#This Row],[معاش 01/01]])-1,MONTH(Table1[[#This Row],[تاريخ بلوغ 60 ]]),DAY(Table1[[#This Row],[تاريخ بلوغ 60 ]]))</f>
        <v>53312</v>
      </c>
      <c r="AE23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53677</v>
      </c>
      <c r="AF239" s="10" t="str">
        <f>IFERROR(IF(ISODD(MID(Table1[[#This Row],[الرقم القومي]],13,1)),"ذكر","انثي"),"")</f>
        <v>انثي</v>
      </c>
      <c r="AG239" s="70" t="s">
        <v>2606</v>
      </c>
      <c r="AH239" s="3">
        <f>IF(MONTH(Table1[[#This Row],[تاريخ بلوغ 60 ]])&lt;&gt;1,1,0)</f>
        <v>1</v>
      </c>
      <c r="AI239" s="3">
        <f>IF(DAY(Table1[[#This Row],[تاريخ بلوغ 60 ]])&lt;&gt;1,1,0)</f>
        <v>1</v>
      </c>
      <c r="AJ239" s="4" t="s">
        <v>465</v>
      </c>
      <c r="AK239" s="4" t="s">
        <v>2666</v>
      </c>
      <c r="AL239" s="62" t="s">
        <v>2019</v>
      </c>
      <c r="AM239" s="62" t="s">
        <v>2881</v>
      </c>
      <c r="AN239" s="2">
        <v>3</v>
      </c>
      <c r="AO239" s="4" t="s">
        <v>2641</v>
      </c>
      <c r="AP239" s="74">
        <v>599.44000000000005</v>
      </c>
      <c r="AQ239" s="4">
        <v>18.75</v>
      </c>
      <c r="AR239" s="4">
        <v>7</v>
      </c>
      <c r="AS239" s="4" t="s">
        <v>2642</v>
      </c>
      <c r="AT239" s="72">
        <v>0</v>
      </c>
      <c r="AU239" s="2">
        <v>7</v>
      </c>
      <c r="AV239" s="4"/>
      <c r="AW239" s="4"/>
      <c r="AX239" s="4"/>
    </row>
    <row r="240" spans="1:50" ht="15" x14ac:dyDescent="0.2">
      <c r="A240" s="3">
        <v>32150</v>
      </c>
      <c r="B240" s="1" t="s">
        <v>468</v>
      </c>
      <c r="C240" s="3">
        <v>1</v>
      </c>
      <c r="D240" s="3" t="s">
        <v>465</v>
      </c>
      <c r="E240" s="3">
        <v>3</v>
      </c>
      <c r="F240" s="3" t="s">
        <v>472</v>
      </c>
      <c r="G240" s="7" t="s">
        <v>2021</v>
      </c>
      <c r="H240" s="3">
        <v>104</v>
      </c>
      <c r="I240" s="3" t="s">
        <v>1083</v>
      </c>
      <c r="J240" s="3">
        <v>18</v>
      </c>
      <c r="K240" s="3" t="s">
        <v>1529</v>
      </c>
      <c r="L240" s="3">
        <v>7</v>
      </c>
      <c r="M240" s="3" t="s">
        <v>504</v>
      </c>
      <c r="N240" s="3" t="s">
        <v>1089</v>
      </c>
      <c r="O240" s="10">
        <v>30888</v>
      </c>
      <c r="P240" s="10">
        <v>43282</v>
      </c>
      <c r="Q240" s="10"/>
      <c r="R240" s="10">
        <v>45657</v>
      </c>
      <c r="S240" s="23">
        <v>3398.77</v>
      </c>
      <c r="T240" s="3">
        <v>54809997</v>
      </c>
      <c r="U240" s="3">
        <v>28407250300229</v>
      </c>
      <c r="V240" s="4" t="s">
        <v>2023</v>
      </c>
      <c r="W240" s="4">
        <v>70070</v>
      </c>
      <c r="X240" s="4" t="s">
        <v>1583</v>
      </c>
      <c r="Z240" s="3">
        <f ca="1">DATEDIF(Table1[[#This Row],[تاريخ الميلاد]],TODAY(),"y")</f>
        <v>42</v>
      </c>
      <c r="AA24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42 عام 0  شهر  26  يوم </v>
      </c>
      <c r="AB24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8عام1  شهر  19  يوم </v>
      </c>
      <c r="AC240" s="10">
        <f>DATE(YEAR(Table1[[#This Row],[تاريخ الميلاد]])+60,MONTH(Table1[[#This Row],[تاريخ الميلاد]]),DAY(Table1[[#This Row],[تاريخ الميلاد]]))</f>
        <v>52803</v>
      </c>
      <c r="AD240" s="14">
        <f>DATE(YEAR(Table1[[#This Row],[معاش 01/01]])-1,MONTH(Table1[[#This Row],[تاريخ بلوغ 60 ]]),DAY(Table1[[#This Row],[تاريخ بلوغ 60 ]]))</f>
        <v>52803</v>
      </c>
      <c r="AE24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53168</v>
      </c>
      <c r="AF240" s="10" t="str">
        <f>IFERROR(IF(ISODD(MID(Table1[[#This Row],[الرقم القومي]],13,1)),"ذكر","انثي"),"")</f>
        <v>انثي</v>
      </c>
      <c r="AG240" s="70" t="s">
        <v>2606</v>
      </c>
      <c r="AH240" s="3">
        <f>IF(MONTH(Table1[[#This Row],[تاريخ بلوغ 60 ]])&lt;&gt;1,1,0)</f>
        <v>1</v>
      </c>
      <c r="AI240" s="3">
        <f>IF(DAY(Table1[[#This Row],[تاريخ بلوغ 60 ]])&lt;&gt;1,1,0)</f>
        <v>1</v>
      </c>
      <c r="AJ240" s="4" t="s">
        <v>465</v>
      </c>
      <c r="AK240" s="4" t="s">
        <v>2636</v>
      </c>
      <c r="AL240" s="62" t="s">
        <v>2022</v>
      </c>
      <c r="AM240" s="62" t="s">
        <v>2882</v>
      </c>
      <c r="AN240" s="2">
        <v>3</v>
      </c>
      <c r="AO240" s="4" t="s">
        <v>2641</v>
      </c>
      <c r="AP240" s="74">
        <v>599.44000000000005</v>
      </c>
      <c r="AQ240" s="4">
        <v>18.75</v>
      </c>
      <c r="AR240" s="4">
        <v>1</v>
      </c>
      <c r="AS240" s="4" t="s">
        <v>2635</v>
      </c>
      <c r="AT240" s="72">
        <v>2</v>
      </c>
      <c r="AU240" s="2">
        <v>7</v>
      </c>
      <c r="AV240" s="4"/>
      <c r="AW240" s="4"/>
      <c r="AX240" s="4"/>
    </row>
    <row r="241" spans="1:50" ht="15" x14ac:dyDescent="0.2">
      <c r="A241" s="3">
        <v>32153</v>
      </c>
      <c r="B241" s="1" t="s">
        <v>468</v>
      </c>
      <c r="C241" s="3">
        <v>1</v>
      </c>
      <c r="D241" s="3" t="s">
        <v>465</v>
      </c>
      <c r="E241" s="3">
        <v>3</v>
      </c>
      <c r="F241" s="3" t="s">
        <v>472</v>
      </c>
      <c r="G241" s="7" t="s">
        <v>199</v>
      </c>
      <c r="H241" s="3">
        <v>104</v>
      </c>
      <c r="I241" s="3" t="s">
        <v>1083</v>
      </c>
      <c r="J241" s="3">
        <v>18</v>
      </c>
      <c r="K241" s="3" t="s">
        <v>1529</v>
      </c>
      <c r="L241" s="3">
        <v>7</v>
      </c>
      <c r="M241" s="3" t="s">
        <v>504</v>
      </c>
      <c r="N241" s="3" t="s">
        <v>1089</v>
      </c>
      <c r="O241" s="10">
        <v>31243</v>
      </c>
      <c r="P241" s="10">
        <v>43282</v>
      </c>
      <c r="Q241" s="10"/>
      <c r="R241" s="10">
        <v>45291</v>
      </c>
      <c r="S241" s="23">
        <v>3398.76</v>
      </c>
      <c r="T241" s="3">
        <v>58449995</v>
      </c>
      <c r="U241" s="3">
        <v>28507150300501</v>
      </c>
      <c r="V241" s="4" t="s">
        <v>2025</v>
      </c>
      <c r="W241" s="4">
        <v>70074</v>
      </c>
      <c r="X241" s="4" t="s">
        <v>1583</v>
      </c>
      <c r="Z241" s="3">
        <f ca="1">DATEDIF(Table1[[#This Row],[تاريخ الميلاد]],TODAY(),"y")</f>
        <v>41</v>
      </c>
      <c r="AA24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41 عام 1  شهر  5  يوم </v>
      </c>
      <c r="AB24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8عام1  شهر  19  يوم </v>
      </c>
      <c r="AC241" s="10">
        <f>DATE(YEAR(Table1[[#This Row],[تاريخ الميلاد]])+60,MONTH(Table1[[#This Row],[تاريخ الميلاد]]),DAY(Table1[[#This Row],[تاريخ الميلاد]]))</f>
        <v>53158</v>
      </c>
      <c r="AD241" s="14">
        <f>DATE(YEAR(Table1[[#This Row],[معاش 01/01]])-1,MONTH(Table1[[#This Row],[تاريخ بلوغ 60 ]]),DAY(Table1[[#This Row],[تاريخ بلوغ 60 ]]))</f>
        <v>53158</v>
      </c>
      <c r="AE24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53523</v>
      </c>
      <c r="AF241" s="10" t="str">
        <f>IFERROR(IF(ISODD(MID(Table1[[#This Row],[الرقم القومي]],13,1)),"ذكر","انثي"),"")</f>
        <v>انثي</v>
      </c>
      <c r="AG241" s="70" t="s">
        <v>2606</v>
      </c>
      <c r="AH241" s="3">
        <f>IF(MONTH(Table1[[#This Row],[تاريخ بلوغ 60 ]])&lt;&gt;1,1,0)</f>
        <v>1</v>
      </c>
      <c r="AI241" s="3">
        <f>IF(DAY(Table1[[#This Row],[تاريخ بلوغ 60 ]])&lt;&gt;1,1,0)</f>
        <v>1</v>
      </c>
      <c r="AJ241" s="4" t="s">
        <v>465</v>
      </c>
      <c r="AK241" s="4" t="s">
        <v>2636</v>
      </c>
      <c r="AL241" s="62" t="s">
        <v>2024</v>
      </c>
      <c r="AM241" s="62" t="s">
        <v>2883</v>
      </c>
      <c r="AN241" s="2">
        <v>3</v>
      </c>
      <c r="AO241" s="4" t="s">
        <v>2641</v>
      </c>
      <c r="AP241" s="74">
        <v>599.44000000000005</v>
      </c>
      <c r="AQ241" s="4">
        <v>18.75</v>
      </c>
      <c r="AR241" s="4">
        <v>1</v>
      </c>
      <c r="AS241" s="4" t="s">
        <v>2635</v>
      </c>
      <c r="AT241" s="72">
        <v>2</v>
      </c>
      <c r="AU241" s="2">
        <v>7</v>
      </c>
      <c r="AV241" s="4"/>
      <c r="AW241" s="4"/>
      <c r="AX241" s="4"/>
    </row>
    <row r="242" spans="1:50" ht="15" x14ac:dyDescent="0.2">
      <c r="A242" s="3">
        <v>32181</v>
      </c>
      <c r="B242" s="1" t="s">
        <v>468</v>
      </c>
      <c r="C242" s="3">
        <v>1</v>
      </c>
      <c r="D242" s="3" t="s">
        <v>465</v>
      </c>
      <c r="E242" s="3">
        <v>3</v>
      </c>
      <c r="F242" s="3" t="s">
        <v>472</v>
      </c>
      <c r="G242" s="7" t="s">
        <v>201</v>
      </c>
      <c r="H242" s="3">
        <v>104</v>
      </c>
      <c r="I242" s="3" t="s">
        <v>1083</v>
      </c>
      <c r="J242" s="3">
        <v>18</v>
      </c>
      <c r="K242" s="3" t="s">
        <v>1529</v>
      </c>
      <c r="L242" s="3">
        <v>7</v>
      </c>
      <c r="M242" s="3" t="s">
        <v>504</v>
      </c>
      <c r="N242" s="3" t="s">
        <v>1089</v>
      </c>
      <c r="O242" s="10">
        <v>32670</v>
      </c>
      <c r="P242" s="10">
        <v>43282</v>
      </c>
      <c r="Q242" s="10"/>
      <c r="R242" s="10">
        <v>45291</v>
      </c>
      <c r="S242" s="23">
        <v>3398.76</v>
      </c>
      <c r="T242" s="3">
        <v>30121195</v>
      </c>
      <c r="U242" s="3">
        <v>28906110300063</v>
      </c>
      <c r="V242" s="4" t="s">
        <v>2028</v>
      </c>
      <c r="W242" s="4">
        <v>70103</v>
      </c>
      <c r="X242" s="4" t="s">
        <v>1583</v>
      </c>
      <c r="Z242" s="3">
        <f ca="1">DATEDIF(Table1[[#This Row],[تاريخ الميلاد]],TODAY(),"y")</f>
        <v>37</v>
      </c>
      <c r="AA24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2  شهر  9  يوم </v>
      </c>
      <c r="AB24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8عام1  شهر  19  يوم </v>
      </c>
      <c r="AC242" s="10">
        <f>DATE(YEAR(Table1[[#This Row],[تاريخ الميلاد]])+60,MONTH(Table1[[#This Row],[تاريخ الميلاد]]),DAY(Table1[[#This Row],[تاريخ الميلاد]]))</f>
        <v>54585</v>
      </c>
      <c r="AD242" s="14">
        <f>DATE(YEAR(Table1[[#This Row],[معاش 01/01]])-1,MONTH(Table1[[#This Row],[تاريخ بلوغ 60 ]]),DAY(Table1[[#This Row],[تاريخ بلوغ 60 ]]))</f>
        <v>54585</v>
      </c>
      <c r="AE24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54950</v>
      </c>
      <c r="AF242" s="10" t="str">
        <f>IFERROR(IF(ISODD(MID(Table1[[#This Row],[الرقم القومي]],13,1)),"ذكر","انثي"),"")</f>
        <v>انثي</v>
      </c>
      <c r="AG242" s="70" t="s">
        <v>2606</v>
      </c>
      <c r="AH242" s="3">
        <f>IF(MONTH(Table1[[#This Row],[تاريخ بلوغ 60 ]])&lt;&gt;1,1,0)</f>
        <v>1</v>
      </c>
      <c r="AI242" s="3">
        <f>IF(DAY(Table1[[#This Row],[تاريخ بلوغ 60 ]])&lt;&gt;1,1,0)</f>
        <v>1</v>
      </c>
      <c r="AJ242" s="4" t="s">
        <v>465</v>
      </c>
      <c r="AK242" s="4" t="s">
        <v>2770</v>
      </c>
      <c r="AL242" s="62" t="s">
        <v>2027</v>
      </c>
      <c r="AM242" s="62" t="s">
        <v>2886</v>
      </c>
      <c r="AN242" s="2">
        <v>3</v>
      </c>
      <c r="AO242" s="4" t="s">
        <v>2641</v>
      </c>
      <c r="AP242" s="74">
        <v>599.44000000000005</v>
      </c>
      <c r="AQ242" s="4">
        <v>18.75</v>
      </c>
      <c r="AR242" s="4">
        <v>1</v>
      </c>
      <c r="AS242" s="4" t="s">
        <v>2635</v>
      </c>
      <c r="AT242" s="72">
        <v>2</v>
      </c>
      <c r="AU242" s="2">
        <v>7</v>
      </c>
      <c r="AV242" s="4"/>
      <c r="AW242" s="4"/>
      <c r="AX242" s="4"/>
    </row>
    <row r="243" spans="1:50" ht="15" x14ac:dyDescent="0.2">
      <c r="A243" s="3">
        <v>32190</v>
      </c>
      <c r="B243" s="1" t="s">
        <v>468</v>
      </c>
      <c r="C243" s="3">
        <v>1</v>
      </c>
      <c r="D243" s="3" t="s">
        <v>465</v>
      </c>
      <c r="E243" s="3">
        <v>3</v>
      </c>
      <c r="F243" s="3" t="s">
        <v>472</v>
      </c>
      <c r="G243" s="7" t="s">
        <v>202</v>
      </c>
      <c r="H243" s="3">
        <v>104</v>
      </c>
      <c r="I243" s="3" t="s">
        <v>1083</v>
      </c>
      <c r="J243" s="3">
        <v>18</v>
      </c>
      <c r="K243" s="3" t="s">
        <v>1529</v>
      </c>
      <c r="L243" s="3">
        <v>7</v>
      </c>
      <c r="M243" s="3" t="s">
        <v>504</v>
      </c>
      <c r="N243" s="3" t="s">
        <v>1089</v>
      </c>
      <c r="O243" s="10">
        <v>31293</v>
      </c>
      <c r="P243" s="10">
        <v>43282</v>
      </c>
      <c r="Q243" s="10"/>
      <c r="R243" s="10">
        <v>45291</v>
      </c>
      <c r="S243" s="23">
        <v>3398.76</v>
      </c>
      <c r="T243" s="3">
        <v>58691547</v>
      </c>
      <c r="U243" s="3">
        <v>28509030300284</v>
      </c>
      <c r="V243" s="4" t="s">
        <v>2030</v>
      </c>
      <c r="W243" s="4">
        <v>70112</v>
      </c>
      <c r="X243" s="4" t="s">
        <v>1583</v>
      </c>
      <c r="Z243" s="3">
        <f ca="1">DATEDIF(Table1[[#This Row],[تاريخ الميلاد]],TODAY(),"y")</f>
        <v>40</v>
      </c>
      <c r="AA24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40 عام 11  شهر  17  يوم </v>
      </c>
      <c r="AB24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8عام1  شهر  19  يوم </v>
      </c>
      <c r="AC243" s="10">
        <f>DATE(YEAR(Table1[[#This Row],[تاريخ الميلاد]])+60,MONTH(Table1[[#This Row],[تاريخ الميلاد]]),DAY(Table1[[#This Row],[تاريخ الميلاد]]))</f>
        <v>53208</v>
      </c>
      <c r="AD243" s="14">
        <f>DATE(YEAR(Table1[[#This Row],[معاش 01/01]])-1,MONTH(Table1[[#This Row],[تاريخ بلوغ 60 ]]),DAY(Table1[[#This Row],[تاريخ بلوغ 60 ]]))</f>
        <v>53208</v>
      </c>
      <c r="AE24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53573</v>
      </c>
      <c r="AF243" s="10" t="str">
        <f>IFERROR(IF(ISODD(MID(Table1[[#This Row],[الرقم القومي]],13,1)),"ذكر","انثي"),"")</f>
        <v>انثي</v>
      </c>
      <c r="AG243" s="70" t="s">
        <v>2606</v>
      </c>
      <c r="AH243" s="3">
        <f>IF(MONTH(Table1[[#This Row],[تاريخ بلوغ 60 ]])&lt;&gt;1,1,0)</f>
        <v>1</v>
      </c>
      <c r="AI243" s="3">
        <f>IF(DAY(Table1[[#This Row],[تاريخ بلوغ 60 ]])&lt;&gt;1,1,0)</f>
        <v>1</v>
      </c>
      <c r="AJ243" s="4" t="s">
        <v>465</v>
      </c>
      <c r="AK243" s="4" t="s">
        <v>2689</v>
      </c>
      <c r="AL243" s="62" t="s">
        <v>2029</v>
      </c>
      <c r="AM243" s="62" t="s">
        <v>2887</v>
      </c>
      <c r="AN243" s="2">
        <v>3</v>
      </c>
      <c r="AO243" s="4" t="s">
        <v>2641</v>
      </c>
      <c r="AP243" s="74">
        <v>599.44000000000005</v>
      </c>
      <c r="AQ243" s="4">
        <v>18.75</v>
      </c>
      <c r="AR243" s="4">
        <v>1</v>
      </c>
      <c r="AS243" s="4" t="s">
        <v>2635</v>
      </c>
      <c r="AT243" s="72">
        <v>2</v>
      </c>
      <c r="AU243" s="2">
        <v>7</v>
      </c>
      <c r="AV243" s="4"/>
      <c r="AW243" s="4"/>
      <c r="AX243" s="4"/>
    </row>
    <row r="244" spans="1:50" ht="15" x14ac:dyDescent="0.2">
      <c r="A244" s="3">
        <v>32227</v>
      </c>
      <c r="B244" s="1" t="s">
        <v>468</v>
      </c>
      <c r="C244" s="3">
        <v>1</v>
      </c>
      <c r="D244" s="3" t="s">
        <v>465</v>
      </c>
      <c r="E244" s="3">
        <v>3</v>
      </c>
      <c r="F244" s="3" t="s">
        <v>472</v>
      </c>
      <c r="G244" s="7" t="s">
        <v>2031</v>
      </c>
      <c r="H244" s="3">
        <v>104</v>
      </c>
      <c r="I244" s="3" t="s">
        <v>1083</v>
      </c>
      <c r="J244" s="3">
        <v>18</v>
      </c>
      <c r="K244" s="3" t="s">
        <v>1529</v>
      </c>
      <c r="L244" s="3">
        <v>7</v>
      </c>
      <c r="M244" s="3" t="s">
        <v>504</v>
      </c>
      <c r="N244" s="3" t="s">
        <v>1089</v>
      </c>
      <c r="O244" s="10">
        <v>33274</v>
      </c>
      <c r="P244" s="10">
        <v>43282</v>
      </c>
      <c r="Q244" s="10"/>
      <c r="R244" s="10">
        <v>45291</v>
      </c>
      <c r="S244" s="23">
        <v>3398.76</v>
      </c>
      <c r="T244" s="3">
        <v>63199203</v>
      </c>
      <c r="U244" s="3">
        <v>29102050300249</v>
      </c>
      <c r="V244" s="4" t="s">
        <v>2033</v>
      </c>
      <c r="W244" s="4">
        <v>70150</v>
      </c>
      <c r="X244" s="4" t="s">
        <v>1583</v>
      </c>
      <c r="Z244" s="3">
        <f ca="1">DATEDIF(Table1[[#This Row],[تاريخ الميلاد]],TODAY(),"y")</f>
        <v>35</v>
      </c>
      <c r="AA24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35 عام 6  شهر  15  يوم </v>
      </c>
      <c r="AB24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8عام1  شهر  19  يوم </v>
      </c>
      <c r="AC244" s="10">
        <f>DATE(YEAR(Table1[[#This Row],[تاريخ الميلاد]])+60,MONTH(Table1[[#This Row],[تاريخ الميلاد]]),DAY(Table1[[#This Row],[تاريخ الميلاد]]))</f>
        <v>55189</v>
      </c>
      <c r="AD244" s="14">
        <f>DATE(YEAR(Table1[[#This Row],[معاش 01/01]])-1,MONTH(Table1[[#This Row],[تاريخ بلوغ 60 ]]),DAY(Table1[[#This Row],[تاريخ بلوغ 60 ]]))</f>
        <v>55189</v>
      </c>
      <c r="AE24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55554</v>
      </c>
      <c r="AF244" s="10" t="str">
        <f>IFERROR(IF(ISODD(MID(Table1[[#This Row],[الرقم القومي]],13,1)),"ذكر","انثي"),"")</f>
        <v>انثي</v>
      </c>
      <c r="AG244" s="70" t="s">
        <v>2606</v>
      </c>
      <c r="AH244" s="3">
        <f>IF(MONTH(Table1[[#This Row],[تاريخ بلوغ 60 ]])&lt;&gt;1,1,0)</f>
        <v>1</v>
      </c>
      <c r="AI244" s="3">
        <f>IF(DAY(Table1[[#This Row],[تاريخ بلوغ 60 ]])&lt;&gt;1,1,0)</f>
        <v>1</v>
      </c>
      <c r="AJ244" s="4" t="s">
        <v>465</v>
      </c>
      <c r="AK244" s="4" t="s">
        <v>2811</v>
      </c>
      <c r="AL244" s="62" t="s">
        <v>2032</v>
      </c>
      <c r="AM244" s="62" t="s">
        <v>2888</v>
      </c>
      <c r="AN244" s="2">
        <v>3</v>
      </c>
      <c r="AO244" s="4" t="s">
        <v>2641</v>
      </c>
      <c r="AP244" s="74">
        <v>599.44000000000005</v>
      </c>
      <c r="AQ244" s="4">
        <v>18.75</v>
      </c>
      <c r="AR244" s="4">
        <v>1</v>
      </c>
      <c r="AS244" s="4" t="s">
        <v>2635</v>
      </c>
      <c r="AT244" s="72">
        <v>2</v>
      </c>
      <c r="AU244" s="2">
        <v>7</v>
      </c>
      <c r="AV244" s="4"/>
      <c r="AW244" s="4"/>
      <c r="AX244" s="4"/>
    </row>
    <row r="245" spans="1:50" ht="15" x14ac:dyDescent="0.2">
      <c r="A245" s="3">
        <v>32238</v>
      </c>
      <c r="B245" s="1" t="s">
        <v>468</v>
      </c>
      <c r="C245" s="3">
        <v>1</v>
      </c>
      <c r="D245" s="3" t="s">
        <v>465</v>
      </c>
      <c r="E245" s="3">
        <v>3</v>
      </c>
      <c r="F245" s="3" t="s">
        <v>472</v>
      </c>
      <c r="G245" s="7" t="s">
        <v>203</v>
      </c>
      <c r="H245" s="3">
        <v>104</v>
      </c>
      <c r="I245" s="3" t="s">
        <v>1083</v>
      </c>
      <c r="J245" s="3">
        <v>18</v>
      </c>
      <c r="K245" s="3" t="s">
        <v>1529</v>
      </c>
      <c r="L245" s="3">
        <v>7</v>
      </c>
      <c r="M245" s="3" t="s">
        <v>504</v>
      </c>
      <c r="N245" s="3" t="s">
        <v>1089</v>
      </c>
      <c r="O245" s="10">
        <v>32647</v>
      </c>
      <c r="P245" s="10">
        <v>43282</v>
      </c>
      <c r="Q245" s="10"/>
      <c r="R245" s="10">
        <v>45291</v>
      </c>
      <c r="S245" s="23">
        <v>3398.76</v>
      </c>
      <c r="T245" s="3">
        <v>25635899</v>
      </c>
      <c r="U245" s="3">
        <v>28905190300305</v>
      </c>
      <c r="V245" s="4" t="s">
        <v>2035</v>
      </c>
      <c r="W245" s="4">
        <v>70163</v>
      </c>
      <c r="X245" s="4" t="s">
        <v>1583</v>
      </c>
      <c r="Z245" s="3">
        <f ca="1">DATEDIF(Table1[[#This Row],[تاريخ الميلاد]],TODAY(),"y")</f>
        <v>37</v>
      </c>
      <c r="AA24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3  شهر  1  يوم </v>
      </c>
      <c r="AB24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8عام1  شهر  19  يوم </v>
      </c>
      <c r="AC245" s="10">
        <f>DATE(YEAR(Table1[[#This Row],[تاريخ الميلاد]])+60,MONTH(Table1[[#This Row],[تاريخ الميلاد]]),DAY(Table1[[#This Row],[تاريخ الميلاد]]))</f>
        <v>54562</v>
      </c>
      <c r="AD245" s="14">
        <f>DATE(YEAR(Table1[[#This Row],[معاش 01/01]])-1,MONTH(Table1[[#This Row],[تاريخ بلوغ 60 ]]),DAY(Table1[[#This Row],[تاريخ بلوغ 60 ]]))</f>
        <v>54562</v>
      </c>
      <c r="AE24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54927</v>
      </c>
      <c r="AF245" s="10" t="str">
        <f>IFERROR(IF(ISODD(MID(Table1[[#This Row],[الرقم القومي]],13,1)),"ذكر","انثي"),"")</f>
        <v>انثي</v>
      </c>
      <c r="AG245" s="70" t="s">
        <v>2606</v>
      </c>
      <c r="AH245" s="3">
        <f>IF(MONTH(Table1[[#This Row],[تاريخ بلوغ 60 ]])&lt;&gt;1,1,0)</f>
        <v>1</v>
      </c>
      <c r="AI245" s="3">
        <f>IF(DAY(Table1[[#This Row],[تاريخ بلوغ 60 ]])&lt;&gt;1,1,0)</f>
        <v>1</v>
      </c>
      <c r="AJ245" s="4" t="s">
        <v>465</v>
      </c>
      <c r="AK245" s="4" t="s">
        <v>2636</v>
      </c>
      <c r="AL245" s="62" t="s">
        <v>2034</v>
      </c>
      <c r="AM245" s="62" t="s">
        <v>2889</v>
      </c>
      <c r="AN245" s="2">
        <v>3</v>
      </c>
      <c r="AO245" s="4" t="s">
        <v>2641</v>
      </c>
      <c r="AP245" s="74">
        <v>599.44000000000005</v>
      </c>
      <c r="AQ245" s="4">
        <v>18.75</v>
      </c>
      <c r="AR245" s="4">
        <v>7</v>
      </c>
      <c r="AS245" s="4" t="s">
        <v>2642</v>
      </c>
      <c r="AT245" s="72">
        <v>0</v>
      </c>
      <c r="AU245" s="2">
        <v>7</v>
      </c>
      <c r="AV245" s="4"/>
      <c r="AW245" s="4"/>
      <c r="AX245" s="4"/>
    </row>
    <row r="246" spans="1:50" ht="15" x14ac:dyDescent="0.2">
      <c r="A246" s="3">
        <v>32240</v>
      </c>
      <c r="B246" s="1" t="s">
        <v>468</v>
      </c>
      <c r="C246" s="3">
        <v>1</v>
      </c>
      <c r="D246" s="3" t="s">
        <v>465</v>
      </c>
      <c r="E246" s="3">
        <v>3</v>
      </c>
      <c r="F246" s="3" t="s">
        <v>472</v>
      </c>
      <c r="G246" s="7" t="s">
        <v>204</v>
      </c>
      <c r="H246" s="3">
        <v>104</v>
      </c>
      <c r="I246" s="3" t="s">
        <v>1083</v>
      </c>
      <c r="J246" s="3">
        <v>18</v>
      </c>
      <c r="K246" s="3" t="s">
        <v>1529</v>
      </c>
      <c r="L246" s="3">
        <v>7</v>
      </c>
      <c r="M246" s="3" t="s">
        <v>504</v>
      </c>
      <c r="N246" s="3" t="s">
        <v>1089</v>
      </c>
      <c r="O246" s="10">
        <v>30883</v>
      </c>
      <c r="P246" s="10">
        <v>43282</v>
      </c>
      <c r="Q246" s="10"/>
      <c r="R246" s="10">
        <v>45291</v>
      </c>
      <c r="S246" s="23">
        <v>3398.76</v>
      </c>
      <c r="T246" s="3">
        <v>54806660</v>
      </c>
      <c r="U246" s="3">
        <v>28407200300309</v>
      </c>
      <c r="V246" s="4" t="s">
        <v>2037</v>
      </c>
      <c r="W246" s="4">
        <v>70166</v>
      </c>
      <c r="X246" s="4" t="s">
        <v>1583</v>
      </c>
      <c r="Z246" s="3">
        <f ca="1">DATEDIF(Table1[[#This Row],[تاريخ الميلاد]],TODAY(),"y")</f>
        <v>42</v>
      </c>
      <c r="AA24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42 عام 1  شهر  0  يوم </v>
      </c>
      <c r="AB24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8عام1  شهر  19  يوم </v>
      </c>
      <c r="AC246" s="10">
        <f>DATE(YEAR(Table1[[#This Row],[تاريخ الميلاد]])+60,MONTH(Table1[[#This Row],[تاريخ الميلاد]]),DAY(Table1[[#This Row],[تاريخ الميلاد]]))</f>
        <v>52798</v>
      </c>
      <c r="AD246" s="14">
        <f>DATE(YEAR(Table1[[#This Row],[معاش 01/01]])-1,MONTH(Table1[[#This Row],[تاريخ بلوغ 60 ]]),DAY(Table1[[#This Row],[تاريخ بلوغ 60 ]]))</f>
        <v>52798</v>
      </c>
      <c r="AE24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53163</v>
      </c>
      <c r="AF246" s="10" t="str">
        <f>IFERROR(IF(ISODD(MID(Table1[[#This Row],[الرقم القومي]],13,1)),"ذكر","انثي"),"")</f>
        <v>انثي</v>
      </c>
      <c r="AG246" s="70" t="s">
        <v>2606</v>
      </c>
      <c r="AH246" s="3">
        <f>IF(MONTH(Table1[[#This Row],[تاريخ بلوغ 60 ]])&lt;&gt;1,1,0)</f>
        <v>1</v>
      </c>
      <c r="AI246" s="3">
        <f>IF(DAY(Table1[[#This Row],[تاريخ بلوغ 60 ]])&lt;&gt;1,1,0)</f>
        <v>1</v>
      </c>
      <c r="AJ246" s="4" t="s">
        <v>465</v>
      </c>
      <c r="AK246" s="4">
        <v>0</v>
      </c>
      <c r="AL246" s="62" t="s">
        <v>2036</v>
      </c>
      <c r="AM246" s="62" t="s">
        <v>2890</v>
      </c>
      <c r="AN246" s="2">
        <v>3</v>
      </c>
      <c r="AO246" s="4" t="s">
        <v>2641</v>
      </c>
      <c r="AP246" s="74">
        <v>599.44000000000005</v>
      </c>
      <c r="AQ246" s="4">
        <v>18.75</v>
      </c>
      <c r="AR246" s="4">
        <v>1</v>
      </c>
      <c r="AS246" s="4" t="s">
        <v>2635</v>
      </c>
      <c r="AT246" s="72">
        <v>2</v>
      </c>
      <c r="AU246" s="2">
        <v>7</v>
      </c>
      <c r="AV246" s="4"/>
      <c r="AW246" s="4"/>
      <c r="AX246" s="4"/>
    </row>
    <row r="247" spans="1:50" ht="15" x14ac:dyDescent="0.2">
      <c r="A247" s="3">
        <v>32244</v>
      </c>
      <c r="B247" s="1" t="s">
        <v>468</v>
      </c>
      <c r="C247" s="3">
        <v>1</v>
      </c>
      <c r="D247" s="3" t="s">
        <v>465</v>
      </c>
      <c r="E247" s="3">
        <v>3</v>
      </c>
      <c r="F247" s="3" t="s">
        <v>472</v>
      </c>
      <c r="G247" s="7" t="s">
        <v>205</v>
      </c>
      <c r="H247" s="3">
        <v>104</v>
      </c>
      <c r="I247" s="3" t="s">
        <v>1083</v>
      </c>
      <c r="J247" s="3">
        <v>18</v>
      </c>
      <c r="K247" s="3" t="s">
        <v>1529</v>
      </c>
      <c r="L247" s="3">
        <v>7</v>
      </c>
      <c r="M247" s="3" t="s">
        <v>504</v>
      </c>
      <c r="N247" s="3" t="s">
        <v>1089</v>
      </c>
      <c r="O247" s="10">
        <v>30597</v>
      </c>
      <c r="P247" s="10">
        <v>43282</v>
      </c>
      <c r="Q247" s="10"/>
      <c r="R247" s="10">
        <v>45291</v>
      </c>
      <c r="S247" s="23">
        <v>3398.76</v>
      </c>
      <c r="T247" s="3">
        <v>35925252</v>
      </c>
      <c r="U247" s="3">
        <v>28310080300306</v>
      </c>
      <c r="V247" s="4" t="s">
        <v>2039</v>
      </c>
      <c r="W247" s="4">
        <v>70169</v>
      </c>
      <c r="X247" s="4" t="s">
        <v>1583</v>
      </c>
      <c r="Z247" s="3">
        <f ca="1">DATEDIF(Table1[[#This Row],[تاريخ الميلاد]],TODAY(),"y")</f>
        <v>42</v>
      </c>
      <c r="AA24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42 عام 10  شهر  12  يوم </v>
      </c>
      <c r="AB24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8عام1  شهر  19  يوم </v>
      </c>
      <c r="AC247" s="10">
        <f>DATE(YEAR(Table1[[#This Row],[تاريخ الميلاد]])+60,MONTH(Table1[[#This Row],[تاريخ الميلاد]]),DAY(Table1[[#This Row],[تاريخ الميلاد]]))</f>
        <v>52512</v>
      </c>
      <c r="AD247" s="14">
        <f>DATE(YEAR(Table1[[#This Row],[معاش 01/01]])-1,MONTH(Table1[[#This Row],[تاريخ بلوغ 60 ]]),DAY(Table1[[#This Row],[تاريخ بلوغ 60 ]]))</f>
        <v>52512</v>
      </c>
      <c r="AE24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52878</v>
      </c>
      <c r="AF247" s="10" t="str">
        <f>IFERROR(IF(ISODD(MID(Table1[[#This Row],[الرقم القومي]],13,1)),"ذكر","انثي"),"")</f>
        <v>انثي</v>
      </c>
      <c r="AG247" s="70" t="s">
        <v>2606</v>
      </c>
      <c r="AH247" s="3">
        <f>IF(MONTH(Table1[[#This Row],[تاريخ بلوغ 60 ]])&lt;&gt;1,1,0)</f>
        <v>1</v>
      </c>
      <c r="AI247" s="3">
        <f>IF(DAY(Table1[[#This Row],[تاريخ بلوغ 60 ]])&lt;&gt;1,1,0)</f>
        <v>1</v>
      </c>
      <c r="AJ247" s="4" t="s">
        <v>465</v>
      </c>
      <c r="AK247" s="4">
        <v>0</v>
      </c>
      <c r="AL247" s="62" t="s">
        <v>2038</v>
      </c>
      <c r="AM247" s="62" t="s">
        <v>2891</v>
      </c>
      <c r="AN247" s="2">
        <v>3</v>
      </c>
      <c r="AO247" s="4" t="s">
        <v>2641</v>
      </c>
      <c r="AP247" s="74">
        <v>599.44000000000005</v>
      </c>
      <c r="AQ247" s="4">
        <v>18.75</v>
      </c>
      <c r="AR247" s="4">
        <v>1</v>
      </c>
      <c r="AS247" s="4" t="s">
        <v>2635</v>
      </c>
      <c r="AT247" s="72">
        <v>2</v>
      </c>
      <c r="AU247" s="2">
        <v>7</v>
      </c>
      <c r="AV247" s="4"/>
      <c r="AW247" s="4"/>
      <c r="AX247" s="4"/>
    </row>
    <row r="248" spans="1:50" ht="15" x14ac:dyDescent="0.2">
      <c r="A248" s="3">
        <v>32275</v>
      </c>
      <c r="B248" s="1" t="s">
        <v>468</v>
      </c>
      <c r="C248" s="3">
        <v>1</v>
      </c>
      <c r="D248" s="3" t="s">
        <v>465</v>
      </c>
      <c r="E248" s="3">
        <v>3</v>
      </c>
      <c r="F248" s="3" t="s">
        <v>472</v>
      </c>
      <c r="G248" s="7" t="s">
        <v>206</v>
      </c>
      <c r="H248" s="3">
        <v>104</v>
      </c>
      <c r="I248" s="3" t="s">
        <v>1083</v>
      </c>
      <c r="J248" s="3">
        <v>18</v>
      </c>
      <c r="K248" s="3" t="s">
        <v>1529</v>
      </c>
      <c r="L248" s="3">
        <v>7</v>
      </c>
      <c r="M248" s="3" t="s">
        <v>504</v>
      </c>
      <c r="N248" s="3" t="s">
        <v>1089</v>
      </c>
      <c r="O248" s="10">
        <v>32141</v>
      </c>
      <c r="P248" s="10">
        <v>43282</v>
      </c>
      <c r="Q248" s="10"/>
      <c r="R248" s="10">
        <v>45291</v>
      </c>
      <c r="S248" s="23">
        <v>3398.76</v>
      </c>
      <c r="T248" s="3">
        <v>17825561</v>
      </c>
      <c r="U248" s="3">
        <v>28712300300061</v>
      </c>
      <c r="V248" s="4" t="s">
        <v>2041</v>
      </c>
      <c r="W248" s="4">
        <v>70203</v>
      </c>
      <c r="X248" s="4" t="s">
        <v>1583</v>
      </c>
      <c r="Z248" s="3">
        <f ca="1">DATEDIF(Table1[[#This Row],[تاريخ الميلاد]],TODAY(),"y")</f>
        <v>38</v>
      </c>
      <c r="AA24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7  شهر  21  يوم </v>
      </c>
      <c r="AB24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8عام1  شهر  19  يوم </v>
      </c>
      <c r="AC248" s="10">
        <f>DATE(YEAR(Table1[[#This Row],[تاريخ الميلاد]])+60,MONTH(Table1[[#This Row],[تاريخ الميلاد]]),DAY(Table1[[#This Row],[تاريخ الميلاد]]))</f>
        <v>54056</v>
      </c>
      <c r="AD248" s="14">
        <f>DATE(YEAR(Table1[[#This Row],[معاش 01/01]])-1,MONTH(Table1[[#This Row],[تاريخ بلوغ 60 ]]),DAY(Table1[[#This Row],[تاريخ بلوغ 60 ]]))</f>
        <v>54056</v>
      </c>
      <c r="AE24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54422</v>
      </c>
      <c r="AF248" s="10" t="str">
        <f>IFERROR(IF(ISODD(MID(Table1[[#This Row],[الرقم القومي]],13,1)),"ذكر","انثي"),"")</f>
        <v>انثي</v>
      </c>
      <c r="AG248" s="70" t="s">
        <v>2606</v>
      </c>
      <c r="AH248" s="3">
        <f>IF(MONTH(Table1[[#This Row],[تاريخ بلوغ 60 ]])&lt;&gt;1,1,0)</f>
        <v>1</v>
      </c>
      <c r="AI248" s="3">
        <f>IF(DAY(Table1[[#This Row],[تاريخ بلوغ 60 ]])&lt;&gt;1,1,0)</f>
        <v>1</v>
      </c>
      <c r="AJ248" s="4" t="s">
        <v>465</v>
      </c>
      <c r="AK248" s="4">
        <v>0</v>
      </c>
      <c r="AL248" s="62" t="s">
        <v>2040</v>
      </c>
      <c r="AM248" s="62" t="s">
        <v>2892</v>
      </c>
      <c r="AN248" s="2">
        <v>3</v>
      </c>
      <c r="AO248" s="4" t="s">
        <v>2641</v>
      </c>
      <c r="AP248" s="74">
        <v>599.44000000000005</v>
      </c>
      <c r="AQ248" s="4">
        <v>18.75</v>
      </c>
      <c r="AR248" s="4">
        <v>1</v>
      </c>
      <c r="AS248" s="4" t="s">
        <v>2635</v>
      </c>
      <c r="AT248" s="72">
        <v>2</v>
      </c>
      <c r="AU248" s="2">
        <v>7</v>
      </c>
      <c r="AV248" s="4"/>
      <c r="AW248" s="4"/>
      <c r="AX248" s="4"/>
    </row>
    <row r="249" spans="1:50" ht="15" x14ac:dyDescent="0.2">
      <c r="A249" s="3">
        <v>32285</v>
      </c>
      <c r="B249" s="1" t="s">
        <v>468</v>
      </c>
      <c r="C249" s="3">
        <v>1</v>
      </c>
      <c r="D249" s="3" t="s">
        <v>465</v>
      </c>
      <c r="E249" s="3">
        <v>3</v>
      </c>
      <c r="F249" s="3" t="s">
        <v>472</v>
      </c>
      <c r="G249" s="7" t="s">
        <v>207</v>
      </c>
      <c r="H249" s="3">
        <v>104</v>
      </c>
      <c r="I249" s="3" t="s">
        <v>1083</v>
      </c>
      <c r="J249" s="3">
        <v>18</v>
      </c>
      <c r="K249" s="3" t="s">
        <v>1529</v>
      </c>
      <c r="L249" s="3">
        <v>7</v>
      </c>
      <c r="M249" s="3" t="s">
        <v>504</v>
      </c>
      <c r="N249" s="3" t="s">
        <v>1089</v>
      </c>
      <c r="O249" s="10">
        <v>32556</v>
      </c>
      <c r="P249" s="10">
        <v>43282</v>
      </c>
      <c r="Q249" s="10"/>
      <c r="R249" s="10">
        <v>45291</v>
      </c>
      <c r="S249" s="23">
        <v>3398.76</v>
      </c>
      <c r="T249" s="3">
        <v>26557578</v>
      </c>
      <c r="U249" s="3">
        <v>28902170300083</v>
      </c>
      <c r="V249" s="4" t="s">
        <v>2043</v>
      </c>
      <c r="W249" s="4">
        <v>70214</v>
      </c>
      <c r="X249" s="4" t="s">
        <v>1583</v>
      </c>
      <c r="Z249" s="3">
        <f ca="1">DATEDIF(Table1[[#This Row],[تاريخ الميلاد]],TODAY(),"y")</f>
        <v>37</v>
      </c>
      <c r="AA24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6  شهر  3  يوم </v>
      </c>
      <c r="AB24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8عام1  شهر  19  يوم </v>
      </c>
      <c r="AC249" s="10">
        <f>DATE(YEAR(Table1[[#This Row],[تاريخ الميلاد]])+60,MONTH(Table1[[#This Row],[تاريخ الميلاد]]),DAY(Table1[[#This Row],[تاريخ الميلاد]]))</f>
        <v>54471</v>
      </c>
      <c r="AD249" s="14">
        <f>DATE(YEAR(Table1[[#This Row],[معاش 01/01]])-1,MONTH(Table1[[#This Row],[تاريخ بلوغ 60 ]]),DAY(Table1[[#This Row],[تاريخ بلوغ 60 ]]))</f>
        <v>54471</v>
      </c>
      <c r="AE24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54836</v>
      </c>
      <c r="AF249" s="10" t="str">
        <f>IFERROR(IF(ISODD(MID(Table1[[#This Row],[الرقم القومي]],13,1)),"ذكر","انثي"),"")</f>
        <v>انثي</v>
      </c>
      <c r="AG249" s="70" t="s">
        <v>2606</v>
      </c>
      <c r="AH249" s="3">
        <f>IF(MONTH(Table1[[#This Row],[تاريخ بلوغ 60 ]])&lt;&gt;1,1,0)</f>
        <v>1</v>
      </c>
      <c r="AI249" s="3">
        <f>IF(DAY(Table1[[#This Row],[تاريخ بلوغ 60 ]])&lt;&gt;1,1,0)</f>
        <v>1</v>
      </c>
      <c r="AJ249" s="4" t="s">
        <v>465</v>
      </c>
      <c r="AK249" s="4" t="s">
        <v>2689</v>
      </c>
      <c r="AL249" s="62" t="s">
        <v>2042</v>
      </c>
      <c r="AM249" s="62" t="s">
        <v>2893</v>
      </c>
      <c r="AN249" s="2">
        <v>3</v>
      </c>
      <c r="AO249" s="4" t="s">
        <v>2641</v>
      </c>
      <c r="AP249" s="74">
        <v>0</v>
      </c>
      <c r="AQ249" s="4">
        <v>18.75</v>
      </c>
      <c r="AR249" s="4">
        <v>1</v>
      </c>
      <c r="AS249" s="4" t="s">
        <v>2635</v>
      </c>
      <c r="AT249" s="72">
        <v>2</v>
      </c>
      <c r="AU249" s="2">
        <v>7</v>
      </c>
      <c r="AV249" s="4"/>
      <c r="AW249" s="4"/>
      <c r="AX249" s="4"/>
    </row>
    <row r="250" spans="1:50" ht="15" x14ac:dyDescent="0.2">
      <c r="A250" s="3">
        <v>32286</v>
      </c>
      <c r="B250" s="1" t="s">
        <v>468</v>
      </c>
      <c r="C250" s="3">
        <v>1</v>
      </c>
      <c r="D250" s="3" t="s">
        <v>465</v>
      </c>
      <c r="E250" s="3">
        <v>3</v>
      </c>
      <c r="F250" s="3" t="s">
        <v>472</v>
      </c>
      <c r="G250" s="7" t="s">
        <v>208</v>
      </c>
      <c r="H250" s="3">
        <v>104</v>
      </c>
      <c r="I250" s="3" t="s">
        <v>1083</v>
      </c>
      <c r="J250" s="3">
        <v>18</v>
      </c>
      <c r="K250" s="3" t="s">
        <v>1529</v>
      </c>
      <c r="L250" s="3">
        <v>7</v>
      </c>
      <c r="M250" s="3" t="s">
        <v>504</v>
      </c>
      <c r="N250" s="3" t="s">
        <v>1089</v>
      </c>
      <c r="O250" s="10">
        <v>33197</v>
      </c>
      <c r="P250" s="10">
        <v>43282</v>
      </c>
      <c r="Q250" s="10"/>
      <c r="R250" s="10">
        <v>45291</v>
      </c>
      <c r="S250" s="23">
        <v>3398.76</v>
      </c>
      <c r="T250" s="3">
        <v>64467488</v>
      </c>
      <c r="U250" s="3">
        <v>29011200300344</v>
      </c>
      <c r="V250" s="4" t="s">
        <v>2045</v>
      </c>
      <c r="W250" s="4">
        <v>70215</v>
      </c>
      <c r="X250" s="4" t="s">
        <v>1583</v>
      </c>
      <c r="Z250" s="3">
        <f ca="1">DATEDIF(Table1[[#This Row],[تاريخ الميلاد]],TODAY(),"y")</f>
        <v>35</v>
      </c>
      <c r="AA25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35 عام 9  شهر  0  يوم </v>
      </c>
      <c r="AB25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8عام1  شهر  19  يوم </v>
      </c>
      <c r="AC250" s="10">
        <f>DATE(YEAR(Table1[[#This Row],[تاريخ الميلاد]])+60,MONTH(Table1[[#This Row],[تاريخ الميلاد]]),DAY(Table1[[#This Row],[تاريخ الميلاد]]))</f>
        <v>55112</v>
      </c>
      <c r="AD250" s="14">
        <f>DATE(YEAR(Table1[[#This Row],[معاش 01/01]])-1,MONTH(Table1[[#This Row],[تاريخ بلوغ 60 ]]),DAY(Table1[[#This Row],[تاريخ بلوغ 60 ]]))</f>
        <v>55112</v>
      </c>
      <c r="AE25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55477</v>
      </c>
      <c r="AF250" s="10" t="str">
        <f>IFERROR(IF(ISODD(MID(Table1[[#This Row],[الرقم القومي]],13,1)),"ذكر","انثي"),"")</f>
        <v>انثي</v>
      </c>
      <c r="AG250" s="70" t="s">
        <v>2606</v>
      </c>
      <c r="AH250" s="3">
        <f>IF(MONTH(Table1[[#This Row],[تاريخ بلوغ 60 ]])&lt;&gt;1,1,0)</f>
        <v>1</v>
      </c>
      <c r="AI250" s="3">
        <f>IF(DAY(Table1[[#This Row],[تاريخ بلوغ 60 ]])&lt;&gt;1,1,0)</f>
        <v>1</v>
      </c>
      <c r="AJ250" s="4" t="s">
        <v>465</v>
      </c>
      <c r="AK250" s="4" t="s">
        <v>2770</v>
      </c>
      <c r="AL250" s="62" t="s">
        <v>2044</v>
      </c>
      <c r="AM250" s="62" t="s">
        <v>2894</v>
      </c>
      <c r="AN250" s="2">
        <v>3</v>
      </c>
      <c r="AO250" s="4" t="s">
        <v>2641</v>
      </c>
      <c r="AP250" s="74">
        <v>599.44000000000005</v>
      </c>
      <c r="AQ250" s="4">
        <v>18.75</v>
      </c>
      <c r="AR250" s="4">
        <v>1</v>
      </c>
      <c r="AS250" s="4" t="s">
        <v>2635</v>
      </c>
      <c r="AT250" s="72">
        <v>2</v>
      </c>
      <c r="AU250" s="2">
        <v>7</v>
      </c>
      <c r="AV250" s="4"/>
      <c r="AW250" s="4"/>
      <c r="AX250" s="4"/>
    </row>
    <row r="251" spans="1:50" ht="15" x14ac:dyDescent="0.2">
      <c r="A251" s="3">
        <v>32291</v>
      </c>
      <c r="B251" s="1" t="s">
        <v>468</v>
      </c>
      <c r="C251" s="3">
        <v>1</v>
      </c>
      <c r="D251" s="3" t="s">
        <v>465</v>
      </c>
      <c r="E251" s="3">
        <v>3</v>
      </c>
      <c r="F251" s="3" t="s">
        <v>472</v>
      </c>
      <c r="G251" s="7" t="s">
        <v>209</v>
      </c>
      <c r="H251" s="3">
        <v>104</v>
      </c>
      <c r="I251" s="3" t="s">
        <v>1083</v>
      </c>
      <c r="J251" s="3">
        <v>18</v>
      </c>
      <c r="K251" s="3" t="s">
        <v>1529</v>
      </c>
      <c r="L251" s="3">
        <v>7</v>
      </c>
      <c r="M251" s="3" t="s">
        <v>504</v>
      </c>
      <c r="N251" s="3" t="s">
        <v>1089</v>
      </c>
      <c r="O251" s="10">
        <v>32858</v>
      </c>
      <c r="P251" s="10">
        <v>43282</v>
      </c>
      <c r="Q251" s="10"/>
      <c r="R251" s="10">
        <v>45291</v>
      </c>
      <c r="S251" s="23">
        <v>3398.76</v>
      </c>
      <c r="T251" s="3">
        <v>61335724</v>
      </c>
      <c r="U251" s="3">
        <v>28912160300129</v>
      </c>
      <c r="V251" s="4" t="s">
        <v>2047</v>
      </c>
      <c r="W251" s="4">
        <v>70220</v>
      </c>
      <c r="X251" s="4" t="s">
        <v>1583</v>
      </c>
      <c r="Z251" s="3">
        <f ca="1">DATEDIF(Table1[[#This Row],[تاريخ الميلاد]],TODAY(),"y")</f>
        <v>36</v>
      </c>
      <c r="AA25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36 عام 8  شهر  4  يوم </v>
      </c>
      <c r="AB25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8عام1  شهر  19  يوم </v>
      </c>
      <c r="AC251" s="10">
        <f>DATE(YEAR(Table1[[#This Row],[تاريخ الميلاد]])+60,MONTH(Table1[[#This Row],[تاريخ الميلاد]]),DAY(Table1[[#This Row],[تاريخ الميلاد]]))</f>
        <v>54773</v>
      </c>
      <c r="AD251" s="14">
        <f>DATE(YEAR(Table1[[#This Row],[معاش 01/01]])-1,MONTH(Table1[[#This Row],[تاريخ بلوغ 60 ]]),DAY(Table1[[#This Row],[تاريخ بلوغ 60 ]]))</f>
        <v>54773</v>
      </c>
      <c r="AE25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55138</v>
      </c>
      <c r="AF251" s="10" t="str">
        <f>IFERROR(IF(ISODD(MID(Table1[[#This Row],[الرقم القومي]],13,1)),"ذكر","انثي"),"")</f>
        <v>انثي</v>
      </c>
      <c r="AG251" s="70" t="s">
        <v>2606</v>
      </c>
      <c r="AH251" s="3">
        <f>IF(MONTH(Table1[[#This Row],[تاريخ بلوغ 60 ]])&lt;&gt;1,1,0)</f>
        <v>1</v>
      </c>
      <c r="AI251" s="3">
        <f>IF(DAY(Table1[[#This Row],[تاريخ بلوغ 60 ]])&lt;&gt;1,1,0)</f>
        <v>1</v>
      </c>
      <c r="AJ251" s="4" t="s">
        <v>465</v>
      </c>
      <c r="AK251" s="4">
        <v>0</v>
      </c>
      <c r="AL251" s="62" t="s">
        <v>2046</v>
      </c>
      <c r="AM251" s="62" t="s">
        <v>2895</v>
      </c>
      <c r="AN251" s="2">
        <v>3</v>
      </c>
      <c r="AO251" s="4" t="s">
        <v>2641</v>
      </c>
      <c r="AP251" s="74">
        <v>599.44000000000005</v>
      </c>
      <c r="AQ251" s="4">
        <v>18.75</v>
      </c>
      <c r="AR251" s="4">
        <v>1</v>
      </c>
      <c r="AS251" s="4" t="s">
        <v>2635</v>
      </c>
      <c r="AT251" s="72">
        <v>2</v>
      </c>
      <c r="AU251" s="2">
        <v>7</v>
      </c>
      <c r="AV251" s="4"/>
      <c r="AW251" s="4"/>
      <c r="AX251" s="4"/>
    </row>
    <row r="252" spans="1:50" ht="15" x14ac:dyDescent="0.2">
      <c r="A252" s="3">
        <v>32314</v>
      </c>
      <c r="B252" s="1" t="s">
        <v>468</v>
      </c>
      <c r="C252" s="3">
        <v>1</v>
      </c>
      <c r="D252" s="3" t="s">
        <v>465</v>
      </c>
      <c r="E252" s="3">
        <v>21</v>
      </c>
      <c r="F252" s="3" t="s">
        <v>474</v>
      </c>
      <c r="G252" s="7" t="s">
        <v>2048</v>
      </c>
      <c r="H252" s="3">
        <v>63</v>
      </c>
      <c r="I252" s="3" t="s">
        <v>797</v>
      </c>
      <c r="J252" s="3">
        <v>18</v>
      </c>
      <c r="K252" s="3" t="s">
        <v>1529</v>
      </c>
      <c r="L252" s="3">
        <v>8</v>
      </c>
      <c r="M252" s="3" t="s">
        <v>506</v>
      </c>
      <c r="N252" s="3" t="s">
        <v>797</v>
      </c>
      <c r="O252" s="10">
        <v>31705</v>
      </c>
      <c r="P252" s="10">
        <v>43282</v>
      </c>
      <c r="Q252" s="10"/>
      <c r="R252" s="10">
        <v>45428</v>
      </c>
      <c r="S252" s="23">
        <v>2933.17</v>
      </c>
      <c r="T252" s="3">
        <v>8027913</v>
      </c>
      <c r="U252" s="3">
        <v>28610200300295</v>
      </c>
      <c r="V252" s="4" t="s">
        <v>2050</v>
      </c>
      <c r="W252" s="4"/>
      <c r="X252" s="4" t="s">
        <v>1583</v>
      </c>
      <c r="Z252" s="3">
        <f ca="1">DATEDIF(Table1[[#This Row],[تاريخ الميلاد]],TODAY(),"y")</f>
        <v>39</v>
      </c>
      <c r="AA25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39 عام 10  شهر  0  يوم </v>
      </c>
      <c r="AB25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8عام1  شهر  19  يوم </v>
      </c>
      <c r="AC252" s="10">
        <f>DATE(YEAR(Table1[[#This Row],[تاريخ الميلاد]])+60,MONTH(Table1[[#This Row],[تاريخ الميلاد]]),DAY(Table1[[#This Row],[تاريخ الميلاد]]))</f>
        <v>53620</v>
      </c>
      <c r="AD252" s="14">
        <f>DATE(YEAR(Table1[[#This Row],[معاش 01/01]])-1,MONTH(Table1[[#This Row],[تاريخ بلوغ 60 ]]),DAY(Table1[[#This Row],[تاريخ بلوغ 60 ]]))</f>
        <v>53620</v>
      </c>
      <c r="AE25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53985</v>
      </c>
      <c r="AF252" s="10" t="str">
        <f>IFERROR(IF(ISODD(MID(Table1[[#This Row],[الرقم القومي]],13,1)),"ذكر","انثي"),"")</f>
        <v>ذكر</v>
      </c>
      <c r="AG252" s="70" t="s">
        <v>2606</v>
      </c>
      <c r="AH252" s="3">
        <f>IF(MONTH(Table1[[#This Row],[تاريخ بلوغ 60 ]])&lt;&gt;1,1,0)</f>
        <v>1</v>
      </c>
      <c r="AI252" s="3">
        <f>IF(DAY(Table1[[#This Row],[تاريخ بلوغ 60 ]])&lt;&gt;1,1,0)</f>
        <v>1</v>
      </c>
      <c r="AJ252" s="4" t="s">
        <v>465</v>
      </c>
      <c r="AK252" s="4" t="s">
        <v>2689</v>
      </c>
      <c r="AL252" s="62" t="s">
        <v>2049</v>
      </c>
      <c r="AM252" s="62" t="s">
        <v>2896</v>
      </c>
      <c r="AN252" s="2">
        <v>4</v>
      </c>
      <c r="AO252" s="4" t="s">
        <v>2641</v>
      </c>
      <c r="AP252" s="74">
        <v>685.48</v>
      </c>
      <c r="AQ252" s="4">
        <v>25</v>
      </c>
      <c r="AR252" s="4">
        <v>3</v>
      </c>
      <c r="AS252" s="4" t="s">
        <v>2668</v>
      </c>
      <c r="AT252" s="72">
        <v>6</v>
      </c>
      <c r="AU252" s="2">
        <v>8</v>
      </c>
      <c r="AV252" s="4"/>
      <c r="AW252" s="4"/>
      <c r="AX252" s="4"/>
    </row>
    <row r="253" spans="1:50" ht="15" x14ac:dyDescent="0.2">
      <c r="A253" s="3">
        <v>32364</v>
      </c>
      <c r="B253" s="1" t="s">
        <v>468</v>
      </c>
      <c r="C253" s="3">
        <v>1</v>
      </c>
      <c r="D253" s="3" t="s">
        <v>465</v>
      </c>
      <c r="E253" s="3">
        <v>21</v>
      </c>
      <c r="F253" s="3" t="s">
        <v>474</v>
      </c>
      <c r="G253" s="7" t="s">
        <v>2051</v>
      </c>
      <c r="H253" s="3">
        <v>158</v>
      </c>
      <c r="I253" s="3" t="s">
        <v>1330</v>
      </c>
      <c r="J253" s="3">
        <v>20</v>
      </c>
      <c r="K253" s="3" t="s">
        <v>1531</v>
      </c>
      <c r="L253" s="3">
        <v>8</v>
      </c>
      <c r="M253" s="3" t="s">
        <v>506</v>
      </c>
      <c r="N253" s="3" t="s">
        <v>1335</v>
      </c>
      <c r="O253" s="10">
        <v>31216</v>
      </c>
      <c r="P253" s="10">
        <v>43282</v>
      </c>
      <c r="Q253" s="10"/>
      <c r="R253" s="10">
        <v>45657</v>
      </c>
      <c r="S253" s="23">
        <v>3138.49</v>
      </c>
      <c r="T253" s="3">
        <v>45810101</v>
      </c>
      <c r="U253" s="3">
        <v>28506180300411</v>
      </c>
      <c r="V253" s="4" t="s">
        <v>2053</v>
      </c>
      <c r="W253" s="4"/>
      <c r="X253" s="4" t="s">
        <v>1583</v>
      </c>
      <c r="Z253" s="3">
        <f ca="1">DATEDIF(Table1[[#This Row],[تاريخ الميلاد]],TODAY(),"y")</f>
        <v>41</v>
      </c>
      <c r="AA25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41 عام 2  شهر  2  يوم </v>
      </c>
      <c r="AB25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8عام1  شهر  19  يوم </v>
      </c>
      <c r="AC253" s="10">
        <f>DATE(YEAR(Table1[[#This Row],[تاريخ الميلاد]])+60,MONTH(Table1[[#This Row],[تاريخ الميلاد]]),DAY(Table1[[#This Row],[تاريخ الميلاد]]))</f>
        <v>53131</v>
      </c>
      <c r="AD253" s="14">
        <f>DATE(YEAR(Table1[[#This Row],[معاش 01/01]])-1,MONTH(Table1[[#This Row],[تاريخ بلوغ 60 ]]),DAY(Table1[[#This Row],[تاريخ بلوغ 60 ]]))</f>
        <v>53131</v>
      </c>
      <c r="AE25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53496</v>
      </c>
      <c r="AF253" s="10" t="str">
        <f>IFERROR(IF(ISODD(MID(Table1[[#This Row],[الرقم القومي]],13,1)),"ذكر","انثي"),"")</f>
        <v>ذكر</v>
      </c>
      <c r="AG253" s="70" t="s">
        <v>2606</v>
      </c>
      <c r="AH253" s="3">
        <f>IF(MONTH(Table1[[#This Row],[تاريخ بلوغ 60 ]])&lt;&gt;1,1,0)</f>
        <v>1</v>
      </c>
      <c r="AI253" s="3">
        <f>IF(DAY(Table1[[#This Row],[تاريخ بلوغ 60 ]])&lt;&gt;1,1,0)</f>
        <v>1</v>
      </c>
      <c r="AJ253" s="4" t="s">
        <v>465</v>
      </c>
      <c r="AK253" s="4" t="s">
        <v>2636</v>
      </c>
      <c r="AL253" s="62" t="s">
        <v>2052</v>
      </c>
      <c r="AM253" s="62" t="s">
        <v>2897</v>
      </c>
      <c r="AN253" s="2">
        <v>4</v>
      </c>
      <c r="AO253" s="4" t="s">
        <v>2641</v>
      </c>
      <c r="AP253" s="74">
        <v>736.81</v>
      </c>
      <c r="AQ253" s="4">
        <v>25</v>
      </c>
      <c r="AR253" s="4">
        <v>3</v>
      </c>
      <c r="AS253" s="4" t="s">
        <v>2668</v>
      </c>
      <c r="AT253" s="72">
        <v>6</v>
      </c>
      <c r="AU253" s="2">
        <v>8</v>
      </c>
      <c r="AV253" s="4"/>
      <c r="AW253" s="4"/>
      <c r="AX253" s="4"/>
    </row>
    <row r="254" spans="1:50" ht="15" x14ac:dyDescent="0.2">
      <c r="A254" s="3">
        <v>32405</v>
      </c>
      <c r="B254" s="1" t="s">
        <v>468</v>
      </c>
      <c r="C254" s="3">
        <v>1</v>
      </c>
      <c r="D254" s="3" t="s">
        <v>465</v>
      </c>
      <c r="E254" s="3">
        <v>21</v>
      </c>
      <c r="F254" s="3" t="s">
        <v>474</v>
      </c>
      <c r="G254" s="7" t="s">
        <v>210</v>
      </c>
      <c r="H254" s="3">
        <v>158</v>
      </c>
      <c r="I254" s="3" t="s">
        <v>1330</v>
      </c>
      <c r="J254" s="3">
        <v>20</v>
      </c>
      <c r="K254" s="3" t="s">
        <v>1531</v>
      </c>
      <c r="L254" s="3">
        <v>8</v>
      </c>
      <c r="M254" s="3" t="s">
        <v>506</v>
      </c>
      <c r="N254" s="3" t="s">
        <v>1335</v>
      </c>
      <c r="O254" s="10">
        <v>31069</v>
      </c>
      <c r="P254" s="10">
        <v>43282</v>
      </c>
      <c r="Q254" s="10"/>
      <c r="R254" s="10">
        <v>45657</v>
      </c>
      <c r="S254" s="23">
        <v>3242.89</v>
      </c>
      <c r="T254" s="3">
        <v>57514251</v>
      </c>
      <c r="U254" s="3">
        <v>28501220300034</v>
      </c>
      <c r="V254" s="4" t="s">
        <v>2055</v>
      </c>
      <c r="W254" s="4"/>
      <c r="X254" s="4" t="s">
        <v>1583</v>
      </c>
      <c r="Z254" s="3">
        <f ca="1">DATEDIF(Table1[[#This Row],[تاريخ الميلاد]],TODAY(),"y")</f>
        <v>41</v>
      </c>
      <c r="AA25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41 عام 6  شهر  29  يوم </v>
      </c>
      <c r="AB25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8عام1  شهر  19  يوم </v>
      </c>
      <c r="AC254" s="10">
        <f>DATE(YEAR(Table1[[#This Row],[تاريخ الميلاد]])+60,MONTH(Table1[[#This Row],[تاريخ الميلاد]]),DAY(Table1[[#This Row],[تاريخ الميلاد]]))</f>
        <v>52984</v>
      </c>
      <c r="AD254" s="14">
        <f>DATE(YEAR(Table1[[#This Row],[معاش 01/01]])-1,MONTH(Table1[[#This Row],[تاريخ بلوغ 60 ]]),DAY(Table1[[#This Row],[تاريخ بلوغ 60 ]]))</f>
        <v>52984</v>
      </c>
      <c r="AE25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53349</v>
      </c>
      <c r="AF254" s="10" t="str">
        <f>IFERROR(IF(ISODD(MID(Table1[[#This Row],[الرقم القومي]],13,1)),"ذكر","انثي"),"")</f>
        <v>ذكر</v>
      </c>
      <c r="AG254" s="70" t="s">
        <v>2606</v>
      </c>
      <c r="AH254" s="3">
        <f>IF(MONTH(Table1[[#This Row],[تاريخ بلوغ 60 ]])&lt;&gt;1,1,0)</f>
        <v>0</v>
      </c>
      <c r="AI254" s="3">
        <f>IF(DAY(Table1[[#This Row],[تاريخ بلوغ 60 ]])&lt;&gt;1,1,0)</f>
        <v>1</v>
      </c>
      <c r="AJ254" s="4" t="s">
        <v>465</v>
      </c>
      <c r="AK254" s="4" t="s">
        <v>2636</v>
      </c>
      <c r="AL254" s="62" t="s">
        <v>2054</v>
      </c>
      <c r="AM254" s="62" t="s">
        <v>2898</v>
      </c>
      <c r="AN254" s="2">
        <v>4</v>
      </c>
      <c r="AO254" s="4" t="s">
        <v>2641</v>
      </c>
      <c r="AP254" s="74">
        <v>761.86</v>
      </c>
      <c r="AQ254" s="4">
        <v>25</v>
      </c>
      <c r="AR254" s="4">
        <v>3</v>
      </c>
      <c r="AS254" s="4" t="s">
        <v>2668</v>
      </c>
      <c r="AT254" s="72">
        <v>6</v>
      </c>
      <c r="AU254" s="2">
        <v>8</v>
      </c>
      <c r="AV254" s="4"/>
      <c r="AW254" s="4"/>
      <c r="AX254" s="4"/>
    </row>
    <row r="255" spans="1:50" ht="15" x14ac:dyDescent="0.2">
      <c r="A255" s="3">
        <v>32749</v>
      </c>
      <c r="B255" s="1" t="s">
        <v>468</v>
      </c>
      <c r="C255" s="3">
        <v>1</v>
      </c>
      <c r="D255" s="3" t="s">
        <v>465</v>
      </c>
      <c r="E255" s="3">
        <v>21</v>
      </c>
      <c r="F255" s="3" t="s">
        <v>474</v>
      </c>
      <c r="G255" s="7" t="s">
        <v>211</v>
      </c>
      <c r="H255" s="3">
        <v>99</v>
      </c>
      <c r="I255" s="3" t="s">
        <v>1047</v>
      </c>
      <c r="J255" s="3">
        <v>18</v>
      </c>
      <c r="K255" s="3" t="s">
        <v>1529</v>
      </c>
      <c r="L255" s="3">
        <v>7</v>
      </c>
      <c r="M255" s="3" t="s">
        <v>504</v>
      </c>
      <c r="N255" s="3" t="s">
        <v>1053</v>
      </c>
      <c r="O255" s="10">
        <v>30464</v>
      </c>
      <c r="P255" s="10">
        <v>43466</v>
      </c>
      <c r="Q255" s="10"/>
      <c r="R255" s="10">
        <v>45291</v>
      </c>
      <c r="S255" s="23">
        <v>3176.38</v>
      </c>
      <c r="T255" s="3">
        <v>33939972</v>
      </c>
      <c r="U255" s="3">
        <v>28305280300374</v>
      </c>
      <c r="V255" s="4" t="s">
        <v>2056</v>
      </c>
      <c r="W255" s="4"/>
      <c r="X255" s="4" t="s">
        <v>1583</v>
      </c>
      <c r="Z255" s="3">
        <f ca="1">DATEDIF(Table1[[#This Row],[تاريخ الميلاد]],TODAY(),"y")</f>
        <v>43</v>
      </c>
      <c r="AA25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43 عام 2  شهر  23  يوم </v>
      </c>
      <c r="AB25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7عام7  شهر  19  يوم </v>
      </c>
      <c r="AC255" s="10">
        <f>DATE(YEAR(Table1[[#This Row],[تاريخ الميلاد]])+60,MONTH(Table1[[#This Row],[تاريخ الميلاد]]),DAY(Table1[[#This Row],[تاريخ الميلاد]]))</f>
        <v>52379</v>
      </c>
      <c r="AD255" s="14">
        <f>DATE(YEAR(Table1[[#This Row],[معاش 01/01]])-1,MONTH(Table1[[#This Row],[تاريخ بلوغ 60 ]]),DAY(Table1[[#This Row],[تاريخ بلوغ 60 ]]))</f>
        <v>52379</v>
      </c>
      <c r="AE25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52745</v>
      </c>
      <c r="AF255" s="10" t="str">
        <f>IFERROR(IF(ISODD(MID(Table1[[#This Row],[الرقم القومي]],13,1)),"ذكر","انثي"),"")</f>
        <v>ذكر</v>
      </c>
      <c r="AG255" s="70" t="s">
        <v>2606</v>
      </c>
      <c r="AH255" s="3">
        <f>IF(MONTH(Table1[[#This Row],[تاريخ بلوغ 60 ]])&lt;&gt;1,1,0)</f>
        <v>1</v>
      </c>
      <c r="AI255" s="3">
        <f>IF(DAY(Table1[[#This Row],[تاريخ بلوغ 60 ]])&lt;&gt;1,1,0)</f>
        <v>1</v>
      </c>
      <c r="AJ255" s="4" t="s">
        <v>465</v>
      </c>
      <c r="AK255" s="4" t="s">
        <v>2636</v>
      </c>
      <c r="AL255" s="4" t="s">
        <v>2900</v>
      </c>
      <c r="AM255" s="62" t="s">
        <v>2899</v>
      </c>
      <c r="AN255" s="2">
        <v>4</v>
      </c>
      <c r="AO255" s="4" t="s">
        <v>2641</v>
      </c>
      <c r="AP255" s="74">
        <v>745.9</v>
      </c>
      <c r="AQ255" s="4">
        <v>25</v>
      </c>
      <c r="AR255" s="4">
        <v>3</v>
      </c>
      <c r="AS255" s="4" t="s">
        <v>2668</v>
      </c>
      <c r="AT255" s="72">
        <v>6</v>
      </c>
      <c r="AU255" s="2">
        <v>7</v>
      </c>
      <c r="AV255" s="4"/>
      <c r="AW255" s="4"/>
      <c r="AX255" s="4"/>
    </row>
    <row r="256" spans="1:50" ht="15" x14ac:dyDescent="0.2">
      <c r="A256" s="3">
        <v>32754</v>
      </c>
      <c r="B256" s="1" t="s">
        <v>468</v>
      </c>
      <c r="C256" s="3">
        <v>1</v>
      </c>
      <c r="D256" s="3" t="s">
        <v>465</v>
      </c>
      <c r="E256" s="3">
        <v>21</v>
      </c>
      <c r="F256" s="3" t="s">
        <v>474</v>
      </c>
      <c r="G256" s="7" t="s">
        <v>212</v>
      </c>
      <c r="H256" s="3">
        <v>99</v>
      </c>
      <c r="I256" s="3" t="s">
        <v>1047</v>
      </c>
      <c r="J256" s="3">
        <v>18</v>
      </c>
      <c r="K256" s="3" t="s">
        <v>1529</v>
      </c>
      <c r="L256" s="3">
        <v>7</v>
      </c>
      <c r="M256" s="3" t="s">
        <v>504</v>
      </c>
      <c r="N256" s="3" t="s">
        <v>1053</v>
      </c>
      <c r="O256" s="10">
        <v>30182</v>
      </c>
      <c r="P256" s="10">
        <v>43466</v>
      </c>
      <c r="Q256" s="10"/>
      <c r="R256" s="10">
        <v>45291</v>
      </c>
      <c r="S256" s="23">
        <v>3176.38</v>
      </c>
      <c r="T256" s="3">
        <v>54468759</v>
      </c>
      <c r="U256" s="3">
        <v>28208190300418</v>
      </c>
      <c r="V256" s="4" t="s">
        <v>2058</v>
      </c>
      <c r="W256" s="4"/>
      <c r="X256" s="4" t="s">
        <v>1583</v>
      </c>
      <c r="Z256" s="3">
        <f ca="1">DATEDIF(Table1[[#This Row],[تاريخ الميلاد]],TODAY(),"y")</f>
        <v>44</v>
      </c>
      <c r="AA25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44 عام 0  شهر  1  يوم </v>
      </c>
      <c r="AB25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7عام7  شهر  19  يوم </v>
      </c>
      <c r="AC256" s="10">
        <f>DATE(YEAR(Table1[[#This Row],[تاريخ الميلاد]])+60,MONTH(Table1[[#This Row],[تاريخ الميلاد]]),DAY(Table1[[#This Row],[تاريخ الميلاد]]))</f>
        <v>52097</v>
      </c>
      <c r="AD256" s="14">
        <f>DATE(YEAR(Table1[[#This Row],[معاش 01/01]])-1,MONTH(Table1[[#This Row],[تاريخ بلوغ 60 ]]),DAY(Table1[[#This Row],[تاريخ بلوغ 60 ]]))</f>
        <v>52097</v>
      </c>
      <c r="AE25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52462</v>
      </c>
      <c r="AF256" s="10" t="str">
        <f>IFERROR(IF(ISODD(MID(Table1[[#This Row],[الرقم القومي]],13,1)),"ذكر","انثي"),"")</f>
        <v>ذكر</v>
      </c>
      <c r="AG256" s="70" t="s">
        <v>2606</v>
      </c>
      <c r="AH256" s="3">
        <f>IF(MONTH(Table1[[#This Row],[تاريخ بلوغ 60 ]])&lt;&gt;1,1,0)</f>
        <v>1</v>
      </c>
      <c r="AI256" s="3">
        <f>IF(DAY(Table1[[#This Row],[تاريخ بلوغ 60 ]])&lt;&gt;1,1,0)</f>
        <v>1</v>
      </c>
      <c r="AJ256" s="4" t="s">
        <v>465</v>
      </c>
      <c r="AK256" s="4" t="s">
        <v>2666</v>
      </c>
      <c r="AL256" s="62" t="s">
        <v>2057</v>
      </c>
      <c r="AM256" s="62" t="s">
        <v>2901</v>
      </c>
      <c r="AN256" s="2">
        <v>4</v>
      </c>
      <c r="AO256" s="4" t="s">
        <v>2641</v>
      </c>
      <c r="AP256" s="74">
        <v>745.9</v>
      </c>
      <c r="AQ256" s="4">
        <v>25</v>
      </c>
      <c r="AR256" s="4">
        <v>3</v>
      </c>
      <c r="AS256" s="4" t="s">
        <v>2668</v>
      </c>
      <c r="AT256" s="72">
        <v>6</v>
      </c>
      <c r="AU256" s="2">
        <v>7</v>
      </c>
      <c r="AV256" s="4"/>
      <c r="AW256" s="4"/>
      <c r="AX256" s="4"/>
    </row>
    <row r="257" spans="1:50" ht="15" x14ac:dyDescent="0.2">
      <c r="A257" s="3">
        <v>32757</v>
      </c>
      <c r="B257" s="1" t="s">
        <v>468</v>
      </c>
      <c r="C257" s="3">
        <v>1</v>
      </c>
      <c r="D257" s="3" t="s">
        <v>465</v>
      </c>
      <c r="E257" s="3">
        <v>3</v>
      </c>
      <c r="F257" s="3" t="s">
        <v>472</v>
      </c>
      <c r="G257" s="7" t="s">
        <v>213</v>
      </c>
      <c r="H257" s="3">
        <v>99</v>
      </c>
      <c r="I257" s="3" t="s">
        <v>1047</v>
      </c>
      <c r="J257" s="3">
        <v>18</v>
      </c>
      <c r="K257" s="3" t="s">
        <v>1529</v>
      </c>
      <c r="L257" s="3">
        <v>7</v>
      </c>
      <c r="M257" s="3" t="s">
        <v>504</v>
      </c>
      <c r="N257" s="3" t="s">
        <v>1053</v>
      </c>
      <c r="O257" s="10">
        <v>31208</v>
      </c>
      <c r="P257" s="10">
        <v>43466</v>
      </c>
      <c r="Q257" s="10"/>
      <c r="R257" s="10">
        <v>45291</v>
      </c>
      <c r="S257" s="23">
        <v>3176.38</v>
      </c>
      <c r="T257" s="3">
        <v>45986659</v>
      </c>
      <c r="U257" s="3">
        <v>28506100300474</v>
      </c>
      <c r="V257" s="4" t="s">
        <v>2060</v>
      </c>
      <c r="W257" s="4"/>
      <c r="X257" s="4" t="s">
        <v>1583</v>
      </c>
      <c r="Z257" s="3">
        <f ca="1">DATEDIF(Table1[[#This Row],[تاريخ الميلاد]],TODAY(),"y")</f>
        <v>41</v>
      </c>
      <c r="AA25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41 عام 2  شهر  10  يوم </v>
      </c>
      <c r="AB25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7عام7  شهر  19  يوم </v>
      </c>
      <c r="AC257" s="10">
        <f>DATE(YEAR(Table1[[#This Row],[تاريخ الميلاد]])+60,MONTH(Table1[[#This Row],[تاريخ الميلاد]]),DAY(Table1[[#This Row],[تاريخ الميلاد]]))</f>
        <v>53123</v>
      </c>
      <c r="AD257" s="14">
        <f>DATE(YEAR(Table1[[#This Row],[معاش 01/01]])-1,MONTH(Table1[[#This Row],[تاريخ بلوغ 60 ]]),DAY(Table1[[#This Row],[تاريخ بلوغ 60 ]]))</f>
        <v>53123</v>
      </c>
      <c r="AE25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53488</v>
      </c>
      <c r="AF257" s="10" t="str">
        <f>IFERROR(IF(ISODD(MID(Table1[[#This Row],[الرقم القومي]],13,1)),"ذكر","انثي"),"")</f>
        <v>ذكر</v>
      </c>
      <c r="AG257" s="70" t="s">
        <v>2606</v>
      </c>
      <c r="AH257" s="3">
        <f>IF(MONTH(Table1[[#This Row],[تاريخ بلوغ 60 ]])&lt;&gt;1,1,0)</f>
        <v>1</v>
      </c>
      <c r="AI257" s="3">
        <f>IF(DAY(Table1[[#This Row],[تاريخ بلوغ 60 ]])&lt;&gt;1,1,0)</f>
        <v>1</v>
      </c>
      <c r="AJ257" s="4" t="s">
        <v>465</v>
      </c>
      <c r="AK257" s="4">
        <v>0</v>
      </c>
      <c r="AL257" s="62" t="s">
        <v>2059</v>
      </c>
      <c r="AM257" s="62" t="s">
        <v>2902</v>
      </c>
      <c r="AN257" s="2">
        <v>4</v>
      </c>
      <c r="AO257" s="4" t="s">
        <v>2641</v>
      </c>
      <c r="AP257" s="74">
        <v>745.9</v>
      </c>
      <c r="AQ257" s="4">
        <v>25</v>
      </c>
      <c r="AR257" s="4">
        <v>3</v>
      </c>
      <c r="AS257" s="4" t="s">
        <v>2668</v>
      </c>
      <c r="AT257" s="72">
        <v>6</v>
      </c>
      <c r="AU257" s="2">
        <v>7</v>
      </c>
      <c r="AV257" s="4"/>
      <c r="AW257" s="4"/>
      <c r="AX257" s="4"/>
    </row>
    <row r="258" spans="1:50" ht="15" x14ac:dyDescent="0.2">
      <c r="A258" s="3">
        <v>32762</v>
      </c>
      <c r="B258" s="1" t="s">
        <v>468</v>
      </c>
      <c r="C258" s="3">
        <v>1</v>
      </c>
      <c r="D258" s="3" t="s">
        <v>465</v>
      </c>
      <c r="E258" s="3">
        <v>3</v>
      </c>
      <c r="F258" s="3" t="s">
        <v>472</v>
      </c>
      <c r="G258" s="7" t="s">
        <v>214</v>
      </c>
      <c r="H258" s="3">
        <v>99</v>
      </c>
      <c r="I258" s="3" t="s">
        <v>1047</v>
      </c>
      <c r="J258" s="3">
        <v>18</v>
      </c>
      <c r="K258" s="3" t="s">
        <v>1529</v>
      </c>
      <c r="L258" s="3">
        <v>7</v>
      </c>
      <c r="M258" s="3" t="s">
        <v>504</v>
      </c>
      <c r="N258" s="3" t="s">
        <v>1053</v>
      </c>
      <c r="O258" s="10">
        <v>30386</v>
      </c>
      <c r="P258" s="10">
        <v>43466</v>
      </c>
      <c r="Q258" s="10"/>
      <c r="R258" s="10">
        <v>45291</v>
      </c>
      <c r="S258" s="23">
        <v>3176.38</v>
      </c>
      <c r="T258" s="3">
        <v>36212037</v>
      </c>
      <c r="U258" s="3">
        <v>28303110300075</v>
      </c>
      <c r="V258" s="4" t="s">
        <v>2062</v>
      </c>
      <c r="W258" s="4"/>
      <c r="X258" s="4" t="s">
        <v>1583</v>
      </c>
      <c r="Z258" s="3">
        <f ca="1">DATEDIF(Table1[[#This Row],[تاريخ الميلاد]],TODAY(),"y")</f>
        <v>43</v>
      </c>
      <c r="AA25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43 عام 5  شهر  9  يوم </v>
      </c>
      <c r="AB25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7عام7  شهر  19  يوم </v>
      </c>
      <c r="AC258" s="10">
        <f>DATE(YEAR(Table1[[#This Row],[تاريخ الميلاد]])+60,MONTH(Table1[[#This Row],[تاريخ الميلاد]]),DAY(Table1[[#This Row],[تاريخ الميلاد]]))</f>
        <v>52301</v>
      </c>
      <c r="AD258" s="14">
        <f>DATE(YEAR(Table1[[#This Row],[معاش 01/01]])-1,MONTH(Table1[[#This Row],[تاريخ بلوغ 60 ]]),DAY(Table1[[#This Row],[تاريخ بلوغ 60 ]]))</f>
        <v>52301</v>
      </c>
      <c r="AE25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52667</v>
      </c>
      <c r="AF258" s="10" t="str">
        <f>IFERROR(IF(ISODD(MID(Table1[[#This Row],[الرقم القومي]],13,1)),"ذكر","انثي"),"")</f>
        <v>ذكر</v>
      </c>
      <c r="AG258" s="70" t="s">
        <v>2606</v>
      </c>
      <c r="AH258" s="3">
        <f>IF(MONTH(Table1[[#This Row],[تاريخ بلوغ 60 ]])&lt;&gt;1,1,0)</f>
        <v>1</v>
      </c>
      <c r="AI258" s="3">
        <f>IF(DAY(Table1[[#This Row],[تاريخ بلوغ 60 ]])&lt;&gt;1,1,0)</f>
        <v>1</v>
      </c>
      <c r="AJ258" s="4" t="s">
        <v>465</v>
      </c>
      <c r="AK258" s="4">
        <v>0</v>
      </c>
      <c r="AL258" s="62" t="s">
        <v>2061</v>
      </c>
      <c r="AM258" s="62" t="s">
        <v>2903</v>
      </c>
      <c r="AN258" s="2">
        <v>4</v>
      </c>
      <c r="AO258" s="4" t="s">
        <v>2641</v>
      </c>
      <c r="AP258" s="74">
        <v>745.9</v>
      </c>
      <c r="AQ258" s="4">
        <v>25</v>
      </c>
      <c r="AR258" s="4">
        <v>3</v>
      </c>
      <c r="AS258" s="4" t="s">
        <v>2668</v>
      </c>
      <c r="AT258" s="72">
        <v>6</v>
      </c>
      <c r="AU258" s="2">
        <v>7</v>
      </c>
      <c r="AV258" s="4"/>
      <c r="AW258" s="4"/>
      <c r="AX258" s="4"/>
    </row>
    <row r="259" spans="1:50" ht="15" x14ac:dyDescent="0.2">
      <c r="A259" s="3">
        <v>32770</v>
      </c>
      <c r="B259" s="1" t="s">
        <v>468</v>
      </c>
      <c r="C259" s="3">
        <v>1</v>
      </c>
      <c r="D259" s="3" t="s">
        <v>465</v>
      </c>
      <c r="E259" s="3">
        <v>21</v>
      </c>
      <c r="F259" s="3" t="s">
        <v>474</v>
      </c>
      <c r="G259" s="7" t="s">
        <v>215</v>
      </c>
      <c r="H259" s="3">
        <v>99</v>
      </c>
      <c r="I259" s="3" t="s">
        <v>1047</v>
      </c>
      <c r="J259" s="3">
        <v>18</v>
      </c>
      <c r="K259" s="3" t="s">
        <v>1529</v>
      </c>
      <c r="L259" s="3">
        <v>7</v>
      </c>
      <c r="M259" s="3" t="s">
        <v>504</v>
      </c>
      <c r="N259" s="3" t="s">
        <v>1053</v>
      </c>
      <c r="O259" s="10">
        <v>30264</v>
      </c>
      <c r="P259" s="10">
        <v>43466</v>
      </c>
      <c r="Q259" s="10"/>
      <c r="R259" s="10">
        <v>45291</v>
      </c>
      <c r="S259" s="23">
        <v>3291.22</v>
      </c>
      <c r="T259" s="3">
        <v>5140555</v>
      </c>
      <c r="U259" s="3">
        <v>28211090300314</v>
      </c>
      <c r="V259" s="4" t="s">
        <v>2063</v>
      </c>
      <c r="W259" s="4"/>
      <c r="X259" s="4" t="s">
        <v>1583</v>
      </c>
      <c r="Z259" s="3">
        <f ca="1">DATEDIF(Table1[[#This Row],[تاريخ الميلاد]],TODAY(),"y")</f>
        <v>43</v>
      </c>
      <c r="AA25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43 عام 9  شهر  11  يوم </v>
      </c>
      <c r="AB25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7عام7  شهر  19  يوم </v>
      </c>
      <c r="AC259" s="10">
        <f>DATE(YEAR(Table1[[#This Row],[تاريخ الميلاد]])+60,MONTH(Table1[[#This Row],[تاريخ الميلاد]]),DAY(Table1[[#This Row],[تاريخ الميلاد]]))</f>
        <v>52179</v>
      </c>
      <c r="AD259" s="14">
        <f>DATE(YEAR(Table1[[#This Row],[معاش 01/01]])-1,MONTH(Table1[[#This Row],[تاريخ بلوغ 60 ]]),DAY(Table1[[#This Row],[تاريخ بلوغ 60 ]]))</f>
        <v>52179</v>
      </c>
      <c r="AE25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52544</v>
      </c>
      <c r="AF259" s="10" t="str">
        <f>IFERROR(IF(ISODD(MID(Table1[[#This Row],[الرقم القومي]],13,1)),"ذكر","انثي"),"")</f>
        <v>ذكر</v>
      </c>
      <c r="AG259" s="70" t="s">
        <v>2606</v>
      </c>
      <c r="AH259" s="3">
        <f>IF(MONTH(Table1[[#This Row],[تاريخ بلوغ 60 ]])&lt;&gt;1,1,0)</f>
        <v>1</v>
      </c>
      <c r="AI259" s="3">
        <f>IF(DAY(Table1[[#This Row],[تاريخ بلوغ 60 ]])&lt;&gt;1,1,0)</f>
        <v>1</v>
      </c>
      <c r="AJ259" s="4" t="s">
        <v>465</v>
      </c>
      <c r="AK259" s="4" t="s">
        <v>2689</v>
      </c>
      <c r="AL259" s="4" t="s">
        <v>2905</v>
      </c>
      <c r="AM259" s="62" t="s">
        <v>2904</v>
      </c>
      <c r="AN259" s="2">
        <v>4</v>
      </c>
      <c r="AO259" s="4" t="s">
        <v>2641</v>
      </c>
      <c r="AP259" s="74">
        <v>773.45</v>
      </c>
      <c r="AQ259" s="4">
        <v>25</v>
      </c>
      <c r="AR259" s="4">
        <v>3</v>
      </c>
      <c r="AS259" s="4" t="s">
        <v>2668</v>
      </c>
      <c r="AT259" s="72">
        <v>6</v>
      </c>
      <c r="AU259" s="2">
        <v>7</v>
      </c>
      <c r="AV259" s="4"/>
      <c r="AW259" s="4"/>
      <c r="AX259" s="4"/>
    </row>
    <row r="260" spans="1:50" ht="15" x14ac:dyDescent="0.2">
      <c r="A260" s="3">
        <v>32777</v>
      </c>
      <c r="B260" s="1" t="s">
        <v>468</v>
      </c>
      <c r="C260" s="3">
        <v>1</v>
      </c>
      <c r="D260" s="3" t="s">
        <v>465</v>
      </c>
      <c r="E260" s="3">
        <v>21</v>
      </c>
      <c r="F260" s="3" t="s">
        <v>474</v>
      </c>
      <c r="G260" s="7" t="s">
        <v>216</v>
      </c>
      <c r="H260" s="3">
        <v>99</v>
      </c>
      <c r="I260" s="3" t="s">
        <v>1047</v>
      </c>
      <c r="J260" s="3">
        <v>18</v>
      </c>
      <c r="K260" s="3" t="s">
        <v>1529</v>
      </c>
      <c r="L260" s="3">
        <v>7</v>
      </c>
      <c r="M260" s="3" t="s">
        <v>504</v>
      </c>
      <c r="N260" s="3" t="s">
        <v>1053</v>
      </c>
      <c r="O260" s="10">
        <v>31125</v>
      </c>
      <c r="P260" s="10">
        <v>43466</v>
      </c>
      <c r="Q260" s="10"/>
      <c r="R260" s="10">
        <v>45291</v>
      </c>
      <c r="S260" s="23">
        <v>3222.89</v>
      </c>
      <c r="T260" s="3">
        <v>45703069</v>
      </c>
      <c r="U260" s="3">
        <v>28503190300053</v>
      </c>
      <c r="V260" s="4" t="s">
        <v>2065</v>
      </c>
      <c r="W260" s="4"/>
      <c r="X260" s="4" t="s">
        <v>1583</v>
      </c>
      <c r="Z260" s="3">
        <f ca="1">DATEDIF(Table1[[#This Row],[تاريخ الميلاد]],TODAY(),"y")</f>
        <v>41</v>
      </c>
      <c r="AA26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41 عام 5  شهر  1  يوم </v>
      </c>
      <c r="AB26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7عام7  شهر  19  يوم </v>
      </c>
      <c r="AC260" s="10">
        <f>DATE(YEAR(Table1[[#This Row],[تاريخ الميلاد]])+60,MONTH(Table1[[#This Row],[تاريخ الميلاد]]),DAY(Table1[[#This Row],[تاريخ الميلاد]]))</f>
        <v>53040</v>
      </c>
      <c r="AD260" s="14">
        <f>DATE(YEAR(Table1[[#This Row],[معاش 01/01]])-1,MONTH(Table1[[#This Row],[تاريخ بلوغ 60 ]]),DAY(Table1[[#This Row],[تاريخ بلوغ 60 ]]))</f>
        <v>53040</v>
      </c>
      <c r="AE26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53405</v>
      </c>
      <c r="AF260" s="10" t="str">
        <f>IFERROR(IF(ISODD(MID(Table1[[#This Row],[الرقم القومي]],13,1)),"ذكر","انثي"),"")</f>
        <v>ذكر</v>
      </c>
      <c r="AG260" s="70" t="s">
        <v>2606</v>
      </c>
      <c r="AH260" s="3">
        <f>IF(MONTH(Table1[[#This Row],[تاريخ بلوغ 60 ]])&lt;&gt;1,1,0)</f>
        <v>1</v>
      </c>
      <c r="AI260" s="3">
        <f>IF(DAY(Table1[[#This Row],[تاريخ بلوغ 60 ]])&lt;&gt;1,1,0)</f>
        <v>1</v>
      </c>
      <c r="AJ260" s="4" t="s">
        <v>465</v>
      </c>
      <c r="AK260" s="4" t="s">
        <v>2636</v>
      </c>
      <c r="AL260" s="62" t="s">
        <v>2064</v>
      </c>
      <c r="AM260" s="62" t="s">
        <v>2906</v>
      </c>
      <c r="AN260" s="2">
        <v>4</v>
      </c>
      <c r="AO260" s="4" t="s">
        <v>2641</v>
      </c>
      <c r="AP260" s="74">
        <v>757.53</v>
      </c>
      <c r="AQ260" s="4">
        <v>25</v>
      </c>
      <c r="AR260" s="4">
        <v>3</v>
      </c>
      <c r="AS260" s="4" t="s">
        <v>2668</v>
      </c>
      <c r="AT260" s="72">
        <v>6</v>
      </c>
      <c r="AU260" s="2">
        <v>7</v>
      </c>
      <c r="AV260" s="4"/>
      <c r="AW260" s="4"/>
      <c r="AX260" s="4"/>
    </row>
    <row r="261" spans="1:50" ht="15" x14ac:dyDescent="0.2">
      <c r="A261" s="3">
        <v>32781</v>
      </c>
      <c r="B261" s="1" t="s">
        <v>468</v>
      </c>
      <c r="C261" s="3">
        <v>1</v>
      </c>
      <c r="D261" s="3" t="s">
        <v>465</v>
      </c>
      <c r="E261" s="3">
        <v>3</v>
      </c>
      <c r="F261" s="3" t="s">
        <v>472</v>
      </c>
      <c r="G261" s="7" t="s">
        <v>217</v>
      </c>
      <c r="H261" s="3">
        <v>99</v>
      </c>
      <c r="I261" s="3" t="s">
        <v>1047</v>
      </c>
      <c r="J261" s="3">
        <v>18</v>
      </c>
      <c r="K261" s="3" t="s">
        <v>1529</v>
      </c>
      <c r="L261" s="3">
        <v>7</v>
      </c>
      <c r="M261" s="3" t="s">
        <v>504</v>
      </c>
      <c r="N261" s="3" t="s">
        <v>1053</v>
      </c>
      <c r="O261" s="10">
        <v>30586</v>
      </c>
      <c r="P261" s="10">
        <v>43466</v>
      </c>
      <c r="Q261" s="10"/>
      <c r="R261" s="10">
        <v>45291</v>
      </c>
      <c r="S261" s="23">
        <v>3176.38</v>
      </c>
      <c r="T261" s="3">
        <v>59114512</v>
      </c>
      <c r="U261" s="3">
        <v>28309270300134</v>
      </c>
      <c r="V261" s="4" t="s">
        <v>2067</v>
      </c>
      <c r="W261" s="4"/>
      <c r="X261" s="4" t="s">
        <v>1583</v>
      </c>
      <c r="Z261" s="3">
        <f ca="1">DATEDIF(Table1[[#This Row],[تاريخ الميلاد]],TODAY(),"y")</f>
        <v>42</v>
      </c>
      <c r="AA26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42 عام 10  شهر  24  يوم </v>
      </c>
      <c r="AB26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7عام7  شهر  19  يوم </v>
      </c>
      <c r="AC261" s="10">
        <f>DATE(YEAR(Table1[[#This Row],[تاريخ الميلاد]])+60,MONTH(Table1[[#This Row],[تاريخ الميلاد]]),DAY(Table1[[#This Row],[تاريخ الميلاد]]))</f>
        <v>52501</v>
      </c>
      <c r="AD261" s="14">
        <f>DATE(YEAR(Table1[[#This Row],[معاش 01/01]])-1,MONTH(Table1[[#This Row],[تاريخ بلوغ 60 ]]),DAY(Table1[[#This Row],[تاريخ بلوغ 60 ]]))</f>
        <v>52501</v>
      </c>
      <c r="AE26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52867</v>
      </c>
      <c r="AF261" s="10" t="str">
        <f>IFERROR(IF(ISODD(MID(Table1[[#This Row],[الرقم القومي]],13,1)),"ذكر","انثي"),"")</f>
        <v>ذكر</v>
      </c>
      <c r="AG261" s="70" t="s">
        <v>2606</v>
      </c>
      <c r="AH261" s="3">
        <f>IF(MONTH(Table1[[#This Row],[تاريخ بلوغ 60 ]])&lt;&gt;1,1,0)</f>
        <v>1</v>
      </c>
      <c r="AI261" s="3">
        <f>IF(DAY(Table1[[#This Row],[تاريخ بلوغ 60 ]])&lt;&gt;1,1,0)</f>
        <v>1</v>
      </c>
      <c r="AJ261" s="4" t="s">
        <v>465</v>
      </c>
      <c r="AK261" s="4" t="s">
        <v>2689</v>
      </c>
      <c r="AL261" s="62" t="s">
        <v>2066</v>
      </c>
      <c r="AM261" s="62" t="s">
        <v>2907</v>
      </c>
      <c r="AN261" s="2">
        <v>4</v>
      </c>
      <c r="AO261" s="4" t="s">
        <v>2641</v>
      </c>
      <c r="AP261" s="74">
        <v>745.9</v>
      </c>
      <c r="AQ261" s="4">
        <v>25</v>
      </c>
      <c r="AR261" s="4">
        <v>3</v>
      </c>
      <c r="AS261" s="4" t="s">
        <v>2668</v>
      </c>
      <c r="AT261" s="72">
        <v>6</v>
      </c>
      <c r="AU261" s="2">
        <v>7</v>
      </c>
      <c r="AV261" s="4"/>
      <c r="AW261" s="4"/>
      <c r="AX261" s="4"/>
    </row>
    <row r="262" spans="1:50" ht="15" x14ac:dyDescent="0.2">
      <c r="A262" s="3">
        <v>32814</v>
      </c>
      <c r="B262" s="1" t="s">
        <v>468</v>
      </c>
      <c r="C262" s="3">
        <v>1</v>
      </c>
      <c r="D262" s="3" t="s">
        <v>465</v>
      </c>
      <c r="E262" s="3">
        <v>3</v>
      </c>
      <c r="F262" s="3" t="s">
        <v>472</v>
      </c>
      <c r="G262" s="7" t="s">
        <v>218</v>
      </c>
      <c r="H262" s="3">
        <v>99</v>
      </c>
      <c r="I262" s="3" t="s">
        <v>1047</v>
      </c>
      <c r="J262" s="3">
        <v>18</v>
      </c>
      <c r="K262" s="3" t="s">
        <v>1529</v>
      </c>
      <c r="L262" s="3">
        <v>7</v>
      </c>
      <c r="M262" s="3" t="s">
        <v>504</v>
      </c>
      <c r="N262" s="3" t="s">
        <v>1053</v>
      </c>
      <c r="O262" s="10">
        <v>29928</v>
      </c>
      <c r="P262" s="10">
        <v>43466</v>
      </c>
      <c r="Q262" s="10"/>
      <c r="R262" s="10">
        <v>45291</v>
      </c>
      <c r="S262" s="23">
        <v>3176.38</v>
      </c>
      <c r="T262" s="3">
        <v>47289932</v>
      </c>
      <c r="U262" s="3">
        <v>28112080300318</v>
      </c>
      <c r="V262" s="4" t="s">
        <v>2069</v>
      </c>
      <c r="W262" s="4"/>
      <c r="X262" s="4" t="s">
        <v>1583</v>
      </c>
      <c r="Z262" s="3">
        <f ca="1">DATEDIF(Table1[[#This Row],[تاريخ الميلاد]],TODAY(),"y")</f>
        <v>44</v>
      </c>
      <c r="AA26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44 عام 8  شهر  12  يوم </v>
      </c>
      <c r="AB26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7عام7  شهر  19  يوم </v>
      </c>
      <c r="AC262" s="10">
        <f>DATE(YEAR(Table1[[#This Row],[تاريخ الميلاد]])+60,MONTH(Table1[[#This Row],[تاريخ الميلاد]]),DAY(Table1[[#This Row],[تاريخ الميلاد]]))</f>
        <v>51843</v>
      </c>
      <c r="AD262" s="14">
        <f>DATE(YEAR(Table1[[#This Row],[معاش 01/01]])-1,MONTH(Table1[[#This Row],[تاريخ بلوغ 60 ]]),DAY(Table1[[#This Row],[تاريخ بلوغ 60 ]]))</f>
        <v>51843</v>
      </c>
      <c r="AE26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52208</v>
      </c>
      <c r="AF262" s="10" t="str">
        <f>IFERROR(IF(ISODD(MID(Table1[[#This Row],[الرقم القومي]],13,1)),"ذكر","انثي"),"")</f>
        <v>ذكر</v>
      </c>
      <c r="AG262" s="70" t="s">
        <v>2606</v>
      </c>
      <c r="AH262" s="3">
        <f>IF(MONTH(Table1[[#This Row],[تاريخ بلوغ 60 ]])&lt;&gt;1,1,0)</f>
        <v>1</v>
      </c>
      <c r="AI262" s="3">
        <f>IF(DAY(Table1[[#This Row],[تاريخ بلوغ 60 ]])&lt;&gt;1,1,0)</f>
        <v>1</v>
      </c>
      <c r="AJ262" s="4" t="s">
        <v>465</v>
      </c>
      <c r="AK262" s="4">
        <v>0</v>
      </c>
      <c r="AL262" s="62" t="s">
        <v>2068</v>
      </c>
      <c r="AM262" s="62" t="s">
        <v>2908</v>
      </c>
      <c r="AN262" s="2">
        <v>4</v>
      </c>
      <c r="AO262" s="4" t="s">
        <v>2641</v>
      </c>
      <c r="AP262" s="74">
        <v>745.9</v>
      </c>
      <c r="AQ262" s="4">
        <v>25</v>
      </c>
      <c r="AR262" s="4">
        <v>3</v>
      </c>
      <c r="AS262" s="4" t="s">
        <v>2668</v>
      </c>
      <c r="AT262" s="72">
        <v>6</v>
      </c>
      <c r="AU262" s="2">
        <v>7</v>
      </c>
      <c r="AV262" s="4"/>
      <c r="AW262" s="4"/>
      <c r="AX262" s="4"/>
    </row>
    <row r="263" spans="1:50" ht="15" x14ac:dyDescent="0.2">
      <c r="A263" s="3">
        <v>32819</v>
      </c>
      <c r="B263" s="1" t="s">
        <v>468</v>
      </c>
      <c r="C263" s="3">
        <v>1</v>
      </c>
      <c r="D263" s="3" t="s">
        <v>465</v>
      </c>
      <c r="E263" s="3">
        <v>21</v>
      </c>
      <c r="F263" s="3" t="s">
        <v>474</v>
      </c>
      <c r="G263" s="7" t="s">
        <v>219</v>
      </c>
      <c r="H263" s="3">
        <v>99</v>
      </c>
      <c r="I263" s="3" t="s">
        <v>1047</v>
      </c>
      <c r="J263" s="3">
        <v>18</v>
      </c>
      <c r="K263" s="3" t="s">
        <v>1529</v>
      </c>
      <c r="L263" s="3">
        <v>7</v>
      </c>
      <c r="M263" s="3" t="s">
        <v>504</v>
      </c>
      <c r="N263" s="3" t="s">
        <v>1053</v>
      </c>
      <c r="O263" s="10">
        <v>30385</v>
      </c>
      <c r="P263" s="10">
        <v>43466</v>
      </c>
      <c r="Q263" s="10"/>
      <c r="R263" s="10">
        <v>45291</v>
      </c>
      <c r="S263" s="23">
        <v>3176.38</v>
      </c>
      <c r="T263" s="3">
        <v>57953318</v>
      </c>
      <c r="U263" s="3">
        <v>28303100300051</v>
      </c>
      <c r="V263" s="4" t="s">
        <v>2071</v>
      </c>
      <c r="W263" s="4"/>
      <c r="X263" s="4" t="s">
        <v>1583</v>
      </c>
      <c r="Z263" s="3">
        <f ca="1">DATEDIF(Table1[[#This Row],[تاريخ الميلاد]],TODAY(),"y")</f>
        <v>43</v>
      </c>
      <c r="AA26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43 عام 5  شهر  10  يوم </v>
      </c>
      <c r="AB26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7عام7  شهر  19  يوم </v>
      </c>
      <c r="AC263" s="10">
        <f>DATE(YEAR(Table1[[#This Row],[تاريخ الميلاد]])+60,MONTH(Table1[[#This Row],[تاريخ الميلاد]]),DAY(Table1[[#This Row],[تاريخ الميلاد]]))</f>
        <v>52300</v>
      </c>
      <c r="AD263" s="14">
        <f>DATE(YEAR(Table1[[#This Row],[معاش 01/01]])-1,MONTH(Table1[[#This Row],[تاريخ بلوغ 60 ]]),DAY(Table1[[#This Row],[تاريخ بلوغ 60 ]]))</f>
        <v>52300</v>
      </c>
      <c r="AE26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52666</v>
      </c>
      <c r="AF263" s="10" t="str">
        <f>IFERROR(IF(ISODD(MID(Table1[[#This Row],[الرقم القومي]],13,1)),"ذكر","انثي"),"")</f>
        <v>ذكر</v>
      </c>
      <c r="AG263" s="70" t="s">
        <v>2606</v>
      </c>
      <c r="AH263" s="3">
        <f>IF(MONTH(Table1[[#This Row],[تاريخ بلوغ 60 ]])&lt;&gt;1,1,0)</f>
        <v>1</v>
      </c>
      <c r="AI263" s="3">
        <f>IF(DAY(Table1[[#This Row],[تاريخ بلوغ 60 ]])&lt;&gt;1,1,0)</f>
        <v>1</v>
      </c>
      <c r="AJ263" s="4" t="s">
        <v>465</v>
      </c>
      <c r="AK263" s="4" t="s">
        <v>2689</v>
      </c>
      <c r="AL263" s="62" t="s">
        <v>2070</v>
      </c>
      <c r="AM263" s="62" t="s">
        <v>2909</v>
      </c>
      <c r="AN263" s="2">
        <v>4</v>
      </c>
      <c r="AO263" s="4" t="s">
        <v>2641</v>
      </c>
      <c r="AP263" s="74">
        <v>745.9</v>
      </c>
      <c r="AQ263" s="4">
        <v>25</v>
      </c>
      <c r="AR263" s="4">
        <v>3</v>
      </c>
      <c r="AS263" s="4" t="s">
        <v>2668</v>
      </c>
      <c r="AT263" s="72">
        <v>6</v>
      </c>
      <c r="AU263" s="2">
        <v>7</v>
      </c>
      <c r="AV263" s="4"/>
      <c r="AW263" s="4"/>
      <c r="AX263" s="4"/>
    </row>
    <row r="264" spans="1:50" ht="15" x14ac:dyDescent="0.2">
      <c r="A264" s="3">
        <v>32836</v>
      </c>
      <c r="B264" s="1" t="s">
        <v>468</v>
      </c>
      <c r="C264" s="3">
        <v>1</v>
      </c>
      <c r="D264" s="3" t="s">
        <v>465</v>
      </c>
      <c r="E264" s="3">
        <v>21</v>
      </c>
      <c r="F264" s="3" t="s">
        <v>474</v>
      </c>
      <c r="G264" s="7" t="s">
        <v>220</v>
      </c>
      <c r="H264" s="3">
        <v>99</v>
      </c>
      <c r="I264" s="3" t="s">
        <v>1047</v>
      </c>
      <c r="J264" s="3">
        <v>18</v>
      </c>
      <c r="K264" s="3" t="s">
        <v>1529</v>
      </c>
      <c r="L264" s="3">
        <v>7</v>
      </c>
      <c r="M264" s="3" t="s">
        <v>504</v>
      </c>
      <c r="N264" s="3" t="s">
        <v>1053</v>
      </c>
      <c r="O264" s="10">
        <v>30773</v>
      </c>
      <c r="P264" s="10">
        <v>42493</v>
      </c>
      <c r="Q264" s="10"/>
      <c r="R264" s="10">
        <v>45291</v>
      </c>
      <c r="S264" s="23">
        <v>3853.54</v>
      </c>
      <c r="T264" s="3">
        <v>16707181</v>
      </c>
      <c r="U264" s="3">
        <v>28404011206351</v>
      </c>
      <c r="V264" s="4" t="s">
        <v>2073</v>
      </c>
      <c r="W264" s="4"/>
      <c r="X264" s="4" t="s">
        <v>1583</v>
      </c>
      <c r="Z264" s="3">
        <f ca="1">DATEDIF(Table1[[#This Row],[تاريخ الميلاد]],TODAY(),"y")</f>
        <v>42</v>
      </c>
      <c r="AA26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42 عام 4  شهر  19  يوم </v>
      </c>
      <c r="AB26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10عام3  شهر  17  يوم </v>
      </c>
      <c r="AC264" s="10">
        <f>DATE(YEAR(Table1[[#This Row],[تاريخ الميلاد]])+60,MONTH(Table1[[#This Row],[تاريخ الميلاد]]),DAY(Table1[[#This Row],[تاريخ الميلاد]]))</f>
        <v>52688</v>
      </c>
      <c r="AD264" s="14">
        <f>DATE(YEAR(Table1[[#This Row],[معاش 01/01]])-1,MONTH(Table1[[#This Row],[تاريخ بلوغ 60 ]]),DAY(Table1[[#This Row],[تاريخ بلوغ 60 ]]))</f>
        <v>52688</v>
      </c>
      <c r="AE26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53053</v>
      </c>
      <c r="AF264" s="10" t="str">
        <f>IFERROR(IF(ISODD(MID(Table1[[#This Row],[الرقم القومي]],13,1)),"ذكر","انثي"),"")</f>
        <v>ذكر</v>
      </c>
      <c r="AG264" s="70" t="s">
        <v>1635</v>
      </c>
      <c r="AH264" s="3">
        <f>IF(MONTH(Table1[[#This Row],[تاريخ بلوغ 60 ]])&lt;&gt;1,1,0)</f>
        <v>1</v>
      </c>
      <c r="AI264" s="3">
        <f>IF(DAY(Table1[[#This Row],[تاريخ بلوغ 60 ]])&lt;&gt;1,1,0)</f>
        <v>0</v>
      </c>
      <c r="AJ264" s="4" t="s">
        <v>465</v>
      </c>
      <c r="AK264" s="4" t="s">
        <v>2636</v>
      </c>
      <c r="AL264" s="62" t="s">
        <v>2072</v>
      </c>
      <c r="AM264" s="62" t="s">
        <v>2910</v>
      </c>
      <c r="AN264" s="2">
        <v>4</v>
      </c>
      <c r="AO264" s="4" t="s">
        <v>2641</v>
      </c>
      <c r="AP264" s="74">
        <v>908.38</v>
      </c>
      <c r="AQ264" s="4">
        <v>25</v>
      </c>
      <c r="AR264" s="4">
        <v>3</v>
      </c>
      <c r="AS264" s="4" t="s">
        <v>2668</v>
      </c>
      <c r="AT264" s="72">
        <v>6</v>
      </c>
      <c r="AU264" s="2">
        <v>7</v>
      </c>
      <c r="AV264" s="4"/>
      <c r="AW264" s="4"/>
      <c r="AX264" s="4"/>
    </row>
    <row r="265" spans="1:50" ht="15" x14ac:dyDescent="0.2">
      <c r="A265" s="3">
        <v>32840</v>
      </c>
      <c r="B265" s="1" t="s">
        <v>468</v>
      </c>
      <c r="C265" s="3">
        <v>1</v>
      </c>
      <c r="D265" s="3" t="s">
        <v>465</v>
      </c>
      <c r="E265" s="3">
        <v>21</v>
      </c>
      <c r="F265" s="3" t="s">
        <v>474</v>
      </c>
      <c r="G265" s="7" t="s">
        <v>2074</v>
      </c>
      <c r="H265" s="3">
        <v>99</v>
      </c>
      <c r="I265" s="3" t="s">
        <v>1047</v>
      </c>
      <c r="J265" s="3">
        <v>18</v>
      </c>
      <c r="K265" s="3" t="s">
        <v>1529</v>
      </c>
      <c r="L265" s="3">
        <v>7</v>
      </c>
      <c r="M265" s="3" t="s">
        <v>504</v>
      </c>
      <c r="N265" s="3" t="s">
        <v>1053</v>
      </c>
      <c r="O265" s="10">
        <v>29990</v>
      </c>
      <c r="P265" s="10">
        <v>43466</v>
      </c>
      <c r="Q265" s="10"/>
      <c r="R265" s="10">
        <v>45291</v>
      </c>
      <c r="S265" s="23">
        <v>3176.38</v>
      </c>
      <c r="T265" s="3">
        <v>20043260</v>
      </c>
      <c r="U265" s="3">
        <v>28202081302551</v>
      </c>
      <c r="V265" s="4" t="s">
        <v>2076</v>
      </c>
      <c r="W265" s="4"/>
      <c r="X265" s="4" t="s">
        <v>1583</v>
      </c>
      <c r="Z265" s="3">
        <f ca="1">DATEDIF(Table1[[#This Row],[تاريخ الميلاد]],TODAY(),"y")</f>
        <v>44</v>
      </c>
      <c r="AA26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44 عام 6  شهر  12  يوم </v>
      </c>
      <c r="AB26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7عام7  شهر  19  يوم </v>
      </c>
      <c r="AC265" s="10">
        <f>DATE(YEAR(Table1[[#This Row],[تاريخ الميلاد]])+60,MONTH(Table1[[#This Row],[تاريخ الميلاد]]),DAY(Table1[[#This Row],[تاريخ الميلاد]]))</f>
        <v>51905</v>
      </c>
      <c r="AD265" s="14">
        <f>DATE(YEAR(Table1[[#This Row],[معاش 01/01]])-1,MONTH(Table1[[#This Row],[تاريخ بلوغ 60 ]]),DAY(Table1[[#This Row],[تاريخ بلوغ 60 ]]))</f>
        <v>51905</v>
      </c>
      <c r="AE26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52270</v>
      </c>
      <c r="AF265" s="10" t="str">
        <f>IFERROR(IF(ISODD(MID(Table1[[#This Row],[الرقم القومي]],13,1)),"ذكر","انثي"),"")</f>
        <v>ذكر</v>
      </c>
      <c r="AG265" s="70" t="s">
        <v>2610</v>
      </c>
      <c r="AH265" s="3">
        <f>IF(MONTH(Table1[[#This Row],[تاريخ بلوغ 60 ]])&lt;&gt;1,1,0)</f>
        <v>1</v>
      </c>
      <c r="AI265" s="3">
        <f>IF(DAY(Table1[[#This Row],[تاريخ بلوغ 60 ]])&lt;&gt;1,1,0)</f>
        <v>1</v>
      </c>
      <c r="AJ265" s="4" t="s">
        <v>465</v>
      </c>
      <c r="AK265" s="4" t="s">
        <v>2689</v>
      </c>
      <c r="AL265" s="62" t="s">
        <v>2075</v>
      </c>
      <c r="AM265" s="62" t="s">
        <v>2911</v>
      </c>
      <c r="AN265" s="2">
        <v>4</v>
      </c>
      <c r="AO265" s="4" t="s">
        <v>2641</v>
      </c>
      <c r="AP265" s="74">
        <v>745.9</v>
      </c>
      <c r="AQ265" s="4">
        <v>25</v>
      </c>
      <c r="AR265" s="4">
        <v>3</v>
      </c>
      <c r="AS265" s="4" t="s">
        <v>2668</v>
      </c>
      <c r="AT265" s="72">
        <v>6</v>
      </c>
      <c r="AU265" s="2">
        <v>7</v>
      </c>
      <c r="AV265" s="4"/>
      <c r="AW265" s="4"/>
      <c r="AX265" s="4"/>
    </row>
    <row r="266" spans="1:50" ht="15" x14ac:dyDescent="0.2">
      <c r="A266" s="3">
        <v>32848</v>
      </c>
      <c r="B266" s="1" t="s">
        <v>468</v>
      </c>
      <c r="C266" s="3">
        <v>1</v>
      </c>
      <c r="D266" s="3" t="s">
        <v>465</v>
      </c>
      <c r="E266" s="3">
        <v>21</v>
      </c>
      <c r="F266" s="3" t="s">
        <v>474</v>
      </c>
      <c r="G266" s="7" t="s">
        <v>221</v>
      </c>
      <c r="H266" s="3">
        <v>99</v>
      </c>
      <c r="I266" s="3" t="s">
        <v>1047</v>
      </c>
      <c r="J266" s="3">
        <v>18</v>
      </c>
      <c r="K266" s="3" t="s">
        <v>1529</v>
      </c>
      <c r="L266" s="3">
        <v>7</v>
      </c>
      <c r="M266" s="3" t="s">
        <v>504</v>
      </c>
      <c r="N266" s="3" t="s">
        <v>1053</v>
      </c>
      <c r="O266" s="10">
        <v>29984</v>
      </c>
      <c r="P266" s="10">
        <v>43466</v>
      </c>
      <c r="Q266" s="10"/>
      <c r="R266" s="10">
        <v>45291</v>
      </c>
      <c r="S266" s="23">
        <v>3176.38</v>
      </c>
      <c r="T266" s="3">
        <v>33535993</v>
      </c>
      <c r="U266" s="3">
        <v>28202020300237</v>
      </c>
      <c r="V266" s="4" t="s">
        <v>2078</v>
      </c>
      <c r="W266" s="4"/>
      <c r="X266" s="4" t="s">
        <v>1583</v>
      </c>
      <c r="Z266" s="3">
        <f ca="1">DATEDIF(Table1[[#This Row],[تاريخ الميلاد]],TODAY(),"y")</f>
        <v>44</v>
      </c>
      <c r="AA26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44 عام 6  شهر  18  يوم </v>
      </c>
      <c r="AB26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7عام7  شهر  19  يوم </v>
      </c>
      <c r="AC266" s="10">
        <f>DATE(YEAR(Table1[[#This Row],[تاريخ الميلاد]])+60,MONTH(Table1[[#This Row],[تاريخ الميلاد]]),DAY(Table1[[#This Row],[تاريخ الميلاد]]))</f>
        <v>51899</v>
      </c>
      <c r="AD266" s="14">
        <f>DATE(YEAR(Table1[[#This Row],[معاش 01/01]])-1,MONTH(Table1[[#This Row],[تاريخ بلوغ 60 ]]),DAY(Table1[[#This Row],[تاريخ بلوغ 60 ]]))</f>
        <v>51899</v>
      </c>
      <c r="AE26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52264</v>
      </c>
      <c r="AF266" s="10" t="str">
        <f>IFERROR(IF(ISODD(MID(Table1[[#This Row],[الرقم القومي]],13,1)),"ذكر","انثي"),"")</f>
        <v>ذكر</v>
      </c>
      <c r="AG266" s="70" t="s">
        <v>2606</v>
      </c>
      <c r="AH266" s="3">
        <f>IF(MONTH(Table1[[#This Row],[تاريخ بلوغ 60 ]])&lt;&gt;1,1,0)</f>
        <v>1</v>
      </c>
      <c r="AI266" s="3">
        <f>IF(DAY(Table1[[#This Row],[تاريخ بلوغ 60 ]])&lt;&gt;1,1,0)</f>
        <v>1</v>
      </c>
      <c r="AJ266" s="4" t="s">
        <v>465</v>
      </c>
      <c r="AK266" s="4" t="s">
        <v>2636</v>
      </c>
      <c r="AL266" s="62" t="s">
        <v>2077</v>
      </c>
      <c r="AM266" s="62" t="s">
        <v>2912</v>
      </c>
      <c r="AN266" s="2">
        <v>4</v>
      </c>
      <c r="AO266" s="4" t="s">
        <v>2641</v>
      </c>
      <c r="AP266" s="74">
        <v>745.9</v>
      </c>
      <c r="AQ266" s="4">
        <v>25</v>
      </c>
      <c r="AR266" s="4">
        <v>3</v>
      </c>
      <c r="AS266" s="4" t="s">
        <v>2668</v>
      </c>
      <c r="AT266" s="72">
        <v>6</v>
      </c>
      <c r="AU266" s="2">
        <v>7</v>
      </c>
      <c r="AV266" s="4"/>
      <c r="AW266" s="4"/>
      <c r="AX266" s="4"/>
    </row>
    <row r="267" spans="1:50" ht="15" x14ac:dyDescent="0.2">
      <c r="A267" s="3">
        <v>32850</v>
      </c>
      <c r="B267" s="1" t="s">
        <v>468</v>
      </c>
      <c r="C267" s="3">
        <v>1</v>
      </c>
      <c r="D267" s="3" t="s">
        <v>465</v>
      </c>
      <c r="E267" s="3">
        <v>21</v>
      </c>
      <c r="F267" s="3" t="s">
        <v>474</v>
      </c>
      <c r="G267" s="7" t="s">
        <v>222</v>
      </c>
      <c r="H267" s="3">
        <v>99</v>
      </c>
      <c r="I267" s="3" t="s">
        <v>1047</v>
      </c>
      <c r="J267" s="3">
        <v>18</v>
      </c>
      <c r="K267" s="3" t="s">
        <v>1529</v>
      </c>
      <c r="L267" s="3">
        <v>7</v>
      </c>
      <c r="M267" s="3" t="s">
        <v>504</v>
      </c>
      <c r="N267" s="3" t="s">
        <v>1053</v>
      </c>
      <c r="O267" s="10">
        <v>30301</v>
      </c>
      <c r="P267" s="10">
        <v>43466</v>
      </c>
      <c r="Q267" s="10"/>
      <c r="R267" s="10">
        <v>45291</v>
      </c>
      <c r="S267" s="23">
        <v>3176.38</v>
      </c>
      <c r="T267" s="3">
        <v>25236611</v>
      </c>
      <c r="U267" s="3">
        <v>28212160300232</v>
      </c>
      <c r="V267" s="4" t="s">
        <v>2080</v>
      </c>
      <c r="W267" s="4"/>
      <c r="X267" s="4" t="s">
        <v>1583</v>
      </c>
      <c r="Z267" s="3">
        <f ca="1">DATEDIF(Table1[[#This Row],[تاريخ الميلاد]],TODAY(),"y")</f>
        <v>43</v>
      </c>
      <c r="AA26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43 عام 8  شهر  4  يوم </v>
      </c>
      <c r="AB26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7عام7  شهر  19  يوم </v>
      </c>
      <c r="AC267" s="10">
        <f>DATE(YEAR(Table1[[#This Row],[تاريخ الميلاد]])+60,MONTH(Table1[[#This Row],[تاريخ الميلاد]]),DAY(Table1[[#This Row],[تاريخ الميلاد]]))</f>
        <v>52216</v>
      </c>
      <c r="AD267" s="14">
        <f>DATE(YEAR(Table1[[#This Row],[معاش 01/01]])-1,MONTH(Table1[[#This Row],[تاريخ بلوغ 60 ]]),DAY(Table1[[#This Row],[تاريخ بلوغ 60 ]]))</f>
        <v>52216</v>
      </c>
      <c r="AE26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52581</v>
      </c>
      <c r="AF267" s="10" t="str">
        <f>IFERROR(IF(ISODD(MID(Table1[[#This Row],[الرقم القومي]],13,1)),"ذكر","انثي"),"")</f>
        <v>ذكر</v>
      </c>
      <c r="AG267" s="70" t="s">
        <v>2606</v>
      </c>
      <c r="AH267" s="3">
        <f>IF(MONTH(Table1[[#This Row],[تاريخ بلوغ 60 ]])&lt;&gt;1,1,0)</f>
        <v>1</v>
      </c>
      <c r="AI267" s="3">
        <f>IF(DAY(Table1[[#This Row],[تاريخ بلوغ 60 ]])&lt;&gt;1,1,0)</f>
        <v>1</v>
      </c>
      <c r="AJ267" s="4" t="s">
        <v>465</v>
      </c>
      <c r="AK267" s="4" t="s">
        <v>2689</v>
      </c>
      <c r="AL267" s="62" t="s">
        <v>2079</v>
      </c>
      <c r="AM267" s="62" t="s">
        <v>2913</v>
      </c>
      <c r="AN267" s="2">
        <v>4</v>
      </c>
      <c r="AO267" s="4" t="s">
        <v>2641</v>
      </c>
      <c r="AP267" s="74">
        <v>745.9</v>
      </c>
      <c r="AQ267" s="4">
        <v>25</v>
      </c>
      <c r="AR267" s="4">
        <v>3</v>
      </c>
      <c r="AS267" s="4" t="s">
        <v>2668</v>
      </c>
      <c r="AT267" s="72">
        <v>6</v>
      </c>
      <c r="AU267" s="2">
        <v>7</v>
      </c>
      <c r="AV267" s="4"/>
      <c r="AW267" s="4"/>
      <c r="AX267" s="4"/>
    </row>
    <row r="268" spans="1:50" ht="15" x14ac:dyDescent="0.2">
      <c r="A268" s="3">
        <v>32878</v>
      </c>
      <c r="B268" s="1" t="s">
        <v>468</v>
      </c>
      <c r="C268" s="3">
        <v>1</v>
      </c>
      <c r="D268" s="3" t="s">
        <v>465</v>
      </c>
      <c r="E268" s="3">
        <v>21</v>
      </c>
      <c r="F268" s="3" t="s">
        <v>474</v>
      </c>
      <c r="G268" s="7" t="s">
        <v>223</v>
      </c>
      <c r="H268" s="3">
        <v>99</v>
      </c>
      <c r="I268" s="3" t="s">
        <v>1047</v>
      </c>
      <c r="J268" s="3">
        <v>18</v>
      </c>
      <c r="K268" s="3" t="s">
        <v>1529</v>
      </c>
      <c r="L268" s="3">
        <v>7</v>
      </c>
      <c r="M268" s="3" t="s">
        <v>504</v>
      </c>
      <c r="N268" s="3" t="s">
        <v>1053</v>
      </c>
      <c r="O268" s="10">
        <v>30675</v>
      </c>
      <c r="P268" s="10">
        <v>43466</v>
      </c>
      <c r="Q268" s="10"/>
      <c r="R268" s="10">
        <v>45657</v>
      </c>
      <c r="S268" s="23">
        <v>3176.38</v>
      </c>
      <c r="T268" s="3">
        <v>28028940</v>
      </c>
      <c r="U268" s="3">
        <v>28312250300171</v>
      </c>
      <c r="V268" s="4" t="s">
        <v>2082</v>
      </c>
      <c r="W268" s="4"/>
      <c r="X268" s="4" t="s">
        <v>1583</v>
      </c>
      <c r="Z268" s="3">
        <f ca="1">DATEDIF(Table1[[#This Row],[تاريخ الميلاد]],TODAY(),"y")</f>
        <v>42</v>
      </c>
      <c r="AA26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42 عام 7  شهر  26  يوم </v>
      </c>
      <c r="AB26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7عام7  شهر  19  يوم </v>
      </c>
      <c r="AC268" s="10">
        <f>DATE(YEAR(Table1[[#This Row],[تاريخ الميلاد]])+60,MONTH(Table1[[#This Row],[تاريخ الميلاد]]),DAY(Table1[[#This Row],[تاريخ الميلاد]]))</f>
        <v>52590</v>
      </c>
      <c r="AD268" s="14">
        <f>DATE(YEAR(Table1[[#This Row],[معاش 01/01]])-1,MONTH(Table1[[#This Row],[تاريخ بلوغ 60 ]]),DAY(Table1[[#This Row],[تاريخ بلوغ 60 ]]))</f>
        <v>52590</v>
      </c>
      <c r="AE26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52956</v>
      </c>
      <c r="AF268" s="10" t="str">
        <f>IFERROR(IF(ISODD(MID(Table1[[#This Row],[الرقم القومي]],13,1)),"ذكر","انثي"),"")</f>
        <v>ذكر</v>
      </c>
      <c r="AG268" s="70" t="s">
        <v>2606</v>
      </c>
      <c r="AH268" s="3">
        <f>IF(MONTH(Table1[[#This Row],[تاريخ بلوغ 60 ]])&lt;&gt;1,1,0)</f>
        <v>1</v>
      </c>
      <c r="AI268" s="3">
        <f>IF(DAY(Table1[[#This Row],[تاريخ بلوغ 60 ]])&lt;&gt;1,1,0)</f>
        <v>1</v>
      </c>
      <c r="AJ268" s="4" t="s">
        <v>465</v>
      </c>
      <c r="AK268" s="4">
        <v>0</v>
      </c>
      <c r="AL268" s="62" t="s">
        <v>2081</v>
      </c>
      <c r="AM268" s="62" t="s">
        <v>2914</v>
      </c>
      <c r="AN268" s="2">
        <v>4</v>
      </c>
      <c r="AO268" s="4" t="s">
        <v>2641</v>
      </c>
      <c r="AP268" s="74">
        <v>745.9</v>
      </c>
      <c r="AQ268" s="4">
        <v>25</v>
      </c>
      <c r="AR268" s="4">
        <v>3</v>
      </c>
      <c r="AS268" s="4" t="s">
        <v>2668</v>
      </c>
      <c r="AT268" s="72">
        <v>6</v>
      </c>
      <c r="AU268" s="2">
        <v>7</v>
      </c>
      <c r="AV268" s="4"/>
      <c r="AW268" s="4"/>
      <c r="AX268" s="4"/>
    </row>
    <row r="269" spans="1:50" ht="15" x14ac:dyDescent="0.2">
      <c r="A269" s="3">
        <v>32883</v>
      </c>
      <c r="B269" s="1" t="s">
        <v>468</v>
      </c>
      <c r="C269" s="3">
        <v>1</v>
      </c>
      <c r="D269" s="3" t="s">
        <v>465</v>
      </c>
      <c r="E269" s="3">
        <v>21</v>
      </c>
      <c r="F269" s="3" t="s">
        <v>474</v>
      </c>
      <c r="G269" s="7" t="s">
        <v>2083</v>
      </c>
      <c r="H269" s="3">
        <v>99</v>
      </c>
      <c r="I269" s="3" t="s">
        <v>1047</v>
      </c>
      <c r="J269" s="3">
        <v>18</v>
      </c>
      <c r="K269" s="3" t="s">
        <v>1529</v>
      </c>
      <c r="L269" s="3">
        <v>7</v>
      </c>
      <c r="M269" s="3" t="s">
        <v>504</v>
      </c>
      <c r="N269" s="3" t="s">
        <v>1053</v>
      </c>
      <c r="O269" s="10">
        <v>30901</v>
      </c>
      <c r="P269" s="10">
        <v>43466</v>
      </c>
      <c r="Q269" s="10"/>
      <c r="R269" s="10">
        <v>45291</v>
      </c>
      <c r="S269" s="23">
        <v>3176.38</v>
      </c>
      <c r="T269" s="3">
        <v>59549062</v>
      </c>
      <c r="U269" s="3">
        <v>28408070300171</v>
      </c>
      <c r="V269" s="4" t="s">
        <v>2085</v>
      </c>
      <c r="W269" s="4"/>
      <c r="X269" s="4" t="s">
        <v>1583</v>
      </c>
      <c r="Z269" s="3">
        <f ca="1">DATEDIF(Table1[[#This Row],[تاريخ الميلاد]],TODAY(),"y")</f>
        <v>42</v>
      </c>
      <c r="AA26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42 عام 0  شهر  13  يوم </v>
      </c>
      <c r="AB26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7عام7  شهر  19  يوم </v>
      </c>
      <c r="AC269" s="10">
        <f>DATE(YEAR(Table1[[#This Row],[تاريخ الميلاد]])+60,MONTH(Table1[[#This Row],[تاريخ الميلاد]]),DAY(Table1[[#This Row],[تاريخ الميلاد]]))</f>
        <v>52816</v>
      </c>
      <c r="AD269" s="14">
        <f>DATE(YEAR(Table1[[#This Row],[معاش 01/01]])-1,MONTH(Table1[[#This Row],[تاريخ بلوغ 60 ]]),DAY(Table1[[#This Row],[تاريخ بلوغ 60 ]]))</f>
        <v>52816</v>
      </c>
      <c r="AE26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53181</v>
      </c>
      <c r="AF269" s="10" t="str">
        <f>IFERROR(IF(ISODD(MID(Table1[[#This Row],[الرقم القومي]],13,1)),"ذكر","انثي"),"")</f>
        <v>ذكر</v>
      </c>
      <c r="AG269" s="70" t="s">
        <v>2606</v>
      </c>
      <c r="AH269" s="3">
        <f>IF(MONTH(Table1[[#This Row],[تاريخ بلوغ 60 ]])&lt;&gt;1,1,0)</f>
        <v>1</v>
      </c>
      <c r="AI269" s="3">
        <f>IF(DAY(Table1[[#This Row],[تاريخ بلوغ 60 ]])&lt;&gt;1,1,0)</f>
        <v>1</v>
      </c>
      <c r="AJ269" s="4" t="s">
        <v>465</v>
      </c>
      <c r="AK269" s="4">
        <v>0</v>
      </c>
      <c r="AL269" s="62" t="s">
        <v>2084</v>
      </c>
      <c r="AM269" s="62" t="s">
        <v>2914</v>
      </c>
      <c r="AN269" s="2">
        <v>4</v>
      </c>
      <c r="AO269" s="4" t="s">
        <v>2641</v>
      </c>
      <c r="AP269" s="74">
        <v>745.9</v>
      </c>
      <c r="AQ269" s="4">
        <v>25</v>
      </c>
      <c r="AR269" s="4">
        <v>2</v>
      </c>
      <c r="AS269" s="4" t="s">
        <v>2696</v>
      </c>
      <c r="AT269" s="72">
        <v>4</v>
      </c>
      <c r="AU269" s="2">
        <v>7</v>
      </c>
      <c r="AV269" s="4"/>
      <c r="AW269" s="4"/>
      <c r="AX269" s="4"/>
    </row>
    <row r="270" spans="1:50" ht="15" x14ac:dyDescent="0.2">
      <c r="A270" s="3">
        <v>32884</v>
      </c>
      <c r="B270" s="1" t="s">
        <v>468</v>
      </c>
      <c r="C270" s="3">
        <v>1</v>
      </c>
      <c r="D270" s="3" t="s">
        <v>465</v>
      </c>
      <c r="E270" s="3">
        <v>21</v>
      </c>
      <c r="F270" s="3" t="s">
        <v>474</v>
      </c>
      <c r="G270" s="7" t="s">
        <v>224</v>
      </c>
      <c r="H270" s="3">
        <v>99</v>
      </c>
      <c r="I270" s="3" t="s">
        <v>1047</v>
      </c>
      <c r="J270" s="3">
        <v>18</v>
      </c>
      <c r="K270" s="3" t="s">
        <v>1529</v>
      </c>
      <c r="L270" s="3">
        <v>7</v>
      </c>
      <c r="M270" s="3" t="s">
        <v>504</v>
      </c>
      <c r="N270" s="3" t="s">
        <v>1053</v>
      </c>
      <c r="O270" s="10">
        <v>30469</v>
      </c>
      <c r="P270" s="10">
        <v>43466</v>
      </c>
      <c r="Q270" s="10"/>
      <c r="R270" s="10">
        <v>45291</v>
      </c>
      <c r="S270" s="23">
        <v>3176.38</v>
      </c>
      <c r="T270" s="3">
        <v>58002470</v>
      </c>
      <c r="U270" s="3">
        <v>28306028800514</v>
      </c>
      <c r="V270" s="4" t="s">
        <v>2087</v>
      </c>
      <c r="W270" s="4"/>
      <c r="X270" s="4" t="s">
        <v>1583</v>
      </c>
      <c r="Z270" s="3">
        <f ca="1">DATEDIF(Table1[[#This Row],[تاريخ الميلاد]],TODAY(),"y")</f>
        <v>43</v>
      </c>
      <c r="AA27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43 عام 2  شهر  18  يوم </v>
      </c>
      <c r="AB27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7عام7  شهر  19  يوم </v>
      </c>
      <c r="AC270" s="10">
        <f>DATE(YEAR(Table1[[#This Row],[تاريخ الميلاد]])+60,MONTH(Table1[[#This Row],[تاريخ الميلاد]]),DAY(Table1[[#This Row],[تاريخ الميلاد]]))</f>
        <v>52384</v>
      </c>
      <c r="AD270" s="14">
        <f>DATE(YEAR(Table1[[#This Row],[معاش 01/01]])-1,MONTH(Table1[[#This Row],[تاريخ بلوغ 60 ]]),DAY(Table1[[#This Row],[تاريخ بلوغ 60 ]]))</f>
        <v>52384</v>
      </c>
      <c r="AE27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52750</v>
      </c>
      <c r="AF270" s="10" t="str">
        <f>IFERROR(IF(ISODD(MID(Table1[[#This Row],[الرقم القومي]],13,1)),"ذكر","انثي"),"")</f>
        <v>ذكر</v>
      </c>
      <c r="AG270" s="70"/>
      <c r="AH270" s="3">
        <f>IF(MONTH(Table1[[#This Row],[تاريخ بلوغ 60 ]])&lt;&gt;1,1,0)</f>
        <v>1</v>
      </c>
      <c r="AI270" s="3">
        <f>IF(DAY(Table1[[#This Row],[تاريخ بلوغ 60 ]])&lt;&gt;1,1,0)</f>
        <v>1</v>
      </c>
      <c r="AJ270" s="4" t="s">
        <v>465</v>
      </c>
      <c r="AK270" s="4" t="s">
        <v>2636</v>
      </c>
      <c r="AL270" s="62" t="s">
        <v>2086</v>
      </c>
      <c r="AM270" s="62" t="s">
        <v>2915</v>
      </c>
      <c r="AN270" s="2">
        <v>4</v>
      </c>
      <c r="AO270" s="4" t="s">
        <v>2641</v>
      </c>
      <c r="AP270" s="74">
        <v>745.9</v>
      </c>
      <c r="AQ270" s="4">
        <v>25</v>
      </c>
      <c r="AR270" s="4">
        <v>3</v>
      </c>
      <c r="AS270" s="4" t="s">
        <v>2668</v>
      </c>
      <c r="AT270" s="72">
        <v>6</v>
      </c>
      <c r="AU270" s="2">
        <v>7</v>
      </c>
      <c r="AV270" s="4"/>
      <c r="AW270" s="4"/>
      <c r="AX270" s="4"/>
    </row>
    <row r="271" spans="1:50" ht="15" x14ac:dyDescent="0.2">
      <c r="A271" s="3">
        <v>32892</v>
      </c>
      <c r="B271" s="1" t="s">
        <v>468</v>
      </c>
      <c r="C271" s="3">
        <v>1</v>
      </c>
      <c r="D271" s="3" t="s">
        <v>465</v>
      </c>
      <c r="E271" s="3">
        <v>3</v>
      </c>
      <c r="F271" s="3" t="s">
        <v>472</v>
      </c>
      <c r="G271" s="7" t="s">
        <v>225</v>
      </c>
      <c r="H271" s="3">
        <v>99</v>
      </c>
      <c r="I271" s="3" t="s">
        <v>1047</v>
      </c>
      <c r="J271" s="3">
        <v>18</v>
      </c>
      <c r="K271" s="3" t="s">
        <v>1529</v>
      </c>
      <c r="L271" s="3">
        <v>7</v>
      </c>
      <c r="M271" s="3" t="s">
        <v>504</v>
      </c>
      <c r="N271" s="3" t="s">
        <v>1053</v>
      </c>
      <c r="O271" s="10">
        <v>30299</v>
      </c>
      <c r="P271" s="10">
        <v>43466</v>
      </c>
      <c r="Q271" s="10"/>
      <c r="R271" s="10">
        <v>45291</v>
      </c>
      <c r="S271" s="23">
        <v>3176.38</v>
      </c>
      <c r="T271" s="3">
        <v>52492578</v>
      </c>
      <c r="U271" s="3">
        <v>28212140300414</v>
      </c>
      <c r="V271" s="4" t="s">
        <v>2089</v>
      </c>
      <c r="W271" s="4"/>
      <c r="X271" s="4" t="s">
        <v>1583</v>
      </c>
      <c r="Z271" s="3">
        <f ca="1">DATEDIF(Table1[[#This Row],[تاريخ الميلاد]],TODAY(),"y")</f>
        <v>43</v>
      </c>
      <c r="AA27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43 عام 8  شهر  6  يوم </v>
      </c>
      <c r="AB27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7عام7  شهر  19  يوم </v>
      </c>
      <c r="AC271" s="10">
        <f>DATE(YEAR(Table1[[#This Row],[تاريخ الميلاد]])+60,MONTH(Table1[[#This Row],[تاريخ الميلاد]]),DAY(Table1[[#This Row],[تاريخ الميلاد]]))</f>
        <v>52214</v>
      </c>
      <c r="AD271" s="14">
        <f>DATE(YEAR(Table1[[#This Row],[معاش 01/01]])-1,MONTH(Table1[[#This Row],[تاريخ بلوغ 60 ]]),DAY(Table1[[#This Row],[تاريخ بلوغ 60 ]]))</f>
        <v>52214</v>
      </c>
      <c r="AE27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52579</v>
      </c>
      <c r="AF271" s="10" t="str">
        <f>IFERROR(IF(ISODD(MID(Table1[[#This Row],[الرقم القومي]],13,1)),"ذكر","انثي"),"")</f>
        <v>ذكر</v>
      </c>
      <c r="AG271" s="70" t="s">
        <v>2606</v>
      </c>
      <c r="AH271" s="3">
        <f>IF(MONTH(Table1[[#This Row],[تاريخ بلوغ 60 ]])&lt;&gt;1,1,0)</f>
        <v>1</v>
      </c>
      <c r="AI271" s="3">
        <f>IF(DAY(Table1[[#This Row],[تاريخ بلوغ 60 ]])&lt;&gt;1,1,0)</f>
        <v>1</v>
      </c>
      <c r="AJ271" s="4" t="s">
        <v>465</v>
      </c>
      <c r="AK271" s="4">
        <v>0</v>
      </c>
      <c r="AL271" s="62" t="s">
        <v>2088</v>
      </c>
      <c r="AM271" s="62" t="s">
        <v>2916</v>
      </c>
      <c r="AN271" s="2">
        <v>4</v>
      </c>
      <c r="AO271" s="4" t="s">
        <v>2641</v>
      </c>
      <c r="AP271" s="74">
        <v>745.9</v>
      </c>
      <c r="AQ271" s="4">
        <v>25</v>
      </c>
      <c r="AR271" s="4">
        <v>3</v>
      </c>
      <c r="AS271" s="4" t="s">
        <v>2668</v>
      </c>
      <c r="AT271" s="72">
        <v>6</v>
      </c>
      <c r="AU271" s="2">
        <v>7</v>
      </c>
      <c r="AV271" s="4"/>
      <c r="AW271" s="4"/>
      <c r="AX271" s="4"/>
    </row>
    <row r="272" spans="1:50" ht="15" x14ac:dyDescent="0.2">
      <c r="A272" s="3">
        <v>32895</v>
      </c>
      <c r="B272" s="1" t="s">
        <v>468</v>
      </c>
      <c r="C272" s="3">
        <v>1</v>
      </c>
      <c r="D272" s="3" t="s">
        <v>465</v>
      </c>
      <c r="E272" s="3">
        <v>21</v>
      </c>
      <c r="F272" s="3" t="s">
        <v>474</v>
      </c>
      <c r="G272" s="7" t="s">
        <v>226</v>
      </c>
      <c r="H272" s="3">
        <v>99</v>
      </c>
      <c r="I272" s="3" t="s">
        <v>1047</v>
      </c>
      <c r="J272" s="3">
        <v>18</v>
      </c>
      <c r="K272" s="3" t="s">
        <v>1529</v>
      </c>
      <c r="L272" s="3">
        <v>7</v>
      </c>
      <c r="M272" s="3" t="s">
        <v>504</v>
      </c>
      <c r="N272" s="3" t="s">
        <v>1053</v>
      </c>
      <c r="O272" s="10">
        <v>31093</v>
      </c>
      <c r="P272" s="10">
        <v>43466</v>
      </c>
      <c r="Q272" s="10"/>
      <c r="R272" s="10">
        <v>45291</v>
      </c>
      <c r="S272" s="23">
        <v>3176.38</v>
      </c>
      <c r="T272" s="3">
        <v>58527089</v>
      </c>
      <c r="U272" s="3">
        <v>28502150300071</v>
      </c>
      <c r="V272" s="4" t="s">
        <v>2091</v>
      </c>
      <c r="W272" s="4"/>
      <c r="X272" s="4" t="s">
        <v>1583</v>
      </c>
      <c r="Z272" s="3">
        <f ca="1">DATEDIF(Table1[[#This Row],[تاريخ الميلاد]],TODAY(),"y")</f>
        <v>41</v>
      </c>
      <c r="AA27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41 عام 6  شهر  5  يوم </v>
      </c>
      <c r="AB27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7عام7  شهر  19  يوم </v>
      </c>
      <c r="AC272" s="10">
        <f>DATE(YEAR(Table1[[#This Row],[تاريخ الميلاد]])+60,MONTH(Table1[[#This Row],[تاريخ الميلاد]]),DAY(Table1[[#This Row],[تاريخ الميلاد]]))</f>
        <v>53008</v>
      </c>
      <c r="AD272" s="14">
        <f>DATE(YEAR(Table1[[#This Row],[معاش 01/01]])-1,MONTH(Table1[[#This Row],[تاريخ بلوغ 60 ]]),DAY(Table1[[#This Row],[تاريخ بلوغ 60 ]]))</f>
        <v>53008</v>
      </c>
      <c r="AE27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53373</v>
      </c>
      <c r="AF272" s="10" t="str">
        <f>IFERROR(IF(ISODD(MID(Table1[[#This Row],[الرقم القومي]],13,1)),"ذكر","انثي"),"")</f>
        <v>ذكر</v>
      </c>
      <c r="AG272" s="70" t="s">
        <v>2606</v>
      </c>
      <c r="AH272" s="3">
        <f>IF(MONTH(Table1[[#This Row],[تاريخ بلوغ 60 ]])&lt;&gt;1,1,0)</f>
        <v>1</v>
      </c>
      <c r="AI272" s="3">
        <f>IF(DAY(Table1[[#This Row],[تاريخ بلوغ 60 ]])&lt;&gt;1,1,0)</f>
        <v>1</v>
      </c>
      <c r="AJ272" s="4" t="s">
        <v>465</v>
      </c>
      <c r="AK272" s="4" t="s">
        <v>2689</v>
      </c>
      <c r="AL272" s="62" t="s">
        <v>2090</v>
      </c>
      <c r="AM272" s="62" t="s">
        <v>2917</v>
      </c>
      <c r="AN272" s="2">
        <v>4</v>
      </c>
      <c r="AO272" s="4" t="s">
        <v>2641</v>
      </c>
      <c r="AP272" s="74">
        <v>745.9</v>
      </c>
      <c r="AQ272" s="4">
        <v>25</v>
      </c>
      <c r="AR272" s="4">
        <v>8</v>
      </c>
      <c r="AS272" s="4" t="s">
        <v>2851</v>
      </c>
      <c r="AT272" s="72">
        <v>2</v>
      </c>
      <c r="AU272" s="2">
        <v>7</v>
      </c>
      <c r="AV272" s="4"/>
      <c r="AW272" s="4"/>
      <c r="AX272" s="4"/>
    </row>
    <row r="273" spans="1:50" ht="15" x14ac:dyDescent="0.2">
      <c r="A273" s="3">
        <v>32908</v>
      </c>
      <c r="B273" s="1" t="s">
        <v>468</v>
      </c>
      <c r="C273" s="3">
        <v>1</v>
      </c>
      <c r="D273" s="3" t="s">
        <v>465</v>
      </c>
      <c r="E273" s="3">
        <v>21</v>
      </c>
      <c r="F273" s="3" t="s">
        <v>474</v>
      </c>
      <c r="G273" s="7" t="s">
        <v>2092</v>
      </c>
      <c r="H273" s="3">
        <v>99</v>
      </c>
      <c r="I273" s="3" t="s">
        <v>1047</v>
      </c>
      <c r="J273" s="3">
        <v>18</v>
      </c>
      <c r="K273" s="3" t="s">
        <v>1529</v>
      </c>
      <c r="L273" s="3">
        <v>7</v>
      </c>
      <c r="M273" s="3" t="s">
        <v>504</v>
      </c>
      <c r="N273" s="3" t="s">
        <v>1053</v>
      </c>
      <c r="O273" s="10">
        <v>30360</v>
      </c>
      <c r="P273" s="10">
        <v>43466</v>
      </c>
      <c r="Q273" s="10"/>
      <c r="R273" s="10">
        <v>45291</v>
      </c>
      <c r="S273" s="23">
        <v>3291.22</v>
      </c>
      <c r="T273" s="3">
        <v>33940457</v>
      </c>
      <c r="U273" s="3">
        <v>28302130300334</v>
      </c>
      <c r="V273" s="4" t="s">
        <v>2093</v>
      </c>
      <c r="W273" s="4"/>
      <c r="X273" s="4" t="s">
        <v>1583</v>
      </c>
      <c r="Z273" s="3">
        <f ca="1">DATEDIF(Table1[[#This Row],[تاريخ الميلاد]],TODAY(),"y")</f>
        <v>43</v>
      </c>
      <c r="AA27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43 عام 6  شهر  7  يوم </v>
      </c>
      <c r="AB27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7عام7  شهر  19  يوم </v>
      </c>
      <c r="AC273" s="10">
        <f>DATE(YEAR(Table1[[#This Row],[تاريخ الميلاد]])+60,MONTH(Table1[[#This Row],[تاريخ الميلاد]]),DAY(Table1[[#This Row],[تاريخ الميلاد]]))</f>
        <v>52275</v>
      </c>
      <c r="AD273" s="14">
        <f>DATE(YEAR(Table1[[#This Row],[معاش 01/01]])-1,MONTH(Table1[[#This Row],[تاريخ بلوغ 60 ]]),DAY(Table1[[#This Row],[تاريخ بلوغ 60 ]]))</f>
        <v>52275</v>
      </c>
      <c r="AE27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52640</v>
      </c>
      <c r="AF273" s="10" t="str">
        <f>IFERROR(IF(ISODD(MID(Table1[[#This Row],[الرقم القومي]],13,1)),"ذكر","انثي"),"")</f>
        <v>ذكر</v>
      </c>
      <c r="AG273" s="70" t="s">
        <v>2606</v>
      </c>
      <c r="AH273" s="3">
        <f>IF(MONTH(Table1[[#This Row],[تاريخ بلوغ 60 ]])&lt;&gt;1,1,0)</f>
        <v>1</v>
      </c>
      <c r="AI273" s="3">
        <f>IF(DAY(Table1[[#This Row],[تاريخ بلوغ 60 ]])&lt;&gt;1,1,0)</f>
        <v>1</v>
      </c>
      <c r="AJ273" s="4" t="s">
        <v>465</v>
      </c>
      <c r="AK273" s="4" t="s">
        <v>2638</v>
      </c>
      <c r="AL273" s="4" t="s">
        <v>2919</v>
      </c>
      <c r="AM273" s="62" t="s">
        <v>2918</v>
      </c>
      <c r="AN273" s="2">
        <v>4</v>
      </c>
      <c r="AO273" s="4" t="s">
        <v>2641</v>
      </c>
      <c r="AP273" s="74">
        <v>773.45</v>
      </c>
      <c r="AQ273" s="4">
        <v>25</v>
      </c>
      <c r="AR273" s="4">
        <v>3</v>
      </c>
      <c r="AS273" s="4" t="s">
        <v>2668</v>
      </c>
      <c r="AT273" s="72">
        <v>6</v>
      </c>
      <c r="AU273" s="2">
        <v>7</v>
      </c>
      <c r="AV273" s="4"/>
      <c r="AW273" s="4"/>
      <c r="AX273" s="4"/>
    </row>
    <row r="274" spans="1:50" ht="15" x14ac:dyDescent="0.2">
      <c r="A274" s="3">
        <v>32931</v>
      </c>
      <c r="B274" s="1" t="s">
        <v>468</v>
      </c>
      <c r="C274" s="3">
        <v>1</v>
      </c>
      <c r="D274" s="3" t="s">
        <v>465</v>
      </c>
      <c r="E274" s="3">
        <v>3</v>
      </c>
      <c r="F274" s="3" t="s">
        <v>472</v>
      </c>
      <c r="G274" s="7" t="s">
        <v>227</v>
      </c>
      <c r="H274" s="3">
        <v>99</v>
      </c>
      <c r="I274" s="3" t="s">
        <v>1047</v>
      </c>
      <c r="J274" s="3">
        <v>18</v>
      </c>
      <c r="K274" s="3" t="s">
        <v>1529</v>
      </c>
      <c r="L274" s="3">
        <v>7</v>
      </c>
      <c r="M274" s="3" t="s">
        <v>504</v>
      </c>
      <c r="N274" s="3" t="s">
        <v>1053</v>
      </c>
      <c r="O274" s="10">
        <v>30411</v>
      </c>
      <c r="P274" s="10">
        <v>42865</v>
      </c>
      <c r="Q274" s="10"/>
      <c r="R274" s="10">
        <v>45291</v>
      </c>
      <c r="S274" s="23">
        <v>3757.38</v>
      </c>
      <c r="T274" s="3">
        <v>58319964</v>
      </c>
      <c r="U274" s="3">
        <v>28304050300034</v>
      </c>
      <c r="V274" s="4" t="s">
        <v>2095</v>
      </c>
      <c r="W274" s="4"/>
      <c r="X274" s="4" t="s">
        <v>1583</v>
      </c>
      <c r="Z274" s="3">
        <f ca="1">DATEDIF(Table1[[#This Row],[تاريخ الميلاد]],TODAY(),"y")</f>
        <v>43</v>
      </c>
      <c r="AA27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43 عام 4  شهر  15  يوم </v>
      </c>
      <c r="AB27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9عام3  شهر  10  يوم </v>
      </c>
      <c r="AC274" s="10">
        <f>DATE(YEAR(Table1[[#This Row],[تاريخ الميلاد]])+60,MONTH(Table1[[#This Row],[تاريخ الميلاد]]),DAY(Table1[[#This Row],[تاريخ الميلاد]]))</f>
        <v>52326</v>
      </c>
      <c r="AD274" s="14">
        <f>DATE(YEAR(Table1[[#This Row],[معاش 01/01]])-1,MONTH(Table1[[#This Row],[تاريخ بلوغ 60 ]]),DAY(Table1[[#This Row],[تاريخ بلوغ 60 ]]))</f>
        <v>52326</v>
      </c>
      <c r="AE27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52692</v>
      </c>
      <c r="AF274" s="10" t="str">
        <f>IFERROR(IF(ISODD(MID(Table1[[#This Row],[الرقم القومي]],13,1)),"ذكر","انثي"),"")</f>
        <v>ذكر</v>
      </c>
      <c r="AG274" s="70" t="s">
        <v>2606</v>
      </c>
      <c r="AH274" s="3">
        <f>IF(MONTH(Table1[[#This Row],[تاريخ بلوغ 60 ]])&lt;&gt;1,1,0)</f>
        <v>1</v>
      </c>
      <c r="AI274" s="3">
        <f>IF(DAY(Table1[[#This Row],[تاريخ بلوغ 60 ]])&lt;&gt;1,1,0)</f>
        <v>1</v>
      </c>
      <c r="AJ274" s="4" t="s">
        <v>465</v>
      </c>
      <c r="AK274" s="4">
        <v>0</v>
      </c>
      <c r="AL274" s="62" t="s">
        <v>2094</v>
      </c>
      <c r="AM274" s="62" t="s">
        <v>2920</v>
      </c>
      <c r="AN274" s="2">
        <v>4</v>
      </c>
      <c r="AO274" s="4" t="s">
        <v>2641</v>
      </c>
      <c r="AP274" s="74">
        <v>885.3</v>
      </c>
      <c r="AQ274" s="4">
        <v>25</v>
      </c>
      <c r="AR274" s="4">
        <v>2</v>
      </c>
      <c r="AS274" s="4" t="s">
        <v>2696</v>
      </c>
      <c r="AT274" s="72">
        <v>4</v>
      </c>
      <c r="AU274" s="2">
        <v>7</v>
      </c>
      <c r="AV274" s="4"/>
      <c r="AW274" s="4"/>
      <c r="AX274" s="4"/>
    </row>
    <row r="275" spans="1:50" ht="15" x14ac:dyDescent="0.2">
      <c r="A275" s="3">
        <v>32933</v>
      </c>
      <c r="B275" s="1" t="s">
        <v>468</v>
      </c>
      <c r="C275" s="3">
        <v>1</v>
      </c>
      <c r="D275" s="3" t="s">
        <v>465</v>
      </c>
      <c r="E275" s="3">
        <v>21</v>
      </c>
      <c r="F275" s="3" t="s">
        <v>474</v>
      </c>
      <c r="G275" s="7" t="s">
        <v>2096</v>
      </c>
      <c r="H275" s="3">
        <v>99</v>
      </c>
      <c r="I275" s="3" t="s">
        <v>1047</v>
      </c>
      <c r="J275" s="3">
        <v>18</v>
      </c>
      <c r="K275" s="3" t="s">
        <v>1529</v>
      </c>
      <c r="L275" s="3">
        <v>7</v>
      </c>
      <c r="M275" s="3" t="s">
        <v>504</v>
      </c>
      <c r="N275" s="3" t="s">
        <v>1053</v>
      </c>
      <c r="O275" s="10">
        <v>30232</v>
      </c>
      <c r="P275" s="10">
        <v>43466</v>
      </c>
      <c r="Q275" s="10"/>
      <c r="R275" s="10">
        <v>45291</v>
      </c>
      <c r="S275" s="23">
        <v>3176.38</v>
      </c>
      <c r="T275" s="3">
        <v>27507489</v>
      </c>
      <c r="U275" s="3">
        <v>28210080300298</v>
      </c>
      <c r="V275" s="4" t="s">
        <v>2098</v>
      </c>
      <c r="W275" s="4"/>
      <c r="X275" s="4" t="s">
        <v>1583</v>
      </c>
      <c r="Z275" s="3">
        <f ca="1">DATEDIF(Table1[[#This Row],[تاريخ الميلاد]],TODAY(),"y")</f>
        <v>43</v>
      </c>
      <c r="AA27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43 عام 10  شهر  12  يوم </v>
      </c>
      <c r="AB27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7عام7  شهر  19  يوم </v>
      </c>
      <c r="AC275" s="10">
        <f>DATE(YEAR(Table1[[#This Row],[تاريخ الميلاد]])+60,MONTH(Table1[[#This Row],[تاريخ الميلاد]]),DAY(Table1[[#This Row],[تاريخ الميلاد]]))</f>
        <v>52147</v>
      </c>
      <c r="AD275" s="14">
        <f>DATE(YEAR(Table1[[#This Row],[معاش 01/01]])-1,MONTH(Table1[[#This Row],[تاريخ بلوغ 60 ]]),DAY(Table1[[#This Row],[تاريخ بلوغ 60 ]]))</f>
        <v>52147</v>
      </c>
      <c r="AE27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52512</v>
      </c>
      <c r="AF275" s="10" t="str">
        <f>IFERROR(IF(ISODD(MID(Table1[[#This Row],[الرقم القومي]],13,1)),"ذكر","انثي"),"")</f>
        <v>ذكر</v>
      </c>
      <c r="AG275" s="70" t="s">
        <v>2606</v>
      </c>
      <c r="AH275" s="3">
        <f>IF(MONTH(Table1[[#This Row],[تاريخ بلوغ 60 ]])&lt;&gt;1,1,0)</f>
        <v>1</v>
      </c>
      <c r="AI275" s="3">
        <f>IF(DAY(Table1[[#This Row],[تاريخ بلوغ 60 ]])&lt;&gt;1,1,0)</f>
        <v>1</v>
      </c>
      <c r="AJ275" s="4" t="s">
        <v>465</v>
      </c>
      <c r="AK275" s="4" t="s">
        <v>2666</v>
      </c>
      <c r="AL275" s="62" t="s">
        <v>2097</v>
      </c>
      <c r="AM275" s="62" t="s">
        <v>2921</v>
      </c>
      <c r="AN275" s="2">
        <v>4</v>
      </c>
      <c r="AO275" s="4" t="s">
        <v>2641</v>
      </c>
      <c r="AP275" s="74">
        <v>745.9</v>
      </c>
      <c r="AQ275" s="4">
        <v>25</v>
      </c>
      <c r="AR275" s="4">
        <v>3</v>
      </c>
      <c r="AS275" s="4" t="s">
        <v>2668</v>
      </c>
      <c r="AT275" s="72">
        <v>6</v>
      </c>
      <c r="AU275" s="2">
        <v>7</v>
      </c>
      <c r="AV275" s="4"/>
      <c r="AW275" s="4"/>
      <c r="AX275" s="4"/>
    </row>
    <row r="276" spans="1:50" ht="15" x14ac:dyDescent="0.2">
      <c r="A276" s="3">
        <v>32939</v>
      </c>
      <c r="B276" s="1" t="s">
        <v>468</v>
      </c>
      <c r="C276" s="3">
        <v>1</v>
      </c>
      <c r="D276" s="3" t="s">
        <v>465</v>
      </c>
      <c r="E276" s="3">
        <v>3</v>
      </c>
      <c r="F276" s="3" t="s">
        <v>472</v>
      </c>
      <c r="G276" s="7" t="s">
        <v>228</v>
      </c>
      <c r="H276" s="3">
        <v>99</v>
      </c>
      <c r="I276" s="3" t="s">
        <v>1047</v>
      </c>
      <c r="J276" s="3">
        <v>18</v>
      </c>
      <c r="K276" s="3" t="s">
        <v>1529</v>
      </c>
      <c r="L276" s="3">
        <v>7</v>
      </c>
      <c r="M276" s="3" t="s">
        <v>504</v>
      </c>
      <c r="N276" s="3" t="s">
        <v>1053</v>
      </c>
      <c r="O276" s="10">
        <v>31019</v>
      </c>
      <c r="P276" s="10">
        <v>43466</v>
      </c>
      <c r="Q276" s="10"/>
      <c r="R276" s="10">
        <v>45291</v>
      </c>
      <c r="S276" s="23">
        <v>3176.38</v>
      </c>
      <c r="T276" s="3">
        <v>21357627</v>
      </c>
      <c r="U276" s="3">
        <v>28412030300353</v>
      </c>
      <c r="V276" s="4" t="s">
        <v>2100</v>
      </c>
      <c r="W276" s="4"/>
      <c r="X276" s="4" t="s">
        <v>1583</v>
      </c>
      <c r="Z276" s="3">
        <f ca="1">DATEDIF(Table1[[#This Row],[تاريخ الميلاد]],TODAY(),"y")</f>
        <v>41</v>
      </c>
      <c r="AA27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41 عام 8  شهر  17  يوم </v>
      </c>
      <c r="AB27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7عام7  شهر  19  يوم </v>
      </c>
      <c r="AC276" s="10">
        <f>DATE(YEAR(Table1[[#This Row],[تاريخ الميلاد]])+60,MONTH(Table1[[#This Row],[تاريخ الميلاد]]),DAY(Table1[[#This Row],[تاريخ الميلاد]]))</f>
        <v>52934</v>
      </c>
      <c r="AD276" s="14">
        <f>DATE(YEAR(Table1[[#This Row],[معاش 01/01]])-1,MONTH(Table1[[#This Row],[تاريخ بلوغ 60 ]]),DAY(Table1[[#This Row],[تاريخ بلوغ 60 ]]))</f>
        <v>52934</v>
      </c>
      <c r="AE27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53299</v>
      </c>
      <c r="AF276" s="10" t="str">
        <f>IFERROR(IF(ISODD(MID(Table1[[#This Row],[الرقم القومي]],13,1)),"ذكر","انثي"),"")</f>
        <v>ذكر</v>
      </c>
      <c r="AG276" s="70" t="s">
        <v>2606</v>
      </c>
      <c r="AH276" s="3">
        <f>IF(MONTH(Table1[[#This Row],[تاريخ بلوغ 60 ]])&lt;&gt;1,1,0)</f>
        <v>1</v>
      </c>
      <c r="AI276" s="3">
        <f>IF(DAY(Table1[[#This Row],[تاريخ بلوغ 60 ]])&lt;&gt;1,1,0)</f>
        <v>1</v>
      </c>
      <c r="AJ276" s="4" t="s">
        <v>465</v>
      </c>
      <c r="AK276" s="4">
        <v>0</v>
      </c>
      <c r="AL276" s="62" t="s">
        <v>2099</v>
      </c>
      <c r="AM276" s="62" t="s">
        <v>2922</v>
      </c>
      <c r="AN276" s="2">
        <v>4</v>
      </c>
      <c r="AO276" s="4" t="s">
        <v>2641</v>
      </c>
      <c r="AP276" s="74">
        <v>745.9</v>
      </c>
      <c r="AQ276" s="4">
        <v>25</v>
      </c>
      <c r="AR276" s="4">
        <v>3</v>
      </c>
      <c r="AS276" s="4" t="s">
        <v>2668</v>
      </c>
      <c r="AT276" s="72">
        <v>6</v>
      </c>
      <c r="AU276" s="2">
        <v>7</v>
      </c>
      <c r="AV276" s="4"/>
      <c r="AW276" s="4"/>
      <c r="AX276" s="4"/>
    </row>
    <row r="277" spans="1:50" ht="15" x14ac:dyDescent="0.2">
      <c r="A277" s="3">
        <v>32941</v>
      </c>
      <c r="B277" s="1" t="s">
        <v>468</v>
      </c>
      <c r="C277" s="3">
        <v>1</v>
      </c>
      <c r="D277" s="3" t="s">
        <v>465</v>
      </c>
      <c r="E277" s="3">
        <v>3</v>
      </c>
      <c r="F277" s="3" t="s">
        <v>472</v>
      </c>
      <c r="G277" s="7" t="s">
        <v>229</v>
      </c>
      <c r="H277" s="3">
        <v>99</v>
      </c>
      <c r="I277" s="3" t="s">
        <v>1047</v>
      </c>
      <c r="J277" s="3">
        <v>18</v>
      </c>
      <c r="K277" s="3" t="s">
        <v>1529</v>
      </c>
      <c r="L277" s="3">
        <v>7</v>
      </c>
      <c r="M277" s="3" t="s">
        <v>504</v>
      </c>
      <c r="N277" s="3" t="s">
        <v>1053</v>
      </c>
      <c r="O277" s="10">
        <v>30803</v>
      </c>
      <c r="P277" s="10">
        <v>43466</v>
      </c>
      <c r="Q277" s="10"/>
      <c r="R277" s="10">
        <v>45291</v>
      </c>
      <c r="S277" s="23">
        <v>3176.38</v>
      </c>
      <c r="T277" s="3">
        <v>45800650</v>
      </c>
      <c r="U277" s="3">
        <v>28405011204436</v>
      </c>
      <c r="V277" s="4" t="s">
        <v>2102</v>
      </c>
      <c r="W277" s="4"/>
      <c r="X277" s="4" t="s">
        <v>1583</v>
      </c>
      <c r="Z277" s="3">
        <f ca="1">DATEDIF(Table1[[#This Row],[تاريخ الميلاد]],TODAY(),"y")</f>
        <v>42</v>
      </c>
      <c r="AA27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42 عام 3  شهر  19  يوم </v>
      </c>
      <c r="AB27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7عام7  شهر  19  يوم </v>
      </c>
      <c r="AC277" s="10">
        <f>DATE(YEAR(Table1[[#This Row],[تاريخ الميلاد]])+60,MONTH(Table1[[#This Row],[تاريخ الميلاد]]),DAY(Table1[[#This Row],[تاريخ الميلاد]]))</f>
        <v>52718</v>
      </c>
      <c r="AD277" s="14">
        <f>DATE(YEAR(Table1[[#This Row],[معاش 01/01]])-1,MONTH(Table1[[#This Row],[تاريخ بلوغ 60 ]]),DAY(Table1[[#This Row],[تاريخ بلوغ 60 ]]))</f>
        <v>52718</v>
      </c>
      <c r="AE27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53083</v>
      </c>
      <c r="AF277" s="10" t="str">
        <f>IFERROR(IF(ISODD(MID(Table1[[#This Row],[الرقم القومي]],13,1)),"ذكر","انثي"),"")</f>
        <v>ذكر</v>
      </c>
      <c r="AG277" s="70" t="s">
        <v>1635</v>
      </c>
      <c r="AH277" s="3">
        <f>IF(MONTH(Table1[[#This Row],[تاريخ بلوغ 60 ]])&lt;&gt;1,1,0)</f>
        <v>1</v>
      </c>
      <c r="AI277" s="3">
        <f>IF(DAY(Table1[[#This Row],[تاريخ بلوغ 60 ]])&lt;&gt;1,1,0)</f>
        <v>0</v>
      </c>
      <c r="AJ277" s="4" t="s">
        <v>465</v>
      </c>
      <c r="AK277" s="4">
        <v>0</v>
      </c>
      <c r="AL277" s="62" t="s">
        <v>2101</v>
      </c>
      <c r="AM277" s="62" t="s">
        <v>2923</v>
      </c>
      <c r="AN277" s="2">
        <v>4</v>
      </c>
      <c r="AO277" s="4" t="s">
        <v>2641</v>
      </c>
      <c r="AP277" s="74">
        <v>745.9</v>
      </c>
      <c r="AQ277" s="4">
        <v>25</v>
      </c>
      <c r="AR277" s="4">
        <v>3</v>
      </c>
      <c r="AS277" s="4" t="s">
        <v>2668</v>
      </c>
      <c r="AT277" s="72">
        <v>6</v>
      </c>
      <c r="AU277" s="2">
        <v>7</v>
      </c>
      <c r="AV277" s="4"/>
      <c r="AW277" s="4"/>
      <c r="AX277" s="4"/>
    </row>
    <row r="278" spans="1:50" ht="15" x14ac:dyDescent="0.2">
      <c r="A278" s="3">
        <v>32942</v>
      </c>
      <c r="B278" s="1" t="s">
        <v>468</v>
      </c>
      <c r="C278" s="3">
        <v>1</v>
      </c>
      <c r="D278" s="3" t="s">
        <v>465</v>
      </c>
      <c r="E278" s="3">
        <v>21</v>
      </c>
      <c r="F278" s="3" t="s">
        <v>474</v>
      </c>
      <c r="G278" s="7" t="s">
        <v>230</v>
      </c>
      <c r="H278" s="3">
        <v>99</v>
      </c>
      <c r="I278" s="3" t="s">
        <v>1047</v>
      </c>
      <c r="J278" s="3">
        <v>18</v>
      </c>
      <c r="K278" s="3" t="s">
        <v>1529</v>
      </c>
      <c r="L278" s="3">
        <v>7</v>
      </c>
      <c r="M278" s="3" t="s">
        <v>504</v>
      </c>
      <c r="N278" s="3" t="s">
        <v>1053</v>
      </c>
      <c r="O278" s="10">
        <v>30431</v>
      </c>
      <c r="P278" s="10">
        <v>42679</v>
      </c>
      <c r="Q278" s="10"/>
      <c r="R278" s="10">
        <v>45291</v>
      </c>
      <c r="S278" s="23">
        <v>3652.98</v>
      </c>
      <c r="T278" s="3">
        <v>58956049</v>
      </c>
      <c r="U278" s="3">
        <v>28304250300331</v>
      </c>
      <c r="V278" s="4" t="s">
        <v>2104</v>
      </c>
      <c r="W278" s="4"/>
      <c r="X278" s="4" t="s">
        <v>1583</v>
      </c>
      <c r="Z278" s="3">
        <f ca="1">DATEDIF(Table1[[#This Row],[تاريخ الميلاد]],TODAY(),"y")</f>
        <v>43</v>
      </c>
      <c r="AA27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43 عام 3  شهر  26  يوم </v>
      </c>
      <c r="AB27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9عام9  شهر  15  يوم </v>
      </c>
      <c r="AC278" s="10">
        <f>DATE(YEAR(Table1[[#This Row],[تاريخ الميلاد]])+60,MONTH(Table1[[#This Row],[تاريخ الميلاد]]),DAY(Table1[[#This Row],[تاريخ الميلاد]]))</f>
        <v>52346</v>
      </c>
      <c r="AD278" s="14">
        <f>DATE(YEAR(Table1[[#This Row],[معاش 01/01]])-1,MONTH(Table1[[#This Row],[تاريخ بلوغ 60 ]]),DAY(Table1[[#This Row],[تاريخ بلوغ 60 ]]))</f>
        <v>52346</v>
      </c>
      <c r="AE27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52712</v>
      </c>
      <c r="AF278" s="10" t="str">
        <f>IFERROR(IF(ISODD(MID(Table1[[#This Row],[الرقم القومي]],13,1)),"ذكر","انثي"),"")</f>
        <v>ذكر</v>
      </c>
      <c r="AG278" s="70" t="s">
        <v>2606</v>
      </c>
      <c r="AH278" s="3">
        <f>IF(MONTH(Table1[[#This Row],[تاريخ بلوغ 60 ]])&lt;&gt;1,1,0)</f>
        <v>1</v>
      </c>
      <c r="AI278" s="3">
        <f>IF(DAY(Table1[[#This Row],[تاريخ بلوغ 60 ]])&lt;&gt;1,1,0)</f>
        <v>1</v>
      </c>
      <c r="AJ278" s="4" t="s">
        <v>465</v>
      </c>
      <c r="AK278" s="4" t="s">
        <v>2730</v>
      </c>
      <c r="AL278" s="62" t="s">
        <v>2103</v>
      </c>
      <c r="AM278" s="62" t="s">
        <v>2924</v>
      </c>
      <c r="AN278" s="2">
        <v>4</v>
      </c>
      <c r="AO278" s="4" t="s">
        <v>2641</v>
      </c>
      <c r="AP278" s="74">
        <v>860.25</v>
      </c>
      <c r="AQ278" s="4">
        <v>25</v>
      </c>
      <c r="AR278" s="4">
        <v>3</v>
      </c>
      <c r="AS278" s="4" t="s">
        <v>2668</v>
      </c>
      <c r="AT278" s="72">
        <v>6</v>
      </c>
      <c r="AU278" s="2">
        <v>7</v>
      </c>
      <c r="AV278" s="4"/>
      <c r="AW278" s="4"/>
      <c r="AX278" s="4"/>
    </row>
    <row r="279" spans="1:50" ht="15" x14ac:dyDescent="0.2">
      <c r="A279" s="3">
        <v>32943</v>
      </c>
      <c r="B279" s="1" t="s">
        <v>468</v>
      </c>
      <c r="C279" s="3">
        <v>1</v>
      </c>
      <c r="D279" s="3" t="s">
        <v>465</v>
      </c>
      <c r="E279" s="3">
        <v>3</v>
      </c>
      <c r="F279" s="3" t="s">
        <v>472</v>
      </c>
      <c r="G279" s="7" t="s">
        <v>231</v>
      </c>
      <c r="H279" s="3">
        <v>99</v>
      </c>
      <c r="I279" s="3" t="s">
        <v>1047</v>
      </c>
      <c r="J279" s="3">
        <v>18</v>
      </c>
      <c r="K279" s="3" t="s">
        <v>1529</v>
      </c>
      <c r="L279" s="3">
        <v>7</v>
      </c>
      <c r="M279" s="3" t="s">
        <v>504</v>
      </c>
      <c r="N279" s="3" t="s">
        <v>1053</v>
      </c>
      <c r="O279" s="10">
        <v>30532</v>
      </c>
      <c r="P279" s="10">
        <v>43466</v>
      </c>
      <c r="Q279" s="10"/>
      <c r="R279" s="10">
        <v>45291</v>
      </c>
      <c r="S279" s="23">
        <v>3176.38</v>
      </c>
      <c r="T279" s="3">
        <v>36213791</v>
      </c>
      <c r="U279" s="3">
        <v>28308040300333</v>
      </c>
      <c r="V279" s="4" t="s">
        <v>2106</v>
      </c>
      <c r="W279" s="4"/>
      <c r="X279" s="4" t="s">
        <v>1583</v>
      </c>
      <c r="Z279" s="3">
        <f ca="1">DATEDIF(Table1[[#This Row],[تاريخ الميلاد]],TODAY(),"y")</f>
        <v>43</v>
      </c>
      <c r="AA27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43 عام 0  شهر  16  يوم </v>
      </c>
      <c r="AB27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7عام7  شهر  19  يوم </v>
      </c>
      <c r="AC279" s="10">
        <f>DATE(YEAR(Table1[[#This Row],[تاريخ الميلاد]])+60,MONTH(Table1[[#This Row],[تاريخ الميلاد]]),DAY(Table1[[#This Row],[تاريخ الميلاد]]))</f>
        <v>52447</v>
      </c>
      <c r="AD279" s="14">
        <f>DATE(YEAR(Table1[[#This Row],[معاش 01/01]])-1,MONTH(Table1[[#This Row],[تاريخ بلوغ 60 ]]),DAY(Table1[[#This Row],[تاريخ بلوغ 60 ]]))</f>
        <v>52447</v>
      </c>
      <c r="AE27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52813</v>
      </c>
      <c r="AF279" s="10" t="str">
        <f>IFERROR(IF(ISODD(MID(Table1[[#This Row],[الرقم القومي]],13,1)),"ذكر","انثي"),"")</f>
        <v>ذكر</v>
      </c>
      <c r="AG279" s="70" t="s">
        <v>2606</v>
      </c>
      <c r="AH279" s="3">
        <f>IF(MONTH(Table1[[#This Row],[تاريخ بلوغ 60 ]])&lt;&gt;1,1,0)</f>
        <v>1</v>
      </c>
      <c r="AI279" s="3">
        <f>IF(DAY(Table1[[#This Row],[تاريخ بلوغ 60 ]])&lt;&gt;1,1,0)</f>
        <v>1</v>
      </c>
      <c r="AJ279" s="4" t="s">
        <v>465</v>
      </c>
      <c r="AK279" s="4">
        <v>0</v>
      </c>
      <c r="AL279" s="62" t="s">
        <v>2105</v>
      </c>
      <c r="AM279" s="62" t="s">
        <v>2925</v>
      </c>
      <c r="AN279" s="2">
        <v>4</v>
      </c>
      <c r="AO279" s="4" t="s">
        <v>2641</v>
      </c>
      <c r="AP279" s="74">
        <v>745.9</v>
      </c>
      <c r="AQ279" s="4">
        <v>25</v>
      </c>
      <c r="AR279" s="4">
        <v>3</v>
      </c>
      <c r="AS279" s="4" t="s">
        <v>2668</v>
      </c>
      <c r="AT279" s="72">
        <v>6</v>
      </c>
      <c r="AU279" s="2">
        <v>7</v>
      </c>
      <c r="AV279" s="4"/>
      <c r="AW279" s="4"/>
      <c r="AX279" s="4"/>
    </row>
    <row r="280" spans="1:50" ht="15" x14ac:dyDescent="0.2">
      <c r="A280" s="3">
        <v>32946</v>
      </c>
      <c r="B280" s="1" t="s">
        <v>468</v>
      </c>
      <c r="C280" s="3">
        <v>1</v>
      </c>
      <c r="D280" s="3" t="s">
        <v>465</v>
      </c>
      <c r="E280" s="3">
        <v>21</v>
      </c>
      <c r="F280" s="3" t="s">
        <v>474</v>
      </c>
      <c r="G280" s="7" t="s">
        <v>232</v>
      </c>
      <c r="H280" s="3">
        <v>99</v>
      </c>
      <c r="I280" s="3" t="s">
        <v>1047</v>
      </c>
      <c r="J280" s="3">
        <v>18</v>
      </c>
      <c r="K280" s="3" t="s">
        <v>1529</v>
      </c>
      <c r="L280" s="3">
        <v>7</v>
      </c>
      <c r="M280" s="3" t="s">
        <v>504</v>
      </c>
      <c r="N280" s="3" t="s">
        <v>1053</v>
      </c>
      <c r="O280" s="10">
        <v>30240</v>
      </c>
      <c r="P280" s="10">
        <v>43466</v>
      </c>
      <c r="Q280" s="10"/>
      <c r="R280" s="10">
        <v>45291</v>
      </c>
      <c r="S280" s="23">
        <v>3176.38</v>
      </c>
      <c r="T280" s="3">
        <v>56725176</v>
      </c>
      <c r="U280" s="3">
        <v>28210160300311</v>
      </c>
      <c r="V280" s="4" t="s">
        <v>2108</v>
      </c>
      <c r="W280" s="4"/>
      <c r="X280" s="4" t="s">
        <v>1583</v>
      </c>
      <c r="Z280" s="3">
        <f ca="1">DATEDIF(Table1[[#This Row],[تاريخ الميلاد]],TODAY(),"y")</f>
        <v>43</v>
      </c>
      <c r="AA28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43 عام 10  شهر  4  يوم </v>
      </c>
      <c r="AB28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7عام7  شهر  19  يوم </v>
      </c>
      <c r="AC280" s="10">
        <f>DATE(YEAR(Table1[[#This Row],[تاريخ الميلاد]])+60,MONTH(Table1[[#This Row],[تاريخ الميلاد]]),DAY(Table1[[#This Row],[تاريخ الميلاد]]))</f>
        <v>52155</v>
      </c>
      <c r="AD280" s="14">
        <f>DATE(YEAR(Table1[[#This Row],[معاش 01/01]])-1,MONTH(Table1[[#This Row],[تاريخ بلوغ 60 ]]),DAY(Table1[[#This Row],[تاريخ بلوغ 60 ]]))</f>
        <v>52155</v>
      </c>
      <c r="AE28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52520</v>
      </c>
      <c r="AF280" s="10" t="str">
        <f>IFERROR(IF(ISODD(MID(Table1[[#This Row],[الرقم القومي]],13,1)),"ذكر","انثي"),"")</f>
        <v>ذكر</v>
      </c>
      <c r="AG280" s="70" t="s">
        <v>2606</v>
      </c>
      <c r="AH280" s="3">
        <f>IF(MONTH(Table1[[#This Row],[تاريخ بلوغ 60 ]])&lt;&gt;1,1,0)</f>
        <v>1</v>
      </c>
      <c r="AI280" s="3">
        <f>IF(DAY(Table1[[#This Row],[تاريخ بلوغ 60 ]])&lt;&gt;1,1,0)</f>
        <v>1</v>
      </c>
      <c r="AJ280" s="4" t="s">
        <v>465</v>
      </c>
      <c r="AK280" s="4" t="s">
        <v>2730</v>
      </c>
      <c r="AL280" s="62" t="s">
        <v>2107</v>
      </c>
      <c r="AM280" s="62" t="s">
        <v>2926</v>
      </c>
      <c r="AN280" s="2">
        <v>4</v>
      </c>
      <c r="AO280" s="4" t="s">
        <v>2641</v>
      </c>
      <c r="AP280" s="74">
        <v>745.9</v>
      </c>
      <c r="AQ280" s="4">
        <v>25</v>
      </c>
      <c r="AR280" s="4">
        <v>3</v>
      </c>
      <c r="AS280" s="4" t="s">
        <v>2668</v>
      </c>
      <c r="AT280" s="72">
        <v>6</v>
      </c>
      <c r="AU280" s="2">
        <v>7</v>
      </c>
      <c r="AV280" s="4"/>
      <c r="AW280" s="4"/>
      <c r="AX280" s="4"/>
    </row>
    <row r="281" spans="1:50" ht="15" x14ac:dyDescent="0.2">
      <c r="A281" s="3">
        <v>32947</v>
      </c>
      <c r="B281" s="1" t="s">
        <v>468</v>
      </c>
      <c r="C281" s="3">
        <v>1</v>
      </c>
      <c r="D281" s="3" t="s">
        <v>465</v>
      </c>
      <c r="E281" s="3">
        <v>21</v>
      </c>
      <c r="F281" s="3" t="s">
        <v>474</v>
      </c>
      <c r="G281" s="7" t="s">
        <v>233</v>
      </c>
      <c r="H281" s="3">
        <v>99</v>
      </c>
      <c r="I281" s="3" t="s">
        <v>1047</v>
      </c>
      <c r="J281" s="3">
        <v>18</v>
      </c>
      <c r="K281" s="3" t="s">
        <v>1529</v>
      </c>
      <c r="L281" s="3">
        <v>7</v>
      </c>
      <c r="M281" s="3" t="s">
        <v>504</v>
      </c>
      <c r="N281" s="3" t="s">
        <v>1053</v>
      </c>
      <c r="O281" s="10">
        <v>30568</v>
      </c>
      <c r="P281" s="10">
        <v>43466</v>
      </c>
      <c r="Q281" s="10"/>
      <c r="R281" s="10">
        <v>45291</v>
      </c>
      <c r="S281" s="23">
        <v>3176.38</v>
      </c>
      <c r="T281" s="3">
        <v>30323003</v>
      </c>
      <c r="U281" s="3">
        <v>28309090300039</v>
      </c>
      <c r="V281" s="4" t="s">
        <v>2110</v>
      </c>
      <c r="W281" s="4"/>
      <c r="X281" s="4" t="s">
        <v>1583</v>
      </c>
      <c r="Y281" s="4">
        <v>2000</v>
      </c>
      <c r="Z281" s="3">
        <f ca="1">DATEDIF(Table1[[#This Row],[تاريخ الميلاد]],TODAY(),"y")</f>
        <v>42</v>
      </c>
      <c r="AA28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42 عام 11  شهر  11  يوم </v>
      </c>
      <c r="AB28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7عام7  شهر  19  يوم </v>
      </c>
      <c r="AC281" s="10">
        <f>DATE(YEAR(Table1[[#This Row],[تاريخ الميلاد]])+60,MONTH(Table1[[#This Row],[تاريخ الميلاد]]),DAY(Table1[[#This Row],[تاريخ الميلاد]]))</f>
        <v>52483</v>
      </c>
      <c r="AD281" s="14">
        <f>DATE(YEAR(Table1[[#This Row],[معاش 01/01]])-1,MONTH(Table1[[#This Row],[تاريخ بلوغ 60 ]]),DAY(Table1[[#This Row],[تاريخ بلوغ 60 ]]))</f>
        <v>52483</v>
      </c>
      <c r="AE28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52849</v>
      </c>
      <c r="AF281" s="10" t="str">
        <f>IFERROR(IF(ISODD(MID(Table1[[#This Row],[الرقم القومي]],13,1)),"ذكر","انثي"),"")</f>
        <v>ذكر</v>
      </c>
      <c r="AG281" s="70" t="s">
        <v>2606</v>
      </c>
      <c r="AH281" s="3">
        <f>IF(MONTH(Table1[[#This Row],[تاريخ بلوغ 60 ]])&lt;&gt;1,1,0)</f>
        <v>1</v>
      </c>
      <c r="AI281" s="3">
        <f>IF(DAY(Table1[[#This Row],[تاريخ بلوغ 60 ]])&lt;&gt;1,1,0)</f>
        <v>1</v>
      </c>
      <c r="AJ281" s="4" t="s">
        <v>465</v>
      </c>
      <c r="AK281" s="4" t="s">
        <v>2666</v>
      </c>
      <c r="AL281" s="62" t="s">
        <v>2109</v>
      </c>
      <c r="AM281" s="62" t="s">
        <v>2927</v>
      </c>
      <c r="AN281" s="2">
        <v>4</v>
      </c>
      <c r="AO281" s="4" t="s">
        <v>2641</v>
      </c>
      <c r="AP281" s="74">
        <v>745.9</v>
      </c>
      <c r="AQ281" s="4">
        <v>25</v>
      </c>
      <c r="AR281" s="4">
        <v>3</v>
      </c>
      <c r="AS281" s="4" t="s">
        <v>2668</v>
      </c>
      <c r="AT281" s="72">
        <v>6</v>
      </c>
      <c r="AU281" s="2">
        <v>7</v>
      </c>
      <c r="AV281" s="4"/>
      <c r="AW281" s="4"/>
      <c r="AX281" s="4"/>
    </row>
    <row r="282" spans="1:50" ht="15" x14ac:dyDescent="0.2">
      <c r="A282" s="3">
        <v>32989</v>
      </c>
      <c r="B282" s="1" t="s">
        <v>468</v>
      </c>
      <c r="C282" s="3">
        <v>1</v>
      </c>
      <c r="D282" s="3" t="s">
        <v>465</v>
      </c>
      <c r="E282" s="3">
        <v>21</v>
      </c>
      <c r="F282" s="3" t="s">
        <v>474</v>
      </c>
      <c r="G282" s="7" t="s">
        <v>2111</v>
      </c>
      <c r="H282" s="3">
        <v>99</v>
      </c>
      <c r="I282" s="3" t="s">
        <v>1047</v>
      </c>
      <c r="J282" s="3">
        <v>18</v>
      </c>
      <c r="K282" s="3" t="s">
        <v>1529</v>
      </c>
      <c r="L282" s="3">
        <v>7</v>
      </c>
      <c r="M282" s="3" t="s">
        <v>504</v>
      </c>
      <c r="N282" s="3" t="s">
        <v>1053</v>
      </c>
      <c r="O282" s="10">
        <v>30762</v>
      </c>
      <c r="P282" s="10">
        <v>43466</v>
      </c>
      <c r="Q282" s="10"/>
      <c r="R282" s="10">
        <v>45291</v>
      </c>
      <c r="S282" s="23">
        <v>3176.38</v>
      </c>
      <c r="T282" s="3">
        <v>13264132</v>
      </c>
      <c r="U282" s="3">
        <v>28403211204951</v>
      </c>
      <c r="V282" s="4" t="s">
        <v>2113</v>
      </c>
      <c r="W282" s="4">
        <v>70886</v>
      </c>
      <c r="X282" s="4" t="s">
        <v>1583</v>
      </c>
      <c r="Y282" s="4">
        <v>2001</v>
      </c>
      <c r="Z282" s="3">
        <f ca="1">DATEDIF(Table1[[#This Row],[تاريخ الميلاد]],TODAY(),"y")</f>
        <v>42</v>
      </c>
      <c r="AA28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42 عام 4  شهر  30  يوم </v>
      </c>
      <c r="AB28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7عام7  شهر  19  يوم </v>
      </c>
      <c r="AC282" s="10">
        <f>DATE(YEAR(Table1[[#This Row],[تاريخ الميلاد]])+60,MONTH(Table1[[#This Row],[تاريخ الميلاد]]),DAY(Table1[[#This Row],[تاريخ الميلاد]]))</f>
        <v>52677</v>
      </c>
      <c r="AD282" s="14">
        <f>DATE(YEAR(Table1[[#This Row],[معاش 01/01]])-1,MONTH(Table1[[#This Row],[تاريخ بلوغ 60 ]]),DAY(Table1[[#This Row],[تاريخ بلوغ 60 ]]))</f>
        <v>52677</v>
      </c>
      <c r="AE28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53042</v>
      </c>
      <c r="AF282" s="10" t="str">
        <f>IFERROR(IF(ISODD(MID(Table1[[#This Row],[الرقم القومي]],13,1)),"ذكر","انثي"),"")</f>
        <v>ذكر</v>
      </c>
      <c r="AG282" s="70" t="s">
        <v>1635</v>
      </c>
      <c r="AH282" s="3">
        <f>IF(MONTH(Table1[[#This Row],[تاريخ بلوغ 60 ]])&lt;&gt;1,1,0)</f>
        <v>1</v>
      </c>
      <c r="AI282" s="3">
        <f>IF(DAY(Table1[[#This Row],[تاريخ بلوغ 60 ]])&lt;&gt;1,1,0)</f>
        <v>1</v>
      </c>
      <c r="AJ282" s="4" t="s">
        <v>465</v>
      </c>
      <c r="AK282" s="4" t="s">
        <v>2689</v>
      </c>
      <c r="AL282" s="62" t="s">
        <v>2112</v>
      </c>
      <c r="AM282" s="62" t="s">
        <v>2928</v>
      </c>
      <c r="AN282" s="2">
        <v>4</v>
      </c>
      <c r="AO282" s="4" t="s">
        <v>2641</v>
      </c>
      <c r="AP282" s="74">
        <v>745.9</v>
      </c>
      <c r="AQ282" s="4">
        <v>25</v>
      </c>
      <c r="AR282" s="4">
        <v>3</v>
      </c>
      <c r="AS282" s="4" t="s">
        <v>2668</v>
      </c>
      <c r="AT282" s="72">
        <v>6</v>
      </c>
      <c r="AU282" s="2">
        <v>7</v>
      </c>
      <c r="AV282" s="4"/>
      <c r="AW282" s="4"/>
      <c r="AX282" s="4"/>
    </row>
    <row r="283" spans="1:50" ht="15" x14ac:dyDescent="0.2">
      <c r="A283" s="3">
        <v>33227</v>
      </c>
      <c r="B283" s="1" t="s">
        <v>468</v>
      </c>
      <c r="C283" s="3">
        <v>1</v>
      </c>
      <c r="D283" s="3" t="s">
        <v>465</v>
      </c>
      <c r="E283" s="3">
        <v>3</v>
      </c>
      <c r="F283" s="3" t="s">
        <v>472</v>
      </c>
      <c r="G283" s="7" t="s">
        <v>234</v>
      </c>
      <c r="H283" s="3">
        <v>104</v>
      </c>
      <c r="I283" s="3" t="s">
        <v>1083</v>
      </c>
      <c r="J283" s="3">
        <v>18</v>
      </c>
      <c r="K283" s="3" t="s">
        <v>1529</v>
      </c>
      <c r="L283" s="3">
        <v>7</v>
      </c>
      <c r="M283" s="3" t="s">
        <v>504</v>
      </c>
      <c r="N283" s="3" t="s">
        <v>1089</v>
      </c>
      <c r="O283" s="10">
        <v>26140</v>
      </c>
      <c r="P283" s="10">
        <v>43831</v>
      </c>
      <c r="Q283" s="10"/>
      <c r="R283" s="10">
        <v>45657</v>
      </c>
      <c r="S283" s="23">
        <v>2924.71</v>
      </c>
      <c r="T283" s="3">
        <v>5528349</v>
      </c>
      <c r="U283" s="3">
        <v>27107261200181</v>
      </c>
      <c r="V283" s="4" t="s">
        <v>2115</v>
      </c>
      <c r="W283" s="4">
        <v>71327</v>
      </c>
      <c r="X283" s="4" t="s">
        <v>1583</v>
      </c>
      <c r="Y283" s="4">
        <v>1991</v>
      </c>
      <c r="Z283" s="3">
        <f ca="1">DATEDIF(Table1[[#This Row],[تاريخ الميلاد]],TODAY(),"y")</f>
        <v>55</v>
      </c>
      <c r="AA28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55 عام 0  شهر  25  يوم </v>
      </c>
      <c r="AB28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6عام7  شهر  19  يوم </v>
      </c>
      <c r="AC283" s="10">
        <f>DATE(YEAR(Table1[[#This Row],[تاريخ الميلاد]])+60,MONTH(Table1[[#This Row],[تاريخ الميلاد]]),DAY(Table1[[#This Row],[تاريخ الميلاد]]))</f>
        <v>48055</v>
      </c>
      <c r="AD283" s="14">
        <f>DATE(YEAR(Table1[[#This Row],[معاش 01/01]])-1,MONTH(Table1[[#This Row],[تاريخ بلوغ 60 ]]),DAY(Table1[[#This Row],[تاريخ بلوغ 60 ]]))</f>
        <v>48055</v>
      </c>
      <c r="AE28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48421</v>
      </c>
      <c r="AF283" s="10" t="str">
        <f>IFERROR(IF(ISODD(MID(Table1[[#This Row],[الرقم القومي]],13,1)),"ذكر","انثي"),"")</f>
        <v>انثي</v>
      </c>
      <c r="AG283" s="70" t="s">
        <v>1635</v>
      </c>
      <c r="AH283" s="3">
        <f>IF(MONTH(Table1[[#This Row],[تاريخ بلوغ 60 ]])&lt;&gt;1,1,0)</f>
        <v>1</v>
      </c>
      <c r="AI283" s="3">
        <f>IF(DAY(Table1[[#This Row],[تاريخ بلوغ 60 ]])&lt;&gt;1,1,0)</f>
        <v>1</v>
      </c>
      <c r="AJ283" s="4" t="s">
        <v>465</v>
      </c>
      <c r="AK283" s="4" t="s">
        <v>2636</v>
      </c>
      <c r="AL283" s="62" t="s">
        <v>2114</v>
      </c>
      <c r="AM283" s="62" t="s">
        <v>2929</v>
      </c>
      <c r="AN283" s="2">
        <v>3</v>
      </c>
      <c r="AO283" s="4" t="s">
        <v>2641</v>
      </c>
      <c r="AP283" s="74">
        <v>512.72</v>
      </c>
      <c r="AQ283" s="4">
        <v>18.75</v>
      </c>
      <c r="AR283" s="4">
        <v>4</v>
      </c>
      <c r="AS283" s="4" t="s">
        <v>2930</v>
      </c>
      <c r="AT283" s="72">
        <v>0</v>
      </c>
      <c r="AU283" s="2">
        <v>7</v>
      </c>
      <c r="AV283" s="4"/>
      <c r="AW283" s="4"/>
      <c r="AX283" s="4"/>
    </row>
    <row r="284" spans="1:50" ht="15" x14ac:dyDescent="0.2">
      <c r="A284" s="3">
        <v>33235</v>
      </c>
      <c r="B284" s="1" t="s">
        <v>468</v>
      </c>
      <c r="C284" s="3">
        <v>1</v>
      </c>
      <c r="D284" s="3" t="s">
        <v>465</v>
      </c>
      <c r="E284" s="3">
        <v>21</v>
      </c>
      <c r="F284" s="3" t="s">
        <v>474</v>
      </c>
      <c r="G284" s="7" t="s">
        <v>235</v>
      </c>
      <c r="H284" s="3">
        <v>41</v>
      </c>
      <c r="I284" s="3" t="s">
        <v>713</v>
      </c>
      <c r="J284" s="3">
        <v>17</v>
      </c>
      <c r="K284" s="3" t="s">
        <v>1530</v>
      </c>
      <c r="L284" s="3">
        <v>7</v>
      </c>
      <c r="M284" s="3" t="s">
        <v>504</v>
      </c>
      <c r="N284" s="3" t="s">
        <v>719</v>
      </c>
      <c r="O284" s="10">
        <v>32599</v>
      </c>
      <c r="P284" s="10">
        <v>43831</v>
      </c>
      <c r="Q284" s="10"/>
      <c r="R284" s="10">
        <v>45657</v>
      </c>
      <c r="S284" s="23">
        <v>2924.71</v>
      </c>
      <c r="T284" s="3">
        <v>61829570</v>
      </c>
      <c r="U284" s="3">
        <v>28904011203754</v>
      </c>
      <c r="V284" s="4" t="s">
        <v>2118</v>
      </c>
      <c r="W284" s="4">
        <v>71324</v>
      </c>
      <c r="X284" s="4" t="s">
        <v>1583</v>
      </c>
      <c r="Y284" s="4">
        <v>2007</v>
      </c>
      <c r="Z284" s="3">
        <f ca="1">DATEDIF(Table1[[#This Row],[تاريخ الميلاد]],TODAY(),"y")</f>
        <v>37</v>
      </c>
      <c r="AA28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4  شهر  19  يوم </v>
      </c>
      <c r="AB28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6عام7  شهر  19  يوم </v>
      </c>
      <c r="AC284" s="10">
        <f>DATE(YEAR(Table1[[#This Row],[تاريخ الميلاد]])+60,MONTH(Table1[[#This Row],[تاريخ الميلاد]]),DAY(Table1[[#This Row],[تاريخ الميلاد]]))</f>
        <v>54514</v>
      </c>
      <c r="AD284" s="14">
        <f>DATE(YEAR(Table1[[#This Row],[معاش 01/01]])-1,MONTH(Table1[[#This Row],[تاريخ بلوغ 60 ]]),DAY(Table1[[#This Row],[تاريخ بلوغ 60 ]]))</f>
        <v>54514</v>
      </c>
      <c r="AE28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54879</v>
      </c>
      <c r="AF284" s="10" t="str">
        <f>IFERROR(IF(ISODD(MID(Table1[[#This Row],[الرقم القومي]],13,1)),"ذكر","انثي"),"")</f>
        <v>ذكر</v>
      </c>
      <c r="AG284" s="70" t="s">
        <v>1635</v>
      </c>
      <c r="AH284" s="3">
        <f>IF(MONTH(Table1[[#This Row],[تاريخ بلوغ 60 ]])&lt;&gt;1,1,0)</f>
        <v>1</v>
      </c>
      <c r="AI284" s="3">
        <f>IF(DAY(Table1[[#This Row],[تاريخ بلوغ 60 ]])&lt;&gt;1,1,0)</f>
        <v>0</v>
      </c>
      <c r="AJ284" s="4" t="s">
        <v>2116</v>
      </c>
      <c r="AK284" s="4" t="s">
        <v>2932</v>
      </c>
      <c r="AL284" s="62" t="s">
        <v>2117</v>
      </c>
      <c r="AM284" s="62" t="s">
        <v>2931</v>
      </c>
      <c r="AN284" s="2">
        <v>1</v>
      </c>
      <c r="AO284" s="4" t="s">
        <v>2641</v>
      </c>
      <c r="AP284" s="74">
        <v>341.82</v>
      </c>
      <c r="AQ284" s="4">
        <v>12.5</v>
      </c>
      <c r="AR284" s="4">
        <v>3</v>
      </c>
      <c r="AS284" s="4" t="s">
        <v>2668</v>
      </c>
      <c r="AT284" s="72">
        <v>6</v>
      </c>
      <c r="AU284" s="2">
        <v>7</v>
      </c>
      <c r="AV284" s="4"/>
      <c r="AW284" s="4"/>
      <c r="AX284" s="4"/>
    </row>
    <row r="285" spans="1:50" ht="15" x14ac:dyDescent="0.2">
      <c r="A285" s="3">
        <v>33242</v>
      </c>
      <c r="B285" s="1" t="s">
        <v>468</v>
      </c>
      <c r="C285" s="3">
        <v>1</v>
      </c>
      <c r="D285" s="3" t="s">
        <v>465</v>
      </c>
      <c r="E285" s="3">
        <v>3</v>
      </c>
      <c r="F285" s="3" t="s">
        <v>472</v>
      </c>
      <c r="G285" s="7" t="s">
        <v>236</v>
      </c>
      <c r="H285" s="3">
        <v>131</v>
      </c>
      <c r="I285" s="3" t="s">
        <v>1175</v>
      </c>
      <c r="J285" s="3">
        <v>21</v>
      </c>
      <c r="K285" s="3" t="s">
        <v>1533</v>
      </c>
      <c r="L285" s="3">
        <v>8</v>
      </c>
      <c r="M285" s="3" t="s">
        <v>506</v>
      </c>
      <c r="N285" s="3" t="s">
        <v>1180</v>
      </c>
      <c r="O285" s="10">
        <v>27873</v>
      </c>
      <c r="P285" s="10">
        <v>43831</v>
      </c>
      <c r="Q285" s="10"/>
      <c r="R285" s="10">
        <v>46022</v>
      </c>
      <c r="S285" s="23">
        <v>2750.19</v>
      </c>
      <c r="T285" s="3">
        <v>25631356</v>
      </c>
      <c r="U285" s="3">
        <v>27604230300041</v>
      </c>
      <c r="V285" s="4" t="s">
        <v>2120</v>
      </c>
      <c r="W285" s="4">
        <v>71328</v>
      </c>
      <c r="X285" s="4" t="s">
        <v>1583</v>
      </c>
      <c r="Y285" s="4">
        <v>1994</v>
      </c>
      <c r="Z285" s="3">
        <f ca="1">DATEDIF(Table1[[#This Row],[تاريخ الميلاد]],TODAY(),"y")</f>
        <v>50</v>
      </c>
      <c r="AA28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50 عام 3  شهر  28  يوم </v>
      </c>
      <c r="AB28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6عام7  شهر  19  يوم </v>
      </c>
      <c r="AC285" s="10">
        <f>DATE(YEAR(Table1[[#This Row],[تاريخ الميلاد]])+60,MONTH(Table1[[#This Row],[تاريخ الميلاد]]),DAY(Table1[[#This Row],[تاريخ الميلاد]]))</f>
        <v>49788</v>
      </c>
      <c r="AD285" s="14">
        <f>DATE(YEAR(Table1[[#This Row],[معاش 01/01]])-1,MONTH(Table1[[#This Row],[تاريخ بلوغ 60 ]]),DAY(Table1[[#This Row],[تاريخ بلوغ 60 ]]))</f>
        <v>49788</v>
      </c>
      <c r="AE28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50153</v>
      </c>
      <c r="AF285" s="10" t="str">
        <f>IFERROR(IF(ISODD(MID(Table1[[#This Row],[الرقم القومي]],13,1)),"ذكر","انثي"),"")</f>
        <v>انثي</v>
      </c>
      <c r="AG285" s="70" t="s">
        <v>2606</v>
      </c>
      <c r="AH285" s="3">
        <f>IF(MONTH(Table1[[#This Row],[تاريخ بلوغ 60 ]])&lt;&gt;1,1,0)</f>
        <v>1</v>
      </c>
      <c r="AI285" s="3">
        <f>IF(DAY(Table1[[#This Row],[تاريخ بلوغ 60 ]])&lt;&gt;1,1,0)</f>
        <v>1</v>
      </c>
      <c r="AJ285" s="4" t="s">
        <v>465</v>
      </c>
      <c r="AK285" s="4" t="s">
        <v>2730</v>
      </c>
      <c r="AL285" s="62" t="s">
        <v>2119</v>
      </c>
      <c r="AM285" s="62" t="s">
        <v>2933</v>
      </c>
      <c r="AN285" s="2">
        <v>1</v>
      </c>
      <c r="AO285" s="4" t="s">
        <v>2641</v>
      </c>
      <c r="AP285" s="74">
        <v>321.11</v>
      </c>
      <c r="AQ285" s="4">
        <v>12.5</v>
      </c>
      <c r="AR285" s="4">
        <v>4</v>
      </c>
      <c r="AS285" s="4" t="s">
        <v>2930</v>
      </c>
      <c r="AT285" s="72">
        <v>0</v>
      </c>
      <c r="AU285" s="2">
        <v>8</v>
      </c>
      <c r="AV285" s="4"/>
      <c r="AW285" s="4"/>
      <c r="AX285" s="4"/>
    </row>
    <row r="286" spans="1:50" ht="15" x14ac:dyDescent="0.2">
      <c r="A286" s="3">
        <v>33441</v>
      </c>
      <c r="B286" s="1" t="s">
        <v>468</v>
      </c>
      <c r="C286" s="3">
        <v>1</v>
      </c>
      <c r="D286" s="3" t="s">
        <v>465</v>
      </c>
      <c r="E286" s="3">
        <v>21</v>
      </c>
      <c r="F286" s="3" t="s">
        <v>474</v>
      </c>
      <c r="G286" s="7" t="s">
        <v>237</v>
      </c>
      <c r="H286" s="3">
        <v>169</v>
      </c>
      <c r="I286" s="3" t="s">
        <v>1407</v>
      </c>
      <c r="J286" s="3">
        <v>20</v>
      </c>
      <c r="K286" s="3" t="s">
        <v>1531</v>
      </c>
      <c r="L286" s="3">
        <v>9</v>
      </c>
      <c r="M286" s="3" t="s">
        <v>1152</v>
      </c>
      <c r="N286" s="3" t="s">
        <v>1413</v>
      </c>
      <c r="O286" s="10">
        <v>31318</v>
      </c>
      <c r="P286" s="10">
        <v>44197</v>
      </c>
      <c r="Q286" s="10"/>
      <c r="R286" s="10">
        <v>44197</v>
      </c>
      <c r="S286" s="23">
        <v>2377.08</v>
      </c>
      <c r="T286" s="3">
        <v>66086352</v>
      </c>
      <c r="U286" s="3">
        <v>28509280300379</v>
      </c>
      <c r="V286" s="4" t="s">
        <v>2122</v>
      </c>
      <c r="W286" s="4"/>
      <c r="X286" s="4" t="s">
        <v>1583</v>
      </c>
      <c r="Y286" s="4">
        <v>2002</v>
      </c>
      <c r="Z286" s="3">
        <f ca="1">DATEDIF(Table1[[#This Row],[تاريخ الميلاد]],TODAY(),"y")</f>
        <v>40</v>
      </c>
      <c r="AA28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40 عام 10  شهر  23  يوم </v>
      </c>
      <c r="AB28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5عام7  شهر  19  يوم </v>
      </c>
      <c r="AC286" s="10">
        <f>DATE(YEAR(Table1[[#This Row],[تاريخ الميلاد]])+60,MONTH(Table1[[#This Row],[تاريخ الميلاد]]),DAY(Table1[[#This Row],[تاريخ الميلاد]]))</f>
        <v>53233</v>
      </c>
      <c r="AD286" s="14">
        <f>DATE(YEAR(Table1[[#This Row],[معاش 01/01]])-1,MONTH(Table1[[#This Row],[تاريخ بلوغ 60 ]]),DAY(Table1[[#This Row],[تاريخ بلوغ 60 ]]))</f>
        <v>53233</v>
      </c>
      <c r="AE28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53598</v>
      </c>
      <c r="AF286" s="10" t="str">
        <f>IFERROR(IF(ISODD(MID(Table1[[#This Row],[الرقم القومي]],13,1)),"ذكر","انثي"),"")</f>
        <v>ذكر</v>
      </c>
      <c r="AG286" s="70" t="s">
        <v>2606</v>
      </c>
      <c r="AH286" s="3">
        <f>IF(MONTH(Table1[[#This Row],[تاريخ بلوغ 60 ]])&lt;&gt;1,1,0)</f>
        <v>1</v>
      </c>
      <c r="AI286" s="3">
        <f>IF(DAY(Table1[[#This Row],[تاريخ بلوغ 60 ]])&lt;&gt;1,1,0)</f>
        <v>1</v>
      </c>
      <c r="AJ286" s="4" t="s">
        <v>465</v>
      </c>
      <c r="AK286" s="4" t="s">
        <v>2770</v>
      </c>
      <c r="AL286" s="62" t="s">
        <v>2121</v>
      </c>
      <c r="AM286" s="62" t="s">
        <v>2934</v>
      </c>
      <c r="AN286" s="2">
        <v>4</v>
      </c>
      <c r="AO286" s="4" t="s">
        <v>2641</v>
      </c>
      <c r="AP286" s="74">
        <v>559.27</v>
      </c>
      <c r="AQ286" s="4">
        <v>25</v>
      </c>
      <c r="AR286" s="4">
        <v>3</v>
      </c>
      <c r="AS286" s="4" t="s">
        <v>2668</v>
      </c>
      <c r="AT286" s="72">
        <v>6</v>
      </c>
      <c r="AU286" s="2">
        <v>9</v>
      </c>
      <c r="AV286" s="4"/>
      <c r="AW286" s="4"/>
      <c r="AX286" s="4"/>
    </row>
    <row r="287" spans="1:50" ht="15" x14ac:dyDescent="0.2">
      <c r="A287" s="3">
        <v>33448</v>
      </c>
      <c r="B287" s="1" t="s">
        <v>468</v>
      </c>
      <c r="C287" s="3">
        <v>1</v>
      </c>
      <c r="D287" s="3" t="s">
        <v>465</v>
      </c>
      <c r="E287" s="3">
        <v>21</v>
      </c>
      <c r="F287" s="3" t="s">
        <v>474</v>
      </c>
      <c r="G287" s="7" t="s">
        <v>2123</v>
      </c>
      <c r="H287" s="3">
        <v>169</v>
      </c>
      <c r="I287" s="3" t="s">
        <v>1407</v>
      </c>
      <c r="J287" s="3">
        <v>20</v>
      </c>
      <c r="K287" s="3" t="s">
        <v>1531</v>
      </c>
      <c r="L287" s="3">
        <v>9</v>
      </c>
      <c r="M287" s="3" t="s">
        <v>1152</v>
      </c>
      <c r="N287" s="3" t="s">
        <v>1413</v>
      </c>
      <c r="O287" s="10">
        <v>33736</v>
      </c>
      <c r="P287" s="10">
        <v>44197</v>
      </c>
      <c r="Q287" s="10"/>
      <c r="R287" s="10">
        <v>44206</v>
      </c>
      <c r="S287" s="23">
        <v>2377.08</v>
      </c>
      <c r="T287" s="3">
        <v>71817328</v>
      </c>
      <c r="U287" s="3">
        <v>29205120300059</v>
      </c>
      <c r="V287" s="4" t="s">
        <v>2125</v>
      </c>
      <c r="W287" s="4"/>
      <c r="X287" s="4" t="s">
        <v>1583</v>
      </c>
      <c r="Y287" s="4">
        <v>2009</v>
      </c>
      <c r="Z287" s="3">
        <f ca="1">DATEDIF(Table1[[#This Row],[تاريخ الميلاد]],TODAY(),"y")</f>
        <v>34</v>
      </c>
      <c r="AA28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34 عام 3  شهر  8  يوم </v>
      </c>
      <c r="AB28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5عام7  شهر  19  يوم </v>
      </c>
      <c r="AC287" s="10">
        <f>DATE(YEAR(Table1[[#This Row],[تاريخ الميلاد]])+60,MONTH(Table1[[#This Row],[تاريخ الميلاد]]),DAY(Table1[[#This Row],[تاريخ الميلاد]]))</f>
        <v>55651</v>
      </c>
      <c r="AD287" s="14">
        <f>DATE(YEAR(Table1[[#This Row],[معاش 01/01]])-1,MONTH(Table1[[#This Row],[تاريخ بلوغ 60 ]]),DAY(Table1[[#This Row],[تاريخ بلوغ 60 ]]))</f>
        <v>55651</v>
      </c>
      <c r="AE28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56016</v>
      </c>
      <c r="AF287" s="10" t="str">
        <f>IFERROR(IF(ISODD(MID(Table1[[#This Row],[الرقم القومي]],13,1)),"ذكر","انثي"),"")</f>
        <v>ذكر</v>
      </c>
      <c r="AG287" s="70" t="s">
        <v>2606</v>
      </c>
      <c r="AH287" s="3">
        <f>IF(MONTH(Table1[[#This Row],[تاريخ بلوغ 60 ]])&lt;&gt;1,1,0)</f>
        <v>1</v>
      </c>
      <c r="AI287" s="3">
        <f>IF(DAY(Table1[[#This Row],[تاريخ بلوغ 60 ]])&lt;&gt;1,1,0)</f>
        <v>1</v>
      </c>
      <c r="AJ287" s="4" t="s">
        <v>465</v>
      </c>
      <c r="AK287" s="4" t="s">
        <v>2689</v>
      </c>
      <c r="AL287" s="62" t="s">
        <v>2124</v>
      </c>
      <c r="AM287" s="62" t="s">
        <v>2935</v>
      </c>
      <c r="AN287" s="2">
        <v>4</v>
      </c>
      <c r="AO287" s="4" t="s">
        <v>2641</v>
      </c>
      <c r="AP287" s="74">
        <v>559.27</v>
      </c>
      <c r="AQ287" s="4">
        <v>25</v>
      </c>
      <c r="AR287" s="4">
        <v>3</v>
      </c>
      <c r="AS287" s="4" t="s">
        <v>2668</v>
      </c>
      <c r="AT287" s="72">
        <v>6</v>
      </c>
      <c r="AU287" s="2">
        <v>9</v>
      </c>
      <c r="AV287" s="4"/>
      <c r="AW287" s="4"/>
      <c r="AX287" s="4"/>
    </row>
    <row r="288" spans="1:50" ht="15" x14ac:dyDescent="0.2">
      <c r="A288" s="3">
        <v>33449</v>
      </c>
      <c r="B288" s="1" t="s">
        <v>468</v>
      </c>
      <c r="C288" s="3">
        <v>1</v>
      </c>
      <c r="D288" s="3" t="s">
        <v>465</v>
      </c>
      <c r="E288" s="3">
        <v>21</v>
      </c>
      <c r="F288" s="3" t="s">
        <v>474</v>
      </c>
      <c r="G288" s="7" t="s">
        <v>238</v>
      </c>
      <c r="H288" s="3">
        <v>169</v>
      </c>
      <c r="I288" s="3" t="s">
        <v>1407</v>
      </c>
      <c r="J288" s="3">
        <v>20</v>
      </c>
      <c r="K288" s="3" t="s">
        <v>1531</v>
      </c>
      <c r="L288" s="3">
        <v>9</v>
      </c>
      <c r="M288" s="3" t="s">
        <v>1152</v>
      </c>
      <c r="N288" s="3" t="s">
        <v>1413</v>
      </c>
      <c r="O288" s="10">
        <v>32508</v>
      </c>
      <c r="P288" s="10">
        <v>44197</v>
      </c>
      <c r="Q288" s="10"/>
      <c r="R288" s="10">
        <v>44197</v>
      </c>
      <c r="S288" s="23">
        <v>2377.08</v>
      </c>
      <c r="T288" s="3">
        <v>27926667</v>
      </c>
      <c r="U288" s="3">
        <v>28812310300233</v>
      </c>
      <c r="V288" s="4" t="s">
        <v>2127</v>
      </c>
      <c r="W288" s="4"/>
      <c r="X288" s="4" t="s">
        <v>1583</v>
      </c>
      <c r="Y288" s="4">
        <v>2007</v>
      </c>
      <c r="Z288" s="3">
        <f ca="1">DATEDIF(Table1[[#This Row],[تاريخ الميلاد]],TODAY(),"y")</f>
        <v>37</v>
      </c>
      <c r="AA28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7  شهر  20  يوم </v>
      </c>
      <c r="AB28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5عام7  شهر  19  يوم </v>
      </c>
      <c r="AC288" s="10">
        <f>DATE(YEAR(Table1[[#This Row],[تاريخ الميلاد]])+60,MONTH(Table1[[#This Row],[تاريخ الميلاد]]),DAY(Table1[[#This Row],[تاريخ الميلاد]]))</f>
        <v>54423</v>
      </c>
      <c r="AD288" s="14">
        <f>DATE(YEAR(Table1[[#This Row],[معاش 01/01]])-1,MONTH(Table1[[#This Row],[تاريخ بلوغ 60 ]]),DAY(Table1[[#This Row],[تاريخ بلوغ 60 ]]))</f>
        <v>54423</v>
      </c>
      <c r="AE28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54788</v>
      </c>
      <c r="AF288" s="10" t="str">
        <f>IFERROR(IF(ISODD(MID(Table1[[#This Row],[الرقم القومي]],13,1)),"ذكر","انثي"),"")</f>
        <v>ذكر</v>
      </c>
      <c r="AG288" s="70" t="s">
        <v>2606</v>
      </c>
      <c r="AH288" s="3">
        <f>IF(MONTH(Table1[[#This Row],[تاريخ بلوغ 60 ]])&lt;&gt;1,1,0)</f>
        <v>1</v>
      </c>
      <c r="AI288" s="3">
        <f>IF(DAY(Table1[[#This Row],[تاريخ بلوغ 60 ]])&lt;&gt;1,1,0)</f>
        <v>1</v>
      </c>
      <c r="AJ288" s="4" t="s">
        <v>465</v>
      </c>
      <c r="AK288" s="4" t="s">
        <v>2689</v>
      </c>
      <c r="AL288" s="62" t="s">
        <v>2126</v>
      </c>
      <c r="AM288" s="62" t="s">
        <v>2936</v>
      </c>
      <c r="AN288" s="2">
        <v>4</v>
      </c>
      <c r="AO288" s="4" t="s">
        <v>2641</v>
      </c>
      <c r="AP288" s="74">
        <v>559.27</v>
      </c>
      <c r="AQ288" s="4">
        <v>25</v>
      </c>
      <c r="AR288" s="4">
        <v>3</v>
      </c>
      <c r="AS288" s="4" t="s">
        <v>2668</v>
      </c>
      <c r="AT288" s="72">
        <v>6</v>
      </c>
      <c r="AU288" s="2">
        <v>9</v>
      </c>
      <c r="AV288" s="4"/>
      <c r="AW288" s="4"/>
      <c r="AX288" s="4"/>
    </row>
    <row r="289" spans="1:50" ht="15" x14ac:dyDescent="0.2">
      <c r="A289" s="3">
        <v>33453</v>
      </c>
      <c r="B289" s="1" t="s">
        <v>468</v>
      </c>
      <c r="C289" s="3">
        <v>1</v>
      </c>
      <c r="D289" s="3" t="s">
        <v>465</v>
      </c>
      <c r="E289" s="3">
        <v>21</v>
      </c>
      <c r="F289" s="3" t="s">
        <v>474</v>
      </c>
      <c r="G289" s="7" t="s">
        <v>239</v>
      </c>
      <c r="H289" s="3">
        <v>169</v>
      </c>
      <c r="I289" s="3" t="s">
        <v>1407</v>
      </c>
      <c r="J289" s="3">
        <v>20</v>
      </c>
      <c r="K289" s="3" t="s">
        <v>1531</v>
      </c>
      <c r="L289" s="3">
        <v>9</v>
      </c>
      <c r="M289" s="3" t="s">
        <v>1152</v>
      </c>
      <c r="N289" s="3" t="s">
        <v>1413</v>
      </c>
      <c r="O289" s="10">
        <v>34937</v>
      </c>
      <c r="P289" s="10">
        <v>44197</v>
      </c>
      <c r="Q289" s="10"/>
      <c r="R289" s="10">
        <v>44197</v>
      </c>
      <c r="S289" s="23">
        <v>2377.08</v>
      </c>
      <c r="T289" s="3">
        <v>75047945</v>
      </c>
      <c r="U289" s="3">
        <v>29508260300191</v>
      </c>
      <c r="V289" s="4" t="s">
        <v>2129</v>
      </c>
      <c r="W289" s="4"/>
      <c r="X289" s="4" t="s">
        <v>1583</v>
      </c>
      <c r="Y289" s="4">
        <v>2012</v>
      </c>
      <c r="Z289" s="3">
        <f ca="1">DATEDIF(Table1[[#This Row],[تاريخ الميلاد]],TODAY(),"y")</f>
        <v>30</v>
      </c>
      <c r="AA28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30 عام 11  شهر  25  يوم </v>
      </c>
      <c r="AB28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5عام7  شهر  19  يوم </v>
      </c>
      <c r="AC289" s="10">
        <f>DATE(YEAR(Table1[[#This Row],[تاريخ الميلاد]])+60,MONTH(Table1[[#This Row],[تاريخ الميلاد]]),DAY(Table1[[#This Row],[تاريخ الميلاد]]))</f>
        <v>56852</v>
      </c>
      <c r="AD289" s="14">
        <f>DATE(YEAR(Table1[[#This Row],[معاش 01/01]])-1,MONTH(Table1[[#This Row],[تاريخ بلوغ 60 ]]),DAY(Table1[[#This Row],[تاريخ بلوغ 60 ]]))</f>
        <v>56852</v>
      </c>
      <c r="AE28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57218</v>
      </c>
      <c r="AF289" s="10" t="str">
        <f>IFERROR(IF(ISODD(MID(Table1[[#This Row],[الرقم القومي]],13,1)),"ذكر","انثي"),"")</f>
        <v>ذكر</v>
      </c>
      <c r="AG289" s="70" t="s">
        <v>2606</v>
      </c>
      <c r="AH289" s="3">
        <f>IF(MONTH(Table1[[#This Row],[تاريخ بلوغ 60 ]])&lt;&gt;1,1,0)</f>
        <v>1</v>
      </c>
      <c r="AI289" s="3">
        <f>IF(DAY(Table1[[#This Row],[تاريخ بلوغ 60 ]])&lt;&gt;1,1,0)</f>
        <v>1</v>
      </c>
      <c r="AJ289" s="4" t="s">
        <v>465</v>
      </c>
      <c r="AK289" s="4" t="s">
        <v>2689</v>
      </c>
      <c r="AL289" s="62" t="s">
        <v>2128</v>
      </c>
      <c r="AM289" s="62" t="s">
        <v>2937</v>
      </c>
      <c r="AN289" s="2">
        <v>4</v>
      </c>
      <c r="AO289" s="4" t="s">
        <v>2641</v>
      </c>
      <c r="AP289" s="74">
        <v>559.27</v>
      </c>
      <c r="AQ289" s="4">
        <v>25</v>
      </c>
      <c r="AR289" s="4">
        <v>3</v>
      </c>
      <c r="AS289" s="4" t="s">
        <v>2668</v>
      </c>
      <c r="AT289" s="72">
        <v>6</v>
      </c>
      <c r="AU289" s="2">
        <v>9</v>
      </c>
      <c r="AV289" s="4"/>
      <c r="AW289" s="4"/>
      <c r="AX289" s="4"/>
    </row>
    <row r="290" spans="1:50" ht="15" x14ac:dyDescent="0.2">
      <c r="A290" s="3">
        <v>33472</v>
      </c>
      <c r="B290" s="1" t="s">
        <v>468</v>
      </c>
      <c r="C290" s="3">
        <v>1</v>
      </c>
      <c r="D290" s="3" t="s">
        <v>465</v>
      </c>
      <c r="E290" s="3">
        <v>3</v>
      </c>
      <c r="F290" s="3" t="s">
        <v>472</v>
      </c>
      <c r="G290" s="7" t="s">
        <v>240</v>
      </c>
      <c r="H290" s="3">
        <v>55</v>
      </c>
      <c r="I290" s="3" t="s">
        <v>750</v>
      </c>
      <c r="J290" s="3">
        <v>18</v>
      </c>
      <c r="K290" s="3" t="s">
        <v>1529</v>
      </c>
      <c r="L290" s="3">
        <v>8</v>
      </c>
      <c r="M290" s="3" t="s">
        <v>506</v>
      </c>
      <c r="N290" s="3" t="s">
        <v>750</v>
      </c>
      <c r="O290" s="10">
        <v>35033</v>
      </c>
      <c r="P290" s="10">
        <v>44378</v>
      </c>
      <c r="Q290" s="10"/>
      <c r="R290" s="10">
        <v>44378</v>
      </c>
      <c r="S290" s="23">
        <v>2455.91</v>
      </c>
      <c r="T290" s="3">
        <v>66995631</v>
      </c>
      <c r="U290" s="3">
        <v>29511300300034</v>
      </c>
      <c r="V290" s="4" t="s">
        <v>2131</v>
      </c>
      <c r="W290" s="4">
        <v>71756</v>
      </c>
      <c r="X290" s="4" t="s">
        <v>1583</v>
      </c>
      <c r="Z290" s="3">
        <f ca="1">DATEDIF(Table1[[#This Row],[تاريخ الميلاد]],TODAY(),"y")</f>
        <v>30</v>
      </c>
      <c r="AA29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30 عام 8  شهر  21  يوم </v>
      </c>
      <c r="AB29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5عام1  شهر  19  يوم </v>
      </c>
      <c r="AC290" s="10">
        <f>DATE(YEAR(Table1[[#This Row],[تاريخ الميلاد]])+60,MONTH(Table1[[#This Row],[تاريخ الميلاد]]),DAY(Table1[[#This Row],[تاريخ الميلاد]]))</f>
        <v>56948</v>
      </c>
      <c r="AD290" s="14">
        <f>DATE(YEAR(Table1[[#This Row],[معاش 01/01]])-1,MONTH(Table1[[#This Row],[تاريخ بلوغ 60 ]]),DAY(Table1[[#This Row],[تاريخ بلوغ 60 ]]))</f>
        <v>56948</v>
      </c>
      <c r="AE29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57314</v>
      </c>
      <c r="AF290" s="10" t="str">
        <f>IFERROR(IF(ISODD(MID(Table1[[#This Row],[الرقم القومي]],13,1)),"ذكر","انثي"),"")</f>
        <v>ذكر</v>
      </c>
      <c r="AG290" s="70" t="s">
        <v>2606</v>
      </c>
      <c r="AH290" s="3">
        <f>IF(MONTH(Table1[[#This Row],[تاريخ بلوغ 60 ]])&lt;&gt;1,1,0)</f>
        <v>1</v>
      </c>
      <c r="AI290" s="3">
        <f>IF(DAY(Table1[[#This Row],[تاريخ بلوغ 60 ]])&lt;&gt;1,1,0)</f>
        <v>1</v>
      </c>
      <c r="AJ290" s="4" t="s">
        <v>465</v>
      </c>
      <c r="AK290" s="4" t="s">
        <v>2636</v>
      </c>
      <c r="AL290" s="62" t="s">
        <v>2130</v>
      </c>
      <c r="AM290" s="62" t="s">
        <v>2938</v>
      </c>
      <c r="AN290" s="2">
        <v>4</v>
      </c>
      <c r="AO290" s="4" t="s">
        <v>2641</v>
      </c>
      <c r="AP290" s="74">
        <v>578.98</v>
      </c>
      <c r="AQ290" s="4">
        <v>25</v>
      </c>
      <c r="AR290" s="4">
        <v>2</v>
      </c>
      <c r="AS290" s="4" t="s">
        <v>2696</v>
      </c>
      <c r="AT290" s="72">
        <v>4</v>
      </c>
      <c r="AU290" s="2">
        <v>8</v>
      </c>
      <c r="AV290" s="4"/>
      <c r="AW290" s="4"/>
      <c r="AX290" s="4"/>
    </row>
    <row r="291" spans="1:50" ht="15" x14ac:dyDescent="0.2">
      <c r="A291" s="3">
        <v>33483</v>
      </c>
      <c r="B291" s="1" t="s">
        <v>468</v>
      </c>
      <c r="C291" s="3">
        <v>1</v>
      </c>
      <c r="D291" s="3" t="s">
        <v>465</v>
      </c>
      <c r="E291" s="3">
        <v>3</v>
      </c>
      <c r="F291" s="3" t="s">
        <v>472</v>
      </c>
      <c r="G291" s="7" t="s">
        <v>241</v>
      </c>
      <c r="H291" s="3">
        <v>55</v>
      </c>
      <c r="I291" s="3" t="s">
        <v>750</v>
      </c>
      <c r="J291" s="3">
        <v>18</v>
      </c>
      <c r="K291" s="3" t="s">
        <v>1529</v>
      </c>
      <c r="L291" s="3">
        <v>8</v>
      </c>
      <c r="M291" s="3" t="s">
        <v>506</v>
      </c>
      <c r="N291" s="3" t="s">
        <v>750</v>
      </c>
      <c r="O291" s="10">
        <v>35162</v>
      </c>
      <c r="P291" s="10">
        <v>44378</v>
      </c>
      <c r="Q291" s="10"/>
      <c r="R291" s="10">
        <v>44378</v>
      </c>
      <c r="S291" s="23">
        <v>2455.91</v>
      </c>
      <c r="T291" s="3">
        <v>64199973</v>
      </c>
      <c r="U291" s="3">
        <v>29604070300054</v>
      </c>
      <c r="V291" s="4" t="s">
        <v>2133</v>
      </c>
      <c r="W291" s="4"/>
      <c r="X291" s="4" t="s">
        <v>1583</v>
      </c>
      <c r="Z291" s="3">
        <f ca="1">DATEDIF(Table1[[#This Row],[تاريخ الميلاد]],TODAY(),"y")</f>
        <v>30</v>
      </c>
      <c r="AA29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30 عام 4  شهر  13  يوم </v>
      </c>
      <c r="AB29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5عام1  شهر  19  يوم </v>
      </c>
      <c r="AC291" s="10">
        <f>DATE(YEAR(Table1[[#This Row],[تاريخ الميلاد]])+60,MONTH(Table1[[#This Row],[تاريخ الميلاد]]),DAY(Table1[[#This Row],[تاريخ الميلاد]]))</f>
        <v>57077</v>
      </c>
      <c r="AD291" s="14">
        <f>DATE(YEAR(Table1[[#This Row],[معاش 01/01]])-1,MONTH(Table1[[#This Row],[تاريخ بلوغ 60 ]]),DAY(Table1[[#This Row],[تاريخ بلوغ 60 ]]))</f>
        <v>57077</v>
      </c>
      <c r="AE29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57442</v>
      </c>
      <c r="AF291" s="10" t="str">
        <f>IFERROR(IF(ISODD(MID(Table1[[#This Row],[الرقم القومي]],13,1)),"ذكر","انثي"),"")</f>
        <v>ذكر</v>
      </c>
      <c r="AG291" s="70" t="s">
        <v>2606</v>
      </c>
      <c r="AH291" s="3">
        <f>IF(MONTH(Table1[[#This Row],[تاريخ بلوغ 60 ]])&lt;&gt;1,1,0)</f>
        <v>1</v>
      </c>
      <c r="AI291" s="3">
        <f>IF(DAY(Table1[[#This Row],[تاريخ بلوغ 60 ]])&lt;&gt;1,1,0)</f>
        <v>1</v>
      </c>
      <c r="AJ291" s="4" t="s">
        <v>465</v>
      </c>
      <c r="AK291" s="4" t="s">
        <v>2636</v>
      </c>
      <c r="AL291" s="62" t="s">
        <v>2132</v>
      </c>
      <c r="AM291" s="62" t="s">
        <v>2939</v>
      </c>
      <c r="AN291" s="2">
        <v>4</v>
      </c>
      <c r="AO291" s="4" t="s">
        <v>2641</v>
      </c>
      <c r="AP291" s="74">
        <v>578.98</v>
      </c>
      <c r="AQ291" s="4">
        <v>25</v>
      </c>
      <c r="AR291" s="4">
        <v>3</v>
      </c>
      <c r="AS291" s="4" t="s">
        <v>2668</v>
      </c>
      <c r="AT291" s="72">
        <v>6</v>
      </c>
      <c r="AU291" s="2">
        <v>8</v>
      </c>
      <c r="AV291" s="4"/>
      <c r="AW291" s="4"/>
      <c r="AX291" s="4"/>
    </row>
    <row r="292" spans="1:50" ht="15" x14ac:dyDescent="0.2">
      <c r="A292" s="3">
        <v>33629</v>
      </c>
      <c r="B292" s="1" t="s">
        <v>468</v>
      </c>
      <c r="C292" s="3">
        <v>1</v>
      </c>
      <c r="D292" s="3" t="s">
        <v>465</v>
      </c>
      <c r="E292" s="3">
        <v>21</v>
      </c>
      <c r="F292" s="3" t="s">
        <v>474</v>
      </c>
      <c r="G292" s="7" t="s">
        <v>242</v>
      </c>
      <c r="H292" s="3">
        <v>153</v>
      </c>
      <c r="I292" s="3" t="s">
        <v>1295</v>
      </c>
      <c r="J292" s="3">
        <v>20</v>
      </c>
      <c r="K292" s="3" t="s">
        <v>1531</v>
      </c>
      <c r="L292" s="3">
        <v>9</v>
      </c>
      <c r="M292" s="3" t="s">
        <v>1152</v>
      </c>
      <c r="N292" s="3" t="s">
        <v>1301</v>
      </c>
      <c r="O292" s="10">
        <v>32333</v>
      </c>
      <c r="P292" s="10">
        <v>44140</v>
      </c>
      <c r="Q292" s="10"/>
      <c r="R292" s="10">
        <v>44140</v>
      </c>
      <c r="S292" s="23">
        <v>2429.83</v>
      </c>
      <c r="T292" s="3">
        <v>18745416</v>
      </c>
      <c r="U292" s="3">
        <v>28807090300136</v>
      </c>
      <c r="V292" s="4" t="s">
        <v>2135</v>
      </c>
      <c r="W292" s="4"/>
      <c r="X292" s="4" t="s">
        <v>1583</v>
      </c>
      <c r="Z292" s="3">
        <f ca="1">DATEDIF(Table1[[#This Row],[تاريخ الميلاد]],TODAY(),"y")</f>
        <v>38</v>
      </c>
      <c r="AA29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1  شهر  11  يوم </v>
      </c>
      <c r="AB29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5عام9  شهر  15  يوم </v>
      </c>
      <c r="AC292" s="10">
        <f>DATE(YEAR(Table1[[#This Row],[تاريخ الميلاد]])+60,MONTH(Table1[[#This Row],[تاريخ الميلاد]]),DAY(Table1[[#This Row],[تاريخ الميلاد]]))</f>
        <v>54248</v>
      </c>
      <c r="AD292" s="14">
        <f>DATE(YEAR(Table1[[#This Row],[معاش 01/01]])-1,MONTH(Table1[[#This Row],[تاريخ بلوغ 60 ]]),DAY(Table1[[#This Row],[تاريخ بلوغ 60 ]]))</f>
        <v>54248</v>
      </c>
      <c r="AE29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54613</v>
      </c>
      <c r="AF292" s="10" t="str">
        <f>IFERROR(IF(ISODD(MID(Table1[[#This Row],[الرقم القومي]],13,1)),"ذكر","انثي"),"")</f>
        <v>ذكر</v>
      </c>
      <c r="AG292" s="70" t="s">
        <v>2606</v>
      </c>
      <c r="AH292" s="3">
        <f>IF(MONTH(Table1[[#This Row],[تاريخ بلوغ 60 ]])&lt;&gt;1,1,0)</f>
        <v>1</v>
      </c>
      <c r="AI292" s="3">
        <f>IF(DAY(Table1[[#This Row],[تاريخ بلوغ 60 ]])&lt;&gt;1,1,0)</f>
        <v>1</v>
      </c>
      <c r="AJ292" s="4" t="s">
        <v>465</v>
      </c>
      <c r="AK292" s="4" t="s">
        <v>2689</v>
      </c>
      <c r="AL292" s="62" t="s">
        <v>2134</v>
      </c>
      <c r="AM292" s="62" t="s">
        <v>2940</v>
      </c>
      <c r="AN292" s="2">
        <v>4</v>
      </c>
      <c r="AO292" s="4" t="s">
        <v>2641</v>
      </c>
      <c r="AP292" s="74">
        <v>572.46</v>
      </c>
      <c r="AQ292" s="4">
        <v>25</v>
      </c>
      <c r="AR292" s="4">
        <v>3</v>
      </c>
      <c r="AS292" s="4" t="s">
        <v>2668</v>
      </c>
      <c r="AT292" s="72">
        <v>6</v>
      </c>
      <c r="AU292" s="2">
        <v>9</v>
      </c>
      <c r="AV292" s="4"/>
      <c r="AW292" s="4"/>
      <c r="AX292" s="4"/>
    </row>
    <row r="293" spans="1:50" ht="15" x14ac:dyDescent="0.2">
      <c r="A293" s="3">
        <v>33633</v>
      </c>
      <c r="B293" s="1" t="s">
        <v>468</v>
      </c>
      <c r="C293" s="3">
        <v>1</v>
      </c>
      <c r="D293" s="3" t="s">
        <v>465</v>
      </c>
      <c r="E293" s="3">
        <v>21</v>
      </c>
      <c r="F293" s="3" t="s">
        <v>474</v>
      </c>
      <c r="G293" s="7" t="s">
        <v>243</v>
      </c>
      <c r="H293" s="3">
        <v>153</v>
      </c>
      <c r="I293" s="3" t="s">
        <v>1295</v>
      </c>
      <c r="J293" s="3">
        <v>20</v>
      </c>
      <c r="K293" s="3" t="s">
        <v>1531</v>
      </c>
      <c r="L293" s="3">
        <v>9</v>
      </c>
      <c r="M293" s="3" t="s">
        <v>1152</v>
      </c>
      <c r="N293" s="3" t="s">
        <v>1301</v>
      </c>
      <c r="O293" s="10">
        <v>32243</v>
      </c>
      <c r="P293" s="10">
        <v>44562</v>
      </c>
      <c r="Q293" s="10"/>
      <c r="R293" s="10">
        <v>44562</v>
      </c>
      <c r="S293" s="23">
        <v>2176.61</v>
      </c>
      <c r="T293" s="3">
        <v>17384632</v>
      </c>
      <c r="U293" s="3">
        <v>28804101202035</v>
      </c>
      <c r="V293" s="4" t="s">
        <v>2137</v>
      </c>
      <c r="W293" s="4"/>
      <c r="X293" s="4" t="s">
        <v>1583</v>
      </c>
      <c r="Y293" s="4">
        <v>2002</v>
      </c>
      <c r="Z293" s="3">
        <f ca="1">DATEDIF(Table1[[#This Row],[تاريخ الميلاد]],TODAY(),"y")</f>
        <v>38</v>
      </c>
      <c r="AA29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4  شهر  10  يوم </v>
      </c>
      <c r="AB29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4عام7  شهر  19  يوم </v>
      </c>
      <c r="AC293" s="10">
        <f>DATE(YEAR(Table1[[#This Row],[تاريخ الميلاد]])+60,MONTH(Table1[[#This Row],[تاريخ الميلاد]]),DAY(Table1[[#This Row],[تاريخ الميلاد]]))</f>
        <v>54158</v>
      </c>
      <c r="AD293" s="14">
        <f>DATE(YEAR(Table1[[#This Row],[معاش 01/01]])-1,MONTH(Table1[[#This Row],[تاريخ بلوغ 60 ]]),DAY(Table1[[#This Row],[تاريخ بلوغ 60 ]]))</f>
        <v>54158</v>
      </c>
      <c r="AE29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54523</v>
      </c>
      <c r="AF293" s="10" t="str">
        <f>IFERROR(IF(ISODD(MID(Table1[[#This Row],[الرقم القومي]],13,1)),"ذكر","انثي"),"")</f>
        <v>ذكر</v>
      </c>
      <c r="AG293" s="70" t="s">
        <v>1635</v>
      </c>
      <c r="AH293" s="3">
        <f>IF(MONTH(Table1[[#This Row],[تاريخ بلوغ 60 ]])&lt;&gt;1,1,0)</f>
        <v>1</v>
      </c>
      <c r="AI293" s="3">
        <f>IF(DAY(Table1[[#This Row],[تاريخ بلوغ 60 ]])&lt;&gt;1,1,0)</f>
        <v>1</v>
      </c>
      <c r="AJ293" s="4" t="s">
        <v>465</v>
      </c>
      <c r="AK293" s="4" t="s">
        <v>2770</v>
      </c>
      <c r="AL293" s="62" t="s">
        <v>2136</v>
      </c>
      <c r="AM293" s="62" t="s">
        <v>2941</v>
      </c>
      <c r="AN293" s="2">
        <v>4</v>
      </c>
      <c r="AO293" s="4" t="s">
        <v>2641</v>
      </c>
      <c r="AP293" s="74">
        <v>509.15</v>
      </c>
      <c r="AQ293" s="4">
        <v>25</v>
      </c>
      <c r="AR293" s="4">
        <v>3</v>
      </c>
      <c r="AS293" s="4" t="s">
        <v>2668</v>
      </c>
      <c r="AT293" s="72">
        <v>6</v>
      </c>
      <c r="AU293" s="2">
        <v>9</v>
      </c>
      <c r="AV293" s="4"/>
      <c r="AW293" s="4"/>
      <c r="AX293" s="4"/>
    </row>
    <row r="294" spans="1:50" ht="15" x14ac:dyDescent="0.2">
      <c r="A294" s="3">
        <v>33866</v>
      </c>
      <c r="B294" s="1" t="s">
        <v>468</v>
      </c>
      <c r="C294" s="3">
        <v>1</v>
      </c>
      <c r="D294" s="3" t="s">
        <v>465</v>
      </c>
      <c r="E294" s="3">
        <v>3</v>
      </c>
      <c r="F294" s="3" t="s">
        <v>472</v>
      </c>
      <c r="G294" s="7" t="s">
        <v>244</v>
      </c>
      <c r="H294" s="3">
        <v>131</v>
      </c>
      <c r="I294" s="3" t="s">
        <v>1175</v>
      </c>
      <c r="J294" s="3">
        <v>21</v>
      </c>
      <c r="K294" s="3" t="s">
        <v>1533</v>
      </c>
      <c r="L294" s="3">
        <v>9</v>
      </c>
      <c r="M294" s="3" t="s">
        <v>1152</v>
      </c>
      <c r="N294" s="3" t="s">
        <v>1181</v>
      </c>
      <c r="O294" s="10">
        <v>33175</v>
      </c>
      <c r="P294" s="10">
        <v>44743</v>
      </c>
      <c r="Q294" s="10"/>
      <c r="R294" s="10">
        <v>44743</v>
      </c>
      <c r="S294" s="23">
        <v>2176.61</v>
      </c>
      <c r="T294" s="3">
        <v>61335799</v>
      </c>
      <c r="U294" s="3">
        <v>29010290300228</v>
      </c>
      <c r="V294" s="4" t="s">
        <v>2139</v>
      </c>
      <c r="W294" s="4">
        <v>72247</v>
      </c>
      <c r="X294" s="4" t="s">
        <v>1583</v>
      </c>
      <c r="Z294" s="3">
        <f ca="1">DATEDIF(Table1[[#This Row],[تاريخ الميلاد]],TODAY(),"y")</f>
        <v>35</v>
      </c>
      <c r="AA29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35 عام 9  شهر  22  يوم </v>
      </c>
      <c r="AB29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294" s="10">
        <f>DATE(YEAR(Table1[[#This Row],[تاريخ الميلاد]])+60,MONTH(Table1[[#This Row],[تاريخ الميلاد]]),DAY(Table1[[#This Row],[تاريخ الميلاد]]))</f>
        <v>55090</v>
      </c>
      <c r="AD294" s="14">
        <f>DATE(YEAR(Table1[[#This Row],[معاش 01/01]])-1,MONTH(Table1[[#This Row],[تاريخ بلوغ 60 ]]),DAY(Table1[[#This Row],[تاريخ بلوغ 60 ]]))</f>
        <v>55090</v>
      </c>
      <c r="AE29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55455</v>
      </c>
      <c r="AF294" s="10" t="str">
        <f>IFERROR(IF(ISODD(MID(Table1[[#This Row],[الرقم القومي]],13,1)),"ذكر","انثي"),"")</f>
        <v>انثي</v>
      </c>
      <c r="AG294" s="70" t="s">
        <v>2606</v>
      </c>
      <c r="AH294" s="3">
        <f>IF(MONTH(Table1[[#This Row],[تاريخ بلوغ 60 ]])&lt;&gt;1,1,0)</f>
        <v>1</v>
      </c>
      <c r="AI294" s="3">
        <f>IF(DAY(Table1[[#This Row],[تاريخ بلوغ 60 ]])&lt;&gt;1,1,0)</f>
        <v>1</v>
      </c>
      <c r="AJ294" s="4" t="s">
        <v>465</v>
      </c>
      <c r="AK294" s="4">
        <v>0</v>
      </c>
      <c r="AL294" s="62" t="s">
        <v>2138</v>
      </c>
      <c r="AM294" s="62" t="s">
        <v>2942</v>
      </c>
      <c r="AN294" s="2">
        <v>1</v>
      </c>
      <c r="AO294" s="4" t="s">
        <v>2641</v>
      </c>
      <c r="AP294" s="74">
        <v>254.58</v>
      </c>
      <c r="AQ294" s="4">
        <v>12.5</v>
      </c>
      <c r="AR294" s="4">
        <v>7</v>
      </c>
      <c r="AS294" s="4" t="s">
        <v>2642</v>
      </c>
      <c r="AT294" s="72">
        <v>0</v>
      </c>
      <c r="AU294" s="2">
        <v>9</v>
      </c>
      <c r="AV294" s="4"/>
      <c r="AW294" s="4"/>
      <c r="AX294" s="4"/>
    </row>
    <row r="295" spans="1:50" ht="15" x14ac:dyDescent="0.2">
      <c r="A295" s="3">
        <v>33887</v>
      </c>
      <c r="B295" s="1" t="s">
        <v>468</v>
      </c>
      <c r="C295" s="3">
        <v>1</v>
      </c>
      <c r="D295" s="3" t="s">
        <v>465</v>
      </c>
      <c r="E295" s="3">
        <v>3</v>
      </c>
      <c r="F295" s="3" t="s">
        <v>472</v>
      </c>
      <c r="G295" s="7" t="s">
        <v>245</v>
      </c>
      <c r="H295" s="3">
        <v>104</v>
      </c>
      <c r="I295" s="3" t="s">
        <v>1083</v>
      </c>
      <c r="J295" s="3">
        <v>18</v>
      </c>
      <c r="K295" s="3" t="s">
        <v>1529</v>
      </c>
      <c r="L295" s="3">
        <v>8</v>
      </c>
      <c r="M295" s="3" t="s">
        <v>506</v>
      </c>
      <c r="N295" s="3" t="s">
        <v>1090</v>
      </c>
      <c r="O295" s="10">
        <v>34545</v>
      </c>
      <c r="P295" s="10">
        <v>44743</v>
      </c>
      <c r="Q295" s="10"/>
      <c r="R295" s="10">
        <v>44743</v>
      </c>
      <c r="S295" s="23">
        <v>2282.4499999999998</v>
      </c>
      <c r="T295" s="3">
        <v>71030849</v>
      </c>
      <c r="U295" s="3">
        <v>29407302400581</v>
      </c>
      <c r="V295" s="4" t="s">
        <v>2141</v>
      </c>
      <c r="W295" s="4">
        <v>72323</v>
      </c>
      <c r="X295" s="4" t="s">
        <v>1583</v>
      </c>
      <c r="Y295" s="4">
        <v>2014</v>
      </c>
      <c r="Z295" s="3">
        <f ca="1">DATEDIF(Table1[[#This Row],[تاريخ الميلاد]],TODAY(),"y")</f>
        <v>32</v>
      </c>
      <c r="AA29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32 عام 0  شهر  21  يوم </v>
      </c>
      <c r="AB29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295" s="10">
        <f>DATE(YEAR(Table1[[#This Row],[تاريخ الميلاد]])+60,MONTH(Table1[[#This Row],[تاريخ الميلاد]]),DAY(Table1[[#This Row],[تاريخ الميلاد]]))</f>
        <v>56460</v>
      </c>
      <c r="AD295" s="14">
        <f>DATE(YEAR(Table1[[#This Row],[معاش 01/01]])-1,MONTH(Table1[[#This Row],[تاريخ بلوغ 60 ]]),DAY(Table1[[#This Row],[تاريخ بلوغ 60 ]]))</f>
        <v>56460</v>
      </c>
      <c r="AE29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56825</v>
      </c>
      <c r="AF295" s="10" t="str">
        <f>IFERROR(IF(ISODD(MID(Table1[[#This Row],[الرقم القومي]],13,1)),"ذكر","انثي"),"")</f>
        <v>انثي</v>
      </c>
      <c r="AG295" s="70" t="s">
        <v>2009</v>
      </c>
      <c r="AH295" s="3">
        <f>IF(MONTH(Table1[[#This Row],[تاريخ بلوغ 60 ]])&lt;&gt;1,1,0)</f>
        <v>1</v>
      </c>
      <c r="AI295" s="3">
        <f>IF(DAY(Table1[[#This Row],[تاريخ بلوغ 60 ]])&lt;&gt;1,1,0)</f>
        <v>1</v>
      </c>
      <c r="AJ295" s="4" t="s">
        <v>465</v>
      </c>
      <c r="AK295" s="4">
        <v>0</v>
      </c>
      <c r="AL295" s="62" t="s">
        <v>2140</v>
      </c>
      <c r="AM295" s="62" t="s">
        <v>2943</v>
      </c>
      <c r="AN295" s="2">
        <v>3</v>
      </c>
      <c r="AO295" s="4" t="s">
        <v>2641</v>
      </c>
      <c r="AP295" s="74">
        <v>401.71</v>
      </c>
      <c r="AQ295" s="4">
        <v>18.75</v>
      </c>
      <c r="AR295" s="4">
        <v>7</v>
      </c>
      <c r="AS295" s="4" t="s">
        <v>2642</v>
      </c>
      <c r="AT295" s="72">
        <v>0</v>
      </c>
      <c r="AU295" s="2">
        <v>8</v>
      </c>
      <c r="AV295" s="4"/>
      <c r="AW295" s="4"/>
      <c r="AX295" s="4"/>
    </row>
    <row r="296" spans="1:50" ht="15" x14ac:dyDescent="0.2">
      <c r="A296" s="3">
        <v>33888</v>
      </c>
      <c r="B296" s="1" t="s">
        <v>468</v>
      </c>
      <c r="C296" s="3">
        <v>1</v>
      </c>
      <c r="D296" s="3" t="s">
        <v>465</v>
      </c>
      <c r="E296" s="3">
        <v>3</v>
      </c>
      <c r="F296" s="3" t="s">
        <v>472</v>
      </c>
      <c r="G296" s="7" t="s">
        <v>246</v>
      </c>
      <c r="H296" s="3">
        <v>104</v>
      </c>
      <c r="I296" s="3" t="s">
        <v>1083</v>
      </c>
      <c r="J296" s="3">
        <v>18</v>
      </c>
      <c r="K296" s="3" t="s">
        <v>1529</v>
      </c>
      <c r="L296" s="3">
        <v>8</v>
      </c>
      <c r="M296" s="3" t="s">
        <v>506</v>
      </c>
      <c r="N296" s="3" t="s">
        <v>1090</v>
      </c>
      <c r="O296" s="10">
        <v>33271</v>
      </c>
      <c r="P296" s="10">
        <v>44743</v>
      </c>
      <c r="Q296" s="10"/>
      <c r="R296" s="10">
        <v>44743</v>
      </c>
      <c r="S296" s="23">
        <v>2282.4499999999998</v>
      </c>
      <c r="T296" s="3">
        <v>65965433</v>
      </c>
      <c r="U296" s="3">
        <v>29102020300465</v>
      </c>
      <c r="V296" s="4" t="s">
        <v>2143</v>
      </c>
      <c r="W296" s="4">
        <v>72324</v>
      </c>
      <c r="X296" s="4" t="s">
        <v>1583</v>
      </c>
      <c r="Z296" s="3">
        <f ca="1">DATEDIF(Table1[[#This Row],[تاريخ الميلاد]],TODAY(),"y")</f>
        <v>35</v>
      </c>
      <c r="AA29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35 عام 6  شهر  18  يوم </v>
      </c>
      <c r="AB29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296" s="10">
        <f>DATE(YEAR(Table1[[#This Row],[تاريخ الميلاد]])+60,MONTH(Table1[[#This Row],[تاريخ الميلاد]]),DAY(Table1[[#This Row],[تاريخ الميلاد]]))</f>
        <v>55186</v>
      </c>
      <c r="AD296" s="14">
        <f>DATE(YEAR(Table1[[#This Row],[معاش 01/01]])-1,MONTH(Table1[[#This Row],[تاريخ بلوغ 60 ]]),DAY(Table1[[#This Row],[تاريخ بلوغ 60 ]]))</f>
        <v>55186</v>
      </c>
      <c r="AE29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55551</v>
      </c>
      <c r="AF296" s="10" t="str">
        <f>IFERROR(IF(ISODD(MID(Table1[[#This Row],[الرقم القومي]],13,1)),"ذكر","انثي"),"")</f>
        <v>انثي</v>
      </c>
      <c r="AG296" s="70" t="s">
        <v>2606</v>
      </c>
      <c r="AH296" s="3">
        <f>IF(MONTH(Table1[[#This Row],[تاريخ بلوغ 60 ]])&lt;&gt;1,1,0)</f>
        <v>1</v>
      </c>
      <c r="AI296" s="3">
        <f>IF(DAY(Table1[[#This Row],[تاريخ بلوغ 60 ]])&lt;&gt;1,1,0)</f>
        <v>1</v>
      </c>
      <c r="AJ296" s="4" t="s">
        <v>465</v>
      </c>
      <c r="AK296" s="4">
        <v>0</v>
      </c>
      <c r="AL296" s="62" t="s">
        <v>2142</v>
      </c>
      <c r="AM296" s="62" t="s">
        <v>2944</v>
      </c>
      <c r="AN296" s="2">
        <v>3</v>
      </c>
      <c r="AO296" s="4" t="s">
        <v>2641</v>
      </c>
      <c r="AP296" s="74">
        <v>401.71</v>
      </c>
      <c r="AQ296" s="4">
        <v>18.75</v>
      </c>
      <c r="AR296" s="4">
        <v>7</v>
      </c>
      <c r="AS296" s="4" t="s">
        <v>2642</v>
      </c>
      <c r="AT296" s="72">
        <v>0</v>
      </c>
      <c r="AU296" s="2">
        <v>8</v>
      </c>
      <c r="AV296" s="4"/>
      <c r="AW296" s="4"/>
      <c r="AX296" s="4"/>
    </row>
    <row r="297" spans="1:50" ht="15" x14ac:dyDescent="0.2">
      <c r="A297" s="3">
        <v>33891</v>
      </c>
      <c r="B297" s="1" t="s">
        <v>468</v>
      </c>
      <c r="C297" s="3">
        <v>1</v>
      </c>
      <c r="D297" s="3" t="s">
        <v>465</v>
      </c>
      <c r="E297" s="3">
        <v>3</v>
      </c>
      <c r="F297" s="3" t="s">
        <v>472</v>
      </c>
      <c r="G297" s="7" t="s">
        <v>247</v>
      </c>
      <c r="H297" s="3">
        <v>104</v>
      </c>
      <c r="I297" s="3" t="s">
        <v>1083</v>
      </c>
      <c r="J297" s="3">
        <v>18</v>
      </c>
      <c r="K297" s="3" t="s">
        <v>1529</v>
      </c>
      <c r="L297" s="3">
        <v>8</v>
      </c>
      <c r="M297" s="3" t="s">
        <v>506</v>
      </c>
      <c r="N297" s="3" t="s">
        <v>1090</v>
      </c>
      <c r="O297" s="10">
        <v>32652</v>
      </c>
      <c r="P297" s="10">
        <v>44743</v>
      </c>
      <c r="Q297" s="10"/>
      <c r="R297" s="10">
        <v>44743</v>
      </c>
      <c r="S297" s="23">
        <v>2331.7600000000002</v>
      </c>
      <c r="T297" s="3">
        <v>29355951</v>
      </c>
      <c r="U297" s="3">
        <v>28905240300123</v>
      </c>
      <c r="V297" s="4" t="s">
        <v>2145</v>
      </c>
      <c r="W297" s="4">
        <v>72327</v>
      </c>
      <c r="X297" s="4" t="s">
        <v>1583</v>
      </c>
      <c r="Z297" s="3">
        <f ca="1">DATEDIF(Table1[[#This Row],[تاريخ الميلاد]],TODAY(),"y")</f>
        <v>37</v>
      </c>
      <c r="AA29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2  شهر  27  يوم </v>
      </c>
      <c r="AB29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297" s="10">
        <f>DATE(YEAR(Table1[[#This Row],[تاريخ الميلاد]])+60,MONTH(Table1[[#This Row],[تاريخ الميلاد]]),DAY(Table1[[#This Row],[تاريخ الميلاد]]))</f>
        <v>54567</v>
      </c>
      <c r="AD297" s="14">
        <f>DATE(YEAR(Table1[[#This Row],[معاش 01/01]])-1,MONTH(Table1[[#This Row],[تاريخ بلوغ 60 ]]),DAY(Table1[[#This Row],[تاريخ بلوغ 60 ]]))</f>
        <v>54567</v>
      </c>
      <c r="AE29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54932</v>
      </c>
      <c r="AF297" s="10" t="str">
        <f>IFERROR(IF(ISODD(MID(Table1[[#This Row],[الرقم القومي]],13,1)),"ذكر","انثي"),"")</f>
        <v>انثي</v>
      </c>
      <c r="AG297" s="70" t="s">
        <v>2606</v>
      </c>
      <c r="AH297" s="3">
        <f>IF(MONTH(Table1[[#This Row],[تاريخ بلوغ 60 ]])&lt;&gt;1,1,0)</f>
        <v>1</v>
      </c>
      <c r="AI297" s="3">
        <f>IF(DAY(Table1[[#This Row],[تاريخ بلوغ 60 ]])&lt;&gt;1,1,0)</f>
        <v>1</v>
      </c>
      <c r="AJ297" s="4" t="s">
        <v>465</v>
      </c>
      <c r="AK297" s="4" t="s">
        <v>2730</v>
      </c>
      <c r="AL297" s="62" t="s">
        <v>2144</v>
      </c>
      <c r="AM297" s="62" t="s">
        <v>2945</v>
      </c>
      <c r="AN297" s="2">
        <v>3</v>
      </c>
      <c r="AO297" s="4" t="s">
        <v>2641</v>
      </c>
      <c r="AP297" s="74">
        <v>410.96</v>
      </c>
      <c r="AQ297" s="4">
        <v>18.75</v>
      </c>
      <c r="AR297" s="4">
        <v>7</v>
      </c>
      <c r="AS297" s="4" t="s">
        <v>2642</v>
      </c>
      <c r="AT297" s="72">
        <v>0</v>
      </c>
      <c r="AU297" s="2">
        <v>8</v>
      </c>
      <c r="AV297" s="4"/>
      <c r="AW297" s="4"/>
      <c r="AX297" s="4"/>
    </row>
    <row r="298" spans="1:50" ht="15" x14ac:dyDescent="0.2">
      <c r="A298" s="3">
        <v>33892</v>
      </c>
      <c r="B298" s="1" t="s">
        <v>468</v>
      </c>
      <c r="C298" s="3">
        <v>1</v>
      </c>
      <c r="D298" s="3" t="s">
        <v>465</v>
      </c>
      <c r="E298" s="3">
        <v>3</v>
      </c>
      <c r="F298" s="3" t="s">
        <v>472</v>
      </c>
      <c r="G298" s="7" t="s">
        <v>248</v>
      </c>
      <c r="H298" s="3">
        <v>104</v>
      </c>
      <c r="I298" s="3" t="s">
        <v>1083</v>
      </c>
      <c r="J298" s="3">
        <v>18</v>
      </c>
      <c r="K298" s="3" t="s">
        <v>1529</v>
      </c>
      <c r="L298" s="3">
        <v>8</v>
      </c>
      <c r="M298" s="3" t="s">
        <v>506</v>
      </c>
      <c r="N298" s="3" t="s">
        <v>1090</v>
      </c>
      <c r="O298" s="10">
        <v>33733</v>
      </c>
      <c r="P298" s="10">
        <v>44743</v>
      </c>
      <c r="Q298" s="10"/>
      <c r="R298" s="10">
        <v>44743</v>
      </c>
      <c r="S298" s="23">
        <v>2282.4499999999998</v>
      </c>
      <c r="T298" s="3">
        <v>68238184</v>
      </c>
      <c r="U298" s="3">
        <v>29205091501309</v>
      </c>
      <c r="V298" s="4" t="s">
        <v>2147</v>
      </c>
      <c r="W298" s="4">
        <v>72328</v>
      </c>
      <c r="X298" s="4" t="s">
        <v>1583</v>
      </c>
      <c r="Y298" s="4">
        <v>2012</v>
      </c>
      <c r="Z298" s="3">
        <f ca="1">DATEDIF(Table1[[#This Row],[تاريخ الميلاد]],TODAY(),"y")</f>
        <v>34</v>
      </c>
      <c r="AA29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34 عام 3  شهر  11  يوم </v>
      </c>
      <c r="AB29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298" s="10">
        <f>DATE(YEAR(Table1[[#This Row],[تاريخ الميلاد]])+60,MONTH(Table1[[#This Row],[تاريخ الميلاد]]),DAY(Table1[[#This Row],[تاريخ الميلاد]]))</f>
        <v>55648</v>
      </c>
      <c r="AD298" s="14">
        <f>DATE(YEAR(Table1[[#This Row],[معاش 01/01]])-1,MONTH(Table1[[#This Row],[تاريخ بلوغ 60 ]]),DAY(Table1[[#This Row],[تاريخ بلوغ 60 ]]))</f>
        <v>55648</v>
      </c>
      <c r="AE29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56013</v>
      </c>
      <c r="AF298" s="10" t="str">
        <f>IFERROR(IF(ISODD(MID(Table1[[#This Row],[الرقم القومي]],13,1)),"ذكر","انثي"),"")</f>
        <v>انثي</v>
      </c>
      <c r="AG298" s="70" t="s">
        <v>2612</v>
      </c>
      <c r="AH298" s="3">
        <f>IF(MONTH(Table1[[#This Row],[تاريخ بلوغ 60 ]])&lt;&gt;1,1,0)</f>
        <v>1</v>
      </c>
      <c r="AI298" s="3">
        <f>IF(DAY(Table1[[#This Row],[تاريخ بلوغ 60 ]])&lt;&gt;1,1,0)</f>
        <v>1</v>
      </c>
      <c r="AJ298" s="4" t="s">
        <v>465</v>
      </c>
      <c r="AK298" s="4">
        <v>0</v>
      </c>
      <c r="AL298" s="62" t="s">
        <v>2146</v>
      </c>
      <c r="AM298" s="62" t="s">
        <v>2946</v>
      </c>
      <c r="AN298" s="2">
        <v>3</v>
      </c>
      <c r="AO298" s="4" t="s">
        <v>2641</v>
      </c>
      <c r="AP298" s="74">
        <v>401.71</v>
      </c>
      <c r="AQ298" s="4">
        <v>18.75</v>
      </c>
      <c r="AR298" s="4">
        <v>1</v>
      </c>
      <c r="AS298" s="4" t="s">
        <v>2635</v>
      </c>
      <c r="AT298" s="72">
        <v>2</v>
      </c>
      <c r="AU298" s="2">
        <v>8</v>
      </c>
      <c r="AV298" s="4"/>
      <c r="AW298" s="4"/>
      <c r="AX298" s="4"/>
    </row>
    <row r="299" spans="1:50" ht="15" x14ac:dyDescent="0.2">
      <c r="A299" s="3">
        <v>33893</v>
      </c>
      <c r="B299" s="1" t="s">
        <v>468</v>
      </c>
      <c r="C299" s="3">
        <v>1</v>
      </c>
      <c r="D299" s="3" t="s">
        <v>465</v>
      </c>
      <c r="E299" s="3">
        <v>3</v>
      </c>
      <c r="F299" s="3" t="s">
        <v>472</v>
      </c>
      <c r="G299" s="7" t="s">
        <v>249</v>
      </c>
      <c r="H299" s="3">
        <v>104</v>
      </c>
      <c r="I299" s="3" t="s">
        <v>1083</v>
      </c>
      <c r="J299" s="3">
        <v>18</v>
      </c>
      <c r="K299" s="3" t="s">
        <v>1529</v>
      </c>
      <c r="L299" s="3">
        <v>8</v>
      </c>
      <c r="M299" s="3" t="s">
        <v>506</v>
      </c>
      <c r="N299" s="3" t="s">
        <v>1090</v>
      </c>
      <c r="O299" s="10">
        <v>33354</v>
      </c>
      <c r="P299" s="10">
        <v>44743</v>
      </c>
      <c r="Q299" s="10"/>
      <c r="R299" s="10">
        <v>44743</v>
      </c>
      <c r="S299" s="23">
        <v>2331.7600000000002</v>
      </c>
      <c r="T299" s="3">
        <v>63457438</v>
      </c>
      <c r="U299" s="3">
        <v>29104261200421</v>
      </c>
      <c r="V299" s="4" t="s">
        <v>2149</v>
      </c>
      <c r="W299" s="4">
        <v>72329</v>
      </c>
      <c r="X299" s="4" t="s">
        <v>1583</v>
      </c>
      <c r="Y299" s="4">
        <v>2010</v>
      </c>
      <c r="Z299" s="3">
        <f ca="1">DATEDIF(Table1[[#This Row],[تاريخ الميلاد]],TODAY(),"y")</f>
        <v>35</v>
      </c>
      <c r="AA29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35 عام 3  شهر  25  يوم </v>
      </c>
      <c r="AB29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299" s="10">
        <f>DATE(YEAR(Table1[[#This Row],[تاريخ الميلاد]])+60,MONTH(Table1[[#This Row],[تاريخ الميلاد]]),DAY(Table1[[#This Row],[تاريخ الميلاد]]))</f>
        <v>55269</v>
      </c>
      <c r="AD299" s="14">
        <f>DATE(YEAR(Table1[[#This Row],[معاش 01/01]])-1,MONTH(Table1[[#This Row],[تاريخ بلوغ 60 ]]),DAY(Table1[[#This Row],[تاريخ بلوغ 60 ]]))</f>
        <v>55269</v>
      </c>
      <c r="AE29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55635</v>
      </c>
      <c r="AF299" s="10" t="str">
        <f>IFERROR(IF(ISODD(MID(Table1[[#This Row],[الرقم القومي]],13,1)),"ذكر","انثي"),"")</f>
        <v>انثي</v>
      </c>
      <c r="AG299" s="70" t="s">
        <v>1635</v>
      </c>
      <c r="AH299" s="3">
        <f>IF(MONTH(Table1[[#This Row],[تاريخ بلوغ 60 ]])&lt;&gt;1,1,0)</f>
        <v>1</v>
      </c>
      <c r="AI299" s="3">
        <f>IF(DAY(Table1[[#This Row],[تاريخ بلوغ 60 ]])&lt;&gt;1,1,0)</f>
        <v>1</v>
      </c>
      <c r="AJ299" s="4" t="s">
        <v>465</v>
      </c>
      <c r="AK299" s="4" t="s">
        <v>2689</v>
      </c>
      <c r="AL299" s="62" t="s">
        <v>2148</v>
      </c>
      <c r="AM299" s="62" t="s">
        <v>2947</v>
      </c>
      <c r="AN299" s="2">
        <v>3</v>
      </c>
      <c r="AO299" s="4" t="s">
        <v>2641</v>
      </c>
      <c r="AP299" s="74">
        <v>410.96</v>
      </c>
      <c r="AQ299" s="4">
        <v>18.75</v>
      </c>
      <c r="AR299" s="4">
        <v>1</v>
      </c>
      <c r="AS299" s="4" t="s">
        <v>2635</v>
      </c>
      <c r="AT299" s="72">
        <v>2</v>
      </c>
      <c r="AU299" s="2">
        <v>8</v>
      </c>
      <c r="AV299" s="4"/>
      <c r="AW299" s="4"/>
      <c r="AX299" s="4"/>
    </row>
    <row r="300" spans="1:50" ht="15" x14ac:dyDescent="0.2">
      <c r="A300" s="3">
        <v>33896</v>
      </c>
      <c r="B300" s="1" t="s">
        <v>468</v>
      </c>
      <c r="C300" s="3">
        <v>1</v>
      </c>
      <c r="D300" s="3" t="s">
        <v>465</v>
      </c>
      <c r="E300" s="3">
        <v>3</v>
      </c>
      <c r="F300" s="3" t="s">
        <v>472</v>
      </c>
      <c r="G300" s="7" t="s">
        <v>250</v>
      </c>
      <c r="H300" s="3">
        <v>208</v>
      </c>
      <c r="I300" s="3" t="s">
        <v>1503</v>
      </c>
      <c r="J300" s="3">
        <v>18</v>
      </c>
      <c r="K300" s="3" t="s">
        <v>1529</v>
      </c>
      <c r="L300" s="3">
        <v>8</v>
      </c>
      <c r="M300" s="3" t="s">
        <v>506</v>
      </c>
      <c r="N300" s="3" t="s">
        <v>1503</v>
      </c>
      <c r="O300" s="10">
        <v>32166</v>
      </c>
      <c r="P300" s="10">
        <v>44743</v>
      </c>
      <c r="Q300" s="10"/>
      <c r="R300" s="10">
        <v>44743</v>
      </c>
      <c r="S300" s="23">
        <v>2282.4499999999998</v>
      </c>
      <c r="T300" s="3">
        <v>62151290</v>
      </c>
      <c r="U300" s="3">
        <v>28801241301115</v>
      </c>
      <c r="V300" s="4" t="s">
        <v>2151</v>
      </c>
      <c r="W300" s="4">
        <v>72602</v>
      </c>
      <c r="X300" s="4" t="s">
        <v>1583</v>
      </c>
      <c r="Y300" s="4">
        <v>2007</v>
      </c>
      <c r="Z300" s="3">
        <f ca="1">DATEDIF(Table1[[#This Row],[تاريخ الميلاد]],TODAY(),"y")</f>
        <v>38</v>
      </c>
      <c r="AA30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6  شهر  27  يوم </v>
      </c>
      <c r="AB30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00" s="10">
        <f>DATE(YEAR(Table1[[#This Row],[تاريخ الميلاد]])+60,MONTH(Table1[[#This Row],[تاريخ الميلاد]]),DAY(Table1[[#This Row],[تاريخ الميلاد]]))</f>
        <v>54081</v>
      </c>
      <c r="AD300" s="14">
        <f>DATE(YEAR(Table1[[#This Row],[معاش 01/01]])-1,MONTH(Table1[[#This Row],[تاريخ بلوغ 60 ]]),DAY(Table1[[#This Row],[تاريخ بلوغ 60 ]]))</f>
        <v>54081</v>
      </c>
      <c r="AE30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54447</v>
      </c>
      <c r="AF300" s="10" t="str">
        <f>IFERROR(IF(ISODD(MID(Table1[[#This Row],[الرقم القومي]],13,1)),"ذكر","انثي"),"")</f>
        <v>ذكر</v>
      </c>
      <c r="AG300" s="70" t="s">
        <v>2610</v>
      </c>
      <c r="AH300" s="3">
        <f>IF(MONTH(Table1[[#This Row],[تاريخ بلوغ 60 ]])&lt;&gt;1,1,0)</f>
        <v>0</v>
      </c>
      <c r="AI300" s="3">
        <f>IF(DAY(Table1[[#This Row],[تاريخ بلوغ 60 ]])&lt;&gt;1,1,0)</f>
        <v>1</v>
      </c>
      <c r="AJ300" s="4" t="s">
        <v>1719</v>
      </c>
      <c r="AK300" s="4">
        <v>0</v>
      </c>
      <c r="AL300" s="62" t="s">
        <v>2150</v>
      </c>
      <c r="AM300" s="62" t="s">
        <v>2948</v>
      </c>
      <c r="AN300" s="2">
        <v>3</v>
      </c>
      <c r="AO300" s="4" t="s">
        <v>2641</v>
      </c>
      <c r="AP300" s="74">
        <v>401.71</v>
      </c>
      <c r="AQ300" s="4">
        <v>18.75</v>
      </c>
      <c r="AR300" s="4">
        <v>3</v>
      </c>
      <c r="AS300" s="4" t="s">
        <v>2668</v>
      </c>
      <c r="AT300" s="72">
        <v>6</v>
      </c>
      <c r="AU300" s="2">
        <v>8</v>
      </c>
      <c r="AV300" s="4"/>
      <c r="AW300" s="4"/>
      <c r="AX300" s="4"/>
    </row>
    <row r="301" spans="1:50" ht="15" x14ac:dyDescent="0.2">
      <c r="A301" s="3">
        <v>33897</v>
      </c>
      <c r="B301" s="1" t="s">
        <v>468</v>
      </c>
      <c r="C301" s="3">
        <v>1</v>
      </c>
      <c r="D301" s="3" t="s">
        <v>465</v>
      </c>
      <c r="E301" s="3">
        <v>3</v>
      </c>
      <c r="F301" s="3" t="s">
        <v>472</v>
      </c>
      <c r="G301" s="7" t="s">
        <v>251</v>
      </c>
      <c r="H301" s="3">
        <v>104</v>
      </c>
      <c r="I301" s="3" t="s">
        <v>1083</v>
      </c>
      <c r="J301" s="3">
        <v>18</v>
      </c>
      <c r="K301" s="3" t="s">
        <v>1529</v>
      </c>
      <c r="L301" s="3">
        <v>8</v>
      </c>
      <c r="M301" s="3" t="s">
        <v>506</v>
      </c>
      <c r="N301" s="3" t="s">
        <v>1090</v>
      </c>
      <c r="O301" s="10">
        <v>33091</v>
      </c>
      <c r="P301" s="10">
        <v>44743</v>
      </c>
      <c r="Q301" s="10"/>
      <c r="R301" s="10">
        <v>44743</v>
      </c>
      <c r="S301" s="23">
        <v>2282.4499999999998</v>
      </c>
      <c r="T301" s="3">
        <v>41075991</v>
      </c>
      <c r="U301" s="3">
        <v>29008060300241</v>
      </c>
      <c r="V301" s="4" t="s">
        <v>2153</v>
      </c>
      <c r="W301" s="4">
        <v>72331</v>
      </c>
      <c r="X301" s="4" t="s">
        <v>1583</v>
      </c>
      <c r="Y301" s="4">
        <v>2007</v>
      </c>
      <c r="Z301" s="3">
        <f ca="1">DATEDIF(Table1[[#This Row],[تاريخ الميلاد]],TODAY(),"y")</f>
        <v>36</v>
      </c>
      <c r="AA30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36 عام 0  شهر  14  يوم </v>
      </c>
      <c r="AB30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01" s="10">
        <f>DATE(YEAR(Table1[[#This Row],[تاريخ الميلاد]])+60,MONTH(Table1[[#This Row],[تاريخ الميلاد]]),DAY(Table1[[#This Row],[تاريخ الميلاد]]))</f>
        <v>55006</v>
      </c>
      <c r="AD301" s="14">
        <f>DATE(YEAR(Table1[[#This Row],[معاش 01/01]])-1,MONTH(Table1[[#This Row],[تاريخ بلوغ 60 ]]),DAY(Table1[[#This Row],[تاريخ بلوغ 60 ]]))</f>
        <v>55006</v>
      </c>
      <c r="AE30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55371</v>
      </c>
      <c r="AF301" s="10" t="str">
        <f>IFERROR(IF(ISODD(MID(Table1[[#This Row],[الرقم القومي]],13,1)),"ذكر","انثي"),"")</f>
        <v>انثي</v>
      </c>
      <c r="AG301" s="70" t="s">
        <v>2606</v>
      </c>
      <c r="AH301" s="3">
        <f>IF(MONTH(Table1[[#This Row],[تاريخ بلوغ 60 ]])&lt;&gt;1,1,0)</f>
        <v>1</v>
      </c>
      <c r="AI301" s="3">
        <f>IF(DAY(Table1[[#This Row],[تاريخ بلوغ 60 ]])&lt;&gt;1,1,0)</f>
        <v>1</v>
      </c>
      <c r="AJ301" s="4" t="s">
        <v>465</v>
      </c>
      <c r="AK301" s="4">
        <v>0</v>
      </c>
      <c r="AL301" s="62" t="s">
        <v>2152</v>
      </c>
      <c r="AM301" s="62" t="s">
        <v>2949</v>
      </c>
      <c r="AN301" s="2">
        <v>3</v>
      </c>
      <c r="AO301" s="4" t="s">
        <v>2641</v>
      </c>
      <c r="AP301" s="74">
        <v>401.71</v>
      </c>
      <c r="AQ301" s="4">
        <v>18.75</v>
      </c>
      <c r="AR301" s="4">
        <v>0</v>
      </c>
      <c r="AS301" s="4" t="s">
        <v>2645</v>
      </c>
      <c r="AT301" s="72">
        <v>0</v>
      </c>
      <c r="AU301" s="2">
        <v>8</v>
      </c>
      <c r="AV301" s="4"/>
      <c r="AW301" s="4"/>
      <c r="AX301" s="4"/>
    </row>
    <row r="302" spans="1:50" ht="15" x14ac:dyDescent="0.2">
      <c r="A302" s="3">
        <v>33901</v>
      </c>
      <c r="B302" s="1" t="s">
        <v>468</v>
      </c>
      <c r="C302" s="3">
        <v>1</v>
      </c>
      <c r="D302" s="3" t="s">
        <v>465</v>
      </c>
      <c r="E302" s="3">
        <v>3</v>
      </c>
      <c r="F302" s="3" t="s">
        <v>472</v>
      </c>
      <c r="G302" s="7" t="s">
        <v>252</v>
      </c>
      <c r="H302" s="3">
        <v>104</v>
      </c>
      <c r="I302" s="3" t="s">
        <v>1083</v>
      </c>
      <c r="J302" s="3">
        <v>18</v>
      </c>
      <c r="K302" s="3" t="s">
        <v>1529</v>
      </c>
      <c r="L302" s="3">
        <v>8</v>
      </c>
      <c r="M302" s="3" t="s">
        <v>506</v>
      </c>
      <c r="N302" s="3" t="s">
        <v>1090</v>
      </c>
      <c r="O302" s="10">
        <v>33742</v>
      </c>
      <c r="P302" s="10">
        <v>44743</v>
      </c>
      <c r="Q302" s="10"/>
      <c r="R302" s="10">
        <v>44743</v>
      </c>
      <c r="S302" s="23">
        <v>2282.4499999999998</v>
      </c>
      <c r="T302" s="3">
        <v>70019574</v>
      </c>
      <c r="U302" s="3">
        <v>29205180300104</v>
      </c>
      <c r="V302" s="4" t="s">
        <v>2155</v>
      </c>
      <c r="W302" s="4">
        <v>72335</v>
      </c>
      <c r="X302" s="4" t="s">
        <v>1583</v>
      </c>
      <c r="Y302" s="4">
        <v>2013</v>
      </c>
      <c r="Z302" s="3">
        <f ca="1">DATEDIF(Table1[[#This Row],[تاريخ الميلاد]],TODAY(),"y")</f>
        <v>34</v>
      </c>
      <c r="AA30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34 عام 3  شهر  2  يوم </v>
      </c>
      <c r="AB30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02" s="10">
        <f>DATE(YEAR(Table1[[#This Row],[تاريخ الميلاد]])+60,MONTH(Table1[[#This Row],[تاريخ الميلاد]]),DAY(Table1[[#This Row],[تاريخ الميلاد]]))</f>
        <v>55657</v>
      </c>
      <c r="AD302" s="14">
        <f>DATE(YEAR(Table1[[#This Row],[معاش 01/01]])-1,MONTH(Table1[[#This Row],[تاريخ بلوغ 60 ]]),DAY(Table1[[#This Row],[تاريخ بلوغ 60 ]]))</f>
        <v>55657</v>
      </c>
      <c r="AE30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56022</v>
      </c>
      <c r="AF302" s="10" t="str">
        <f>IFERROR(IF(ISODD(MID(Table1[[#This Row],[الرقم القومي]],13,1)),"ذكر","انثي"),"")</f>
        <v>انثي</v>
      </c>
      <c r="AG302" s="70" t="s">
        <v>2606</v>
      </c>
      <c r="AH302" s="3">
        <f>IF(MONTH(Table1[[#This Row],[تاريخ بلوغ 60 ]])&lt;&gt;1,1,0)</f>
        <v>1</v>
      </c>
      <c r="AI302" s="3">
        <f>IF(DAY(Table1[[#This Row],[تاريخ بلوغ 60 ]])&lt;&gt;1,1,0)</f>
        <v>1</v>
      </c>
      <c r="AJ302" s="4" t="s">
        <v>465</v>
      </c>
      <c r="AK302" s="4">
        <v>0</v>
      </c>
      <c r="AL302" s="62" t="s">
        <v>2154</v>
      </c>
      <c r="AM302" s="62" t="s">
        <v>2950</v>
      </c>
      <c r="AN302" s="2">
        <v>3</v>
      </c>
      <c r="AO302" s="4" t="s">
        <v>2641</v>
      </c>
      <c r="AP302" s="74">
        <v>401.71</v>
      </c>
      <c r="AQ302" s="4">
        <v>18.75</v>
      </c>
      <c r="AR302" s="4">
        <v>7</v>
      </c>
      <c r="AS302" s="4" t="s">
        <v>2642</v>
      </c>
      <c r="AT302" s="72">
        <v>0</v>
      </c>
      <c r="AU302" s="2">
        <v>8</v>
      </c>
      <c r="AV302" s="4"/>
      <c r="AW302" s="4"/>
      <c r="AX302" s="4"/>
    </row>
    <row r="303" spans="1:50" ht="15" x14ac:dyDescent="0.2">
      <c r="A303" s="3">
        <v>33904</v>
      </c>
      <c r="B303" s="1" t="s">
        <v>468</v>
      </c>
      <c r="C303" s="3">
        <v>1</v>
      </c>
      <c r="D303" s="3" t="s">
        <v>465</v>
      </c>
      <c r="E303" s="3">
        <v>3</v>
      </c>
      <c r="F303" s="3" t="s">
        <v>472</v>
      </c>
      <c r="G303" s="7" t="s">
        <v>253</v>
      </c>
      <c r="H303" s="3">
        <v>104</v>
      </c>
      <c r="I303" s="3" t="s">
        <v>1083</v>
      </c>
      <c r="J303" s="3">
        <v>18</v>
      </c>
      <c r="K303" s="3" t="s">
        <v>1529</v>
      </c>
      <c r="L303" s="3">
        <v>8</v>
      </c>
      <c r="M303" s="3" t="s">
        <v>506</v>
      </c>
      <c r="N303" s="3" t="s">
        <v>1090</v>
      </c>
      <c r="O303" s="10">
        <v>33478</v>
      </c>
      <c r="P303" s="10">
        <v>44743</v>
      </c>
      <c r="Q303" s="10"/>
      <c r="R303" s="10">
        <v>44743</v>
      </c>
      <c r="S303" s="23">
        <v>2282.4499999999998</v>
      </c>
      <c r="T303" s="3">
        <v>63190668</v>
      </c>
      <c r="U303" s="3">
        <v>29108288800582</v>
      </c>
      <c r="V303" s="4" t="s">
        <v>2157</v>
      </c>
      <c r="W303" s="4">
        <v>72338</v>
      </c>
      <c r="X303" s="4" t="s">
        <v>1583</v>
      </c>
      <c r="Y303" s="4">
        <v>2008</v>
      </c>
      <c r="Z303" s="3">
        <f ca="1">DATEDIF(Table1[[#This Row],[تاريخ الميلاد]],TODAY(),"y")</f>
        <v>34</v>
      </c>
      <c r="AA30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34 عام 11  شهر  23  يوم </v>
      </c>
      <c r="AB30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03" s="10">
        <f>DATE(YEAR(Table1[[#This Row],[تاريخ الميلاد]])+60,MONTH(Table1[[#This Row],[تاريخ الميلاد]]),DAY(Table1[[#This Row],[تاريخ الميلاد]]))</f>
        <v>55393</v>
      </c>
      <c r="AD303" s="14">
        <f>DATE(YEAR(Table1[[#This Row],[معاش 01/01]])-1,MONTH(Table1[[#This Row],[تاريخ بلوغ 60 ]]),DAY(Table1[[#This Row],[تاريخ بلوغ 60 ]]))</f>
        <v>55393</v>
      </c>
      <c r="AE30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55759</v>
      </c>
      <c r="AF303" s="10" t="str">
        <f>IFERROR(IF(ISODD(MID(Table1[[#This Row],[الرقم القومي]],13,1)),"ذكر","انثي"),"")</f>
        <v>انثي</v>
      </c>
      <c r="AG303" s="70"/>
      <c r="AH303" s="3">
        <f>IF(MONTH(Table1[[#This Row],[تاريخ بلوغ 60 ]])&lt;&gt;1,1,0)</f>
        <v>1</v>
      </c>
      <c r="AI303" s="3">
        <f>IF(DAY(Table1[[#This Row],[تاريخ بلوغ 60 ]])&lt;&gt;1,1,0)</f>
        <v>1</v>
      </c>
      <c r="AJ303" s="4" t="s">
        <v>465</v>
      </c>
      <c r="AK303" s="4" t="s">
        <v>2636</v>
      </c>
      <c r="AL303" s="62" t="s">
        <v>2156</v>
      </c>
      <c r="AM303" s="62" t="s">
        <v>2951</v>
      </c>
      <c r="AN303" s="2">
        <v>3</v>
      </c>
      <c r="AO303" s="4" t="s">
        <v>2641</v>
      </c>
      <c r="AP303" s="74">
        <v>401.71</v>
      </c>
      <c r="AQ303" s="4">
        <v>18.75</v>
      </c>
      <c r="AR303" s="4">
        <v>1</v>
      </c>
      <c r="AS303" s="4" t="s">
        <v>2635</v>
      </c>
      <c r="AT303" s="72">
        <v>2</v>
      </c>
      <c r="AU303" s="2">
        <v>8</v>
      </c>
      <c r="AV303" s="4"/>
      <c r="AW303" s="4"/>
      <c r="AX303" s="4"/>
    </row>
    <row r="304" spans="1:50" ht="15" x14ac:dyDescent="0.2">
      <c r="A304" s="3">
        <v>33906</v>
      </c>
      <c r="B304" s="1" t="s">
        <v>468</v>
      </c>
      <c r="C304" s="3">
        <v>1</v>
      </c>
      <c r="D304" s="3" t="s">
        <v>465</v>
      </c>
      <c r="E304" s="3">
        <v>3</v>
      </c>
      <c r="F304" s="3" t="s">
        <v>472</v>
      </c>
      <c r="G304" s="7" t="s">
        <v>254</v>
      </c>
      <c r="H304" s="3">
        <v>104</v>
      </c>
      <c r="I304" s="3" t="s">
        <v>1083</v>
      </c>
      <c r="J304" s="3">
        <v>18</v>
      </c>
      <c r="K304" s="3" t="s">
        <v>1529</v>
      </c>
      <c r="L304" s="3">
        <v>8</v>
      </c>
      <c r="M304" s="3" t="s">
        <v>506</v>
      </c>
      <c r="N304" s="3" t="s">
        <v>1090</v>
      </c>
      <c r="O304" s="10">
        <v>34079</v>
      </c>
      <c r="P304" s="10">
        <v>44743</v>
      </c>
      <c r="Q304" s="10"/>
      <c r="R304" s="10">
        <v>44743</v>
      </c>
      <c r="S304" s="23">
        <v>2282.4499999999998</v>
      </c>
      <c r="T304" s="3">
        <v>77063879</v>
      </c>
      <c r="U304" s="3">
        <v>29304201204907</v>
      </c>
      <c r="V304" s="4" t="s">
        <v>2159</v>
      </c>
      <c r="W304" s="4">
        <v>72340</v>
      </c>
      <c r="X304" s="4" t="s">
        <v>1583</v>
      </c>
      <c r="Y304" s="4">
        <v>2013</v>
      </c>
      <c r="Z304" s="3">
        <f ca="1">DATEDIF(Table1[[#This Row],[تاريخ الميلاد]],TODAY(),"y")</f>
        <v>33</v>
      </c>
      <c r="AA30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33 عام 4  شهر  0  يوم </v>
      </c>
      <c r="AB30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04" s="10">
        <f>DATE(YEAR(Table1[[#This Row],[تاريخ الميلاد]])+60,MONTH(Table1[[#This Row],[تاريخ الميلاد]]),DAY(Table1[[#This Row],[تاريخ الميلاد]]))</f>
        <v>55994</v>
      </c>
      <c r="AD304" s="14">
        <f>DATE(YEAR(Table1[[#This Row],[معاش 01/01]])-1,MONTH(Table1[[#This Row],[تاريخ بلوغ 60 ]]),DAY(Table1[[#This Row],[تاريخ بلوغ 60 ]]))</f>
        <v>55994</v>
      </c>
      <c r="AE30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56359</v>
      </c>
      <c r="AF304" s="10" t="str">
        <f>IFERROR(IF(ISODD(MID(Table1[[#This Row],[الرقم القومي]],13,1)),"ذكر","انثي"),"")</f>
        <v>انثي</v>
      </c>
      <c r="AG304" s="70" t="s">
        <v>1635</v>
      </c>
      <c r="AH304" s="3">
        <f>IF(MONTH(Table1[[#This Row],[تاريخ بلوغ 60 ]])&lt;&gt;1,1,0)</f>
        <v>1</v>
      </c>
      <c r="AI304" s="3">
        <f>IF(DAY(Table1[[#This Row],[تاريخ بلوغ 60 ]])&lt;&gt;1,1,0)</f>
        <v>1</v>
      </c>
      <c r="AJ304" s="4" t="s">
        <v>465</v>
      </c>
      <c r="AK304" s="4">
        <v>0</v>
      </c>
      <c r="AL304" s="62" t="s">
        <v>2158</v>
      </c>
      <c r="AM304" s="62" t="s">
        <v>2952</v>
      </c>
      <c r="AN304" s="2">
        <v>3</v>
      </c>
      <c r="AO304" s="4" t="s">
        <v>2641</v>
      </c>
      <c r="AP304" s="74">
        <v>401.71</v>
      </c>
      <c r="AQ304" s="4">
        <v>18.75</v>
      </c>
      <c r="AR304" s="4">
        <v>1</v>
      </c>
      <c r="AS304" s="4" t="s">
        <v>2635</v>
      </c>
      <c r="AT304" s="72">
        <v>2</v>
      </c>
      <c r="AU304" s="2">
        <v>8</v>
      </c>
      <c r="AV304" s="4"/>
      <c r="AW304" s="4"/>
      <c r="AX304" s="4"/>
    </row>
    <row r="305" spans="1:50" ht="15" x14ac:dyDescent="0.2">
      <c r="A305" s="3">
        <v>33908</v>
      </c>
      <c r="B305" s="1" t="s">
        <v>468</v>
      </c>
      <c r="C305" s="3">
        <v>1</v>
      </c>
      <c r="D305" s="3" t="s">
        <v>465</v>
      </c>
      <c r="E305" s="3">
        <v>3</v>
      </c>
      <c r="F305" s="3" t="s">
        <v>472</v>
      </c>
      <c r="G305" s="7" t="s">
        <v>255</v>
      </c>
      <c r="H305" s="3">
        <v>104</v>
      </c>
      <c r="I305" s="3" t="s">
        <v>1083</v>
      </c>
      <c r="J305" s="3">
        <v>18</v>
      </c>
      <c r="K305" s="3" t="s">
        <v>1529</v>
      </c>
      <c r="L305" s="3">
        <v>8</v>
      </c>
      <c r="M305" s="3" t="s">
        <v>506</v>
      </c>
      <c r="N305" s="3" t="s">
        <v>1090</v>
      </c>
      <c r="O305" s="10">
        <v>33646</v>
      </c>
      <c r="P305" s="10">
        <v>44743</v>
      </c>
      <c r="Q305" s="10"/>
      <c r="R305" s="10">
        <v>44743</v>
      </c>
      <c r="S305" s="23">
        <v>2282.4499999999998</v>
      </c>
      <c r="T305" s="3">
        <v>67310325</v>
      </c>
      <c r="U305" s="3">
        <v>29202120300122</v>
      </c>
      <c r="V305" s="4" t="s">
        <v>2161</v>
      </c>
      <c r="W305" s="4">
        <v>72342</v>
      </c>
      <c r="X305" s="4" t="s">
        <v>1583</v>
      </c>
      <c r="Y305" s="4">
        <v>2011</v>
      </c>
      <c r="Z305" s="3">
        <f ca="1">DATEDIF(Table1[[#This Row],[تاريخ الميلاد]],TODAY(),"y")</f>
        <v>34</v>
      </c>
      <c r="AA30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34 عام 6  شهر  8  يوم </v>
      </c>
      <c r="AB30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05" s="10">
        <f>DATE(YEAR(Table1[[#This Row],[تاريخ الميلاد]])+60,MONTH(Table1[[#This Row],[تاريخ الميلاد]]),DAY(Table1[[#This Row],[تاريخ الميلاد]]))</f>
        <v>55561</v>
      </c>
      <c r="AD305" s="14">
        <f>DATE(YEAR(Table1[[#This Row],[معاش 01/01]])-1,MONTH(Table1[[#This Row],[تاريخ بلوغ 60 ]]),DAY(Table1[[#This Row],[تاريخ بلوغ 60 ]]))</f>
        <v>55561</v>
      </c>
      <c r="AE30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55927</v>
      </c>
      <c r="AF305" s="10" t="str">
        <f>IFERROR(IF(ISODD(MID(Table1[[#This Row],[الرقم القومي]],13,1)),"ذكر","انثي"),"")</f>
        <v>انثي</v>
      </c>
      <c r="AG305" s="70" t="s">
        <v>2606</v>
      </c>
      <c r="AH305" s="3">
        <f>IF(MONTH(Table1[[#This Row],[تاريخ بلوغ 60 ]])&lt;&gt;1,1,0)</f>
        <v>1</v>
      </c>
      <c r="AI305" s="3">
        <f>IF(DAY(Table1[[#This Row],[تاريخ بلوغ 60 ]])&lt;&gt;1,1,0)</f>
        <v>1</v>
      </c>
      <c r="AJ305" s="4" t="s">
        <v>465</v>
      </c>
      <c r="AK305" s="4" t="s">
        <v>2666</v>
      </c>
      <c r="AL305" s="62" t="s">
        <v>2160</v>
      </c>
      <c r="AM305" s="62" t="s">
        <v>2953</v>
      </c>
      <c r="AN305" s="2">
        <v>3</v>
      </c>
      <c r="AO305" s="4" t="s">
        <v>2641</v>
      </c>
      <c r="AP305" s="74">
        <v>401.71</v>
      </c>
      <c r="AQ305" s="4">
        <v>18.75</v>
      </c>
      <c r="AR305" s="4">
        <v>1</v>
      </c>
      <c r="AS305" s="4" t="s">
        <v>2635</v>
      </c>
      <c r="AT305" s="72">
        <v>2</v>
      </c>
      <c r="AU305" s="2">
        <v>8</v>
      </c>
      <c r="AV305" s="4"/>
      <c r="AW305" s="4"/>
      <c r="AX305" s="4"/>
    </row>
    <row r="306" spans="1:50" ht="15" x14ac:dyDescent="0.2">
      <c r="A306" s="3">
        <v>33910</v>
      </c>
      <c r="B306" s="1" t="s">
        <v>468</v>
      </c>
      <c r="C306" s="3">
        <v>1</v>
      </c>
      <c r="D306" s="3" t="s">
        <v>465</v>
      </c>
      <c r="E306" s="3">
        <v>3</v>
      </c>
      <c r="F306" s="3" t="s">
        <v>472</v>
      </c>
      <c r="G306" s="7" t="s">
        <v>256</v>
      </c>
      <c r="H306" s="3">
        <v>104</v>
      </c>
      <c r="I306" s="3" t="s">
        <v>1083</v>
      </c>
      <c r="J306" s="3">
        <v>18</v>
      </c>
      <c r="K306" s="3" t="s">
        <v>1529</v>
      </c>
      <c r="L306" s="3">
        <v>8</v>
      </c>
      <c r="M306" s="3" t="s">
        <v>506</v>
      </c>
      <c r="N306" s="3" t="s">
        <v>1090</v>
      </c>
      <c r="O306" s="10">
        <v>31567</v>
      </c>
      <c r="P306" s="10">
        <v>44743</v>
      </c>
      <c r="Q306" s="10"/>
      <c r="R306" s="10">
        <v>44743</v>
      </c>
      <c r="S306" s="23">
        <v>2282.4499999999998</v>
      </c>
      <c r="T306" s="3">
        <v>4077852</v>
      </c>
      <c r="U306" s="3">
        <v>28606040300181</v>
      </c>
      <c r="V306" s="4" t="s">
        <v>2163</v>
      </c>
      <c r="W306" s="4">
        <v>72344</v>
      </c>
      <c r="X306" s="4" t="s">
        <v>1583</v>
      </c>
      <c r="Y306" s="4">
        <v>2003</v>
      </c>
      <c r="Z306" s="3">
        <f ca="1">DATEDIF(Table1[[#This Row],[تاريخ الميلاد]],TODAY(),"y")</f>
        <v>40</v>
      </c>
      <c r="AA30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40 عام 2  شهر  16  يوم </v>
      </c>
      <c r="AB30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06" s="10">
        <f>DATE(YEAR(Table1[[#This Row],[تاريخ الميلاد]])+60,MONTH(Table1[[#This Row],[تاريخ الميلاد]]),DAY(Table1[[#This Row],[تاريخ الميلاد]]))</f>
        <v>53482</v>
      </c>
      <c r="AD306" s="14">
        <f>DATE(YEAR(Table1[[#This Row],[معاش 01/01]])-1,MONTH(Table1[[#This Row],[تاريخ بلوغ 60 ]]),DAY(Table1[[#This Row],[تاريخ بلوغ 60 ]]))</f>
        <v>53482</v>
      </c>
      <c r="AE30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53847</v>
      </c>
      <c r="AF306" s="10" t="str">
        <f>IFERROR(IF(ISODD(MID(Table1[[#This Row],[الرقم القومي]],13,1)),"ذكر","انثي"),"")</f>
        <v>انثي</v>
      </c>
      <c r="AG306" s="70" t="s">
        <v>2606</v>
      </c>
      <c r="AH306" s="3">
        <f>IF(MONTH(Table1[[#This Row],[تاريخ بلوغ 60 ]])&lt;&gt;1,1,0)</f>
        <v>1</v>
      </c>
      <c r="AI306" s="3">
        <f>IF(DAY(Table1[[#This Row],[تاريخ بلوغ 60 ]])&lt;&gt;1,1,0)</f>
        <v>1</v>
      </c>
      <c r="AJ306" s="4" t="s">
        <v>465</v>
      </c>
      <c r="AK306" s="4" t="s">
        <v>2689</v>
      </c>
      <c r="AL306" s="62" t="s">
        <v>2162</v>
      </c>
      <c r="AM306" s="62" t="s">
        <v>2954</v>
      </c>
      <c r="AN306" s="2">
        <v>3</v>
      </c>
      <c r="AO306" s="4" t="s">
        <v>2641</v>
      </c>
      <c r="AP306" s="74">
        <v>401.71</v>
      </c>
      <c r="AQ306" s="4">
        <v>18.75</v>
      </c>
      <c r="AR306" s="4">
        <v>1</v>
      </c>
      <c r="AS306" s="4" t="s">
        <v>2635</v>
      </c>
      <c r="AT306" s="72">
        <v>2</v>
      </c>
      <c r="AU306" s="2">
        <v>8</v>
      </c>
      <c r="AV306" s="4"/>
      <c r="AW306" s="4"/>
      <c r="AX306" s="4"/>
    </row>
    <row r="307" spans="1:50" ht="15" x14ac:dyDescent="0.2">
      <c r="A307" s="3">
        <v>33911</v>
      </c>
      <c r="B307" s="1" t="s">
        <v>468</v>
      </c>
      <c r="C307" s="3">
        <v>1</v>
      </c>
      <c r="D307" s="3" t="s">
        <v>465</v>
      </c>
      <c r="E307" s="3">
        <v>3</v>
      </c>
      <c r="F307" s="3" t="s">
        <v>472</v>
      </c>
      <c r="G307" s="7" t="s">
        <v>2164</v>
      </c>
      <c r="H307" s="3">
        <v>104</v>
      </c>
      <c r="I307" s="3" t="s">
        <v>1083</v>
      </c>
      <c r="J307" s="3">
        <v>18</v>
      </c>
      <c r="K307" s="3" t="s">
        <v>1529</v>
      </c>
      <c r="L307" s="3">
        <v>8</v>
      </c>
      <c r="M307" s="3" t="s">
        <v>506</v>
      </c>
      <c r="N307" s="3" t="s">
        <v>1090</v>
      </c>
      <c r="O307" s="10">
        <v>32429</v>
      </c>
      <c r="P307" s="10">
        <v>44743</v>
      </c>
      <c r="Q307" s="10"/>
      <c r="R307" s="10">
        <v>44743</v>
      </c>
      <c r="S307" s="23">
        <v>2282.4499999999998</v>
      </c>
      <c r="T307" s="3">
        <v>21300892</v>
      </c>
      <c r="U307" s="3">
        <v>28810130300062</v>
      </c>
      <c r="V307" s="4" t="s">
        <v>2166</v>
      </c>
      <c r="W307" s="4">
        <v>72345</v>
      </c>
      <c r="X307" s="4" t="s">
        <v>1583</v>
      </c>
      <c r="Y307" s="4">
        <v>2007</v>
      </c>
      <c r="Z307" s="3">
        <f ca="1">DATEDIF(Table1[[#This Row],[تاريخ الميلاد]],TODAY(),"y")</f>
        <v>37</v>
      </c>
      <c r="AA30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10  شهر  7  يوم </v>
      </c>
      <c r="AB30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07" s="10">
        <f>DATE(YEAR(Table1[[#This Row],[تاريخ الميلاد]])+60,MONTH(Table1[[#This Row],[تاريخ الميلاد]]),DAY(Table1[[#This Row],[تاريخ الميلاد]]))</f>
        <v>54344</v>
      </c>
      <c r="AD307" s="14">
        <f>DATE(YEAR(Table1[[#This Row],[معاش 01/01]])-1,MONTH(Table1[[#This Row],[تاريخ بلوغ 60 ]]),DAY(Table1[[#This Row],[تاريخ بلوغ 60 ]]))</f>
        <v>54344</v>
      </c>
      <c r="AE30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54709</v>
      </c>
      <c r="AF307" s="10" t="str">
        <f>IFERROR(IF(ISODD(MID(Table1[[#This Row],[الرقم القومي]],13,1)),"ذكر","انثي"),"")</f>
        <v>انثي</v>
      </c>
      <c r="AG307" s="70" t="s">
        <v>2606</v>
      </c>
      <c r="AH307" s="3">
        <f>IF(MONTH(Table1[[#This Row],[تاريخ بلوغ 60 ]])&lt;&gt;1,1,0)</f>
        <v>1</v>
      </c>
      <c r="AI307" s="3">
        <f>IF(DAY(Table1[[#This Row],[تاريخ بلوغ 60 ]])&lt;&gt;1,1,0)</f>
        <v>1</v>
      </c>
      <c r="AJ307" s="4" t="s">
        <v>465</v>
      </c>
      <c r="AK307" s="4">
        <v>0</v>
      </c>
      <c r="AL307" s="62" t="s">
        <v>2165</v>
      </c>
      <c r="AM307" s="62" t="s">
        <v>2955</v>
      </c>
      <c r="AN307" s="2">
        <v>3</v>
      </c>
      <c r="AO307" s="4" t="s">
        <v>2641</v>
      </c>
      <c r="AP307" s="74">
        <v>401.71</v>
      </c>
      <c r="AQ307" s="4">
        <v>18.75</v>
      </c>
      <c r="AR307" s="4">
        <v>1</v>
      </c>
      <c r="AS307" s="4" t="s">
        <v>2635</v>
      </c>
      <c r="AT307" s="72">
        <v>2</v>
      </c>
      <c r="AU307" s="2">
        <v>8</v>
      </c>
      <c r="AV307" s="4"/>
      <c r="AW307" s="4"/>
      <c r="AX307" s="4"/>
    </row>
    <row r="308" spans="1:50" ht="15" x14ac:dyDescent="0.2">
      <c r="A308" s="3">
        <v>33912</v>
      </c>
      <c r="B308" s="1" t="s">
        <v>468</v>
      </c>
      <c r="C308" s="3">
        <v>1</v>
      </c>
      <c r="D308" s="3" t="s">
        <v>465</v>
      </c>
      <c r="E308" s="3">
        <v>3</v>
      </c>
      <c r="F308" s="3" t="s">
        <v>472</v>
      </c>
      <c r="G308" s="7" t="s">
        <v>257</v>
      </c>
      <c r="H308" s="3">
        <v>104</v>
      </c>
      <c r="I308" s="3" t="s">
        <v>1083</v>
      </c>
      <c r="J308" s="3">
        <v>18</v>
      </c>
      <c r="K308" s="3" t="s">
        <v>1529</v>
      </c>
      <c r="L308" s="3">
        <v>8</v>
      </c>
      <c r="M308" s="3" t="s">
        <v>506</v>
      </c>
      <c r="N308" s="3" t="s">
        <v>1090</v>
      </c>
      <c r="O308" s="10">
        <v>34298</v>
      </c>
      <c r="P308" s="10">
        <v>44743</v>
      </c>
      <c r="Q308" s="10"/>
      <c r="R308" s="10">
        <v>44743</v>
      </c>
      <c r="S308" s="23">
        <v>2282.4499999999998</v>
      </c>
      <c r="T308" s="3">
        <v>71041936</v>
      </c>
      <c r="U308" s="3">
        <v>29311250300047</v>
      </c>
      <c r="V308" s="4" t="s">
        <v>2168</v>
      </c>
      <c r="W308" s="4">
        <v>72346</v>
      </c>
      <c r="X308" s="4" t="s">
        <v>1583</v>
      </c>
      <c r="Y308" s="4">
        <v>2014</v>
      </c>
      <c r="Z308" s="3">
        <f ca="1">DATEDIF(Table1[[#This Row],[تاريخ الميلاد]],TODAY(),"y")</f>
        <v>32</v>
      </c>
      <c r="AA30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32 عام 8  شهر  26  يوم </v>
      </c>
      <c r="AB30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08" s="10">
        <f>DATE(YEAR(Table1[[#This Row],[تاريخ الميلاد]])+60,MONTH(Table1[[#This Row],[تاريخ الميلاد]]),DAY(Table1[[#This Row],[تاريخ الميلاد]]))</f>
        <v>56213</v>
      </c>
      <c r="AD308" s="14">
        <f>DATE(YEAR(Table1[[#This Row],[معاش 01/01]])-1,MONTH(Table1[[#This Row],[تاريخ بلوغ 60 ]]),DAY(Table1[[#This Row],[تاريخ بلوغ 60 ]]))</f>
        <v>56213</v>
      </c>
      <c r="AE30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56578</v>
      </c>
      <c r="AF308" s="10" t="str">
        <f>IFERROR(IF(ISODD(MID(Table1[[#This Row],[الرقم القومي]],13,1)),"ذكر","انثي"),"")</f>
        <v>انثي</v>
      </c>
      <c r="AG308" s="70" t="s">
        <v>2606</v>
      </c>
      <c r="AH308" s="3">
        <f>IF(MONTH(Table1[[#This Row],[تاريخ بلوغ 60 ]])&lt;&gt;1,1,0)</f>
        <v>1</v>
      </c>
      <c r="AI308" s="3">
        <f>IF(DAY(Table1[[#This Row],[تاريخ بلوغ 60 ]])&lt;&gt;1,1,0)</f>
        <v>1</v>
      </c>
      <c r="AJ308" s="4" t="s">
        <v>465</v>
      </c>
      <c r="AK308" s="4">
        <v>0</v>
      </c>
      <c r="AL308" s="62" t="s">
        <v>2167</v>
      </c>
      <c r="AM308" s="62" t="s">
        <v>2956</v>
      </c>
      <c r="AN308" s="2">
        <v>3</v>
      </c>
      <c r="AO308" s="4" t="s">
        <v>2641</v>
      </c>
      <c r="AP308" s="74">
        <v>401.71</v>
      </c>
      <c r="AQ308" s="4">
        <v>18.75</v>
      </c>
      <c r="AR308" s="4">
        <v>1</v>
      </c>
      <c r="AS308" s="4" t="s">
        <v>2635</v>
      </c>
      <c r="AT308" s="72">
        <v>2</v>
      </c>
      <c r="AU308" s="2">
        <v>8</v>
      </c>
      <c r="AV308" s="4"/>
      <c r="AW308" s="4"/>
      <c r="AX308" s="4"/>
    </row>
    <row r="309" spans="1:50" ht="15" x14ac:dyDescent="0.2">
      <c r="A309" s="3">
        <v>33915</v>
      </c>
      <c r="B309" s="1" t="s">
        <v>468</v>
      </c>
      <c r="C309" s="3">
        <v>1</v>
      </c>
      <c r="D309" s="3" t="s">
        <v>465</v>
      </c>
      <c r="E309" s="3">
        <v>3</v>
      </c>
      <c r="F309" s="3" t="s">
        <v>472</v>
      </c>
      <c r="G309" s="7" t="s">
        <v>258</v>
      </c>
      <c r="H309" s="3">
        <v>104</v>
      </c>
      <c r="I309" s="3" t="s">
        <v>1083</v>
      </c>
      <c r="J309" s="3">
        <v>18</v>
      </c>
      <c r="K309" s="3" t="s">
        <v>1529</v>
      </c>
      <c r="L309" s="3">
        <v>8</v>
      </c>
      <c r="M309" s="3" t="s">
        <v>506</v>
      </c>
      <c r="N309" s="3" t="s">
        <v>1090</v>
      </c>
      <c r="O309" s="10">
        <v>33241</v>
      </c>
      <c r="P309" s="10">
        <v>44743</v>
      </c>
      <c r="Q309" s="10"/>
      <c r="R309" s="10">
        <v>44743</v>
      </c>
      <c r="S309" s="23">
        <v>2282.4499999999998</v>
      </c>
      <c r="T309" s="3">
        <v>62559965</v>
      </c>
      <c r="U309" s="3">
        <v>29101030300106</v>
      </c>
      <c r="V309" s="4" t="s">
        <v>2170</v>
      </c>
      <c r="W309" s="4">
        <v>72349</v>
      </c>
      <c r="X309" s="4" t="s">
        <v>1583</v>
      </c>
      <c r="Y309" s="4">
        <v>2011</v>
      </c>
      <c r="Z309" s="3">
        <f ca="1">DATEDIF(Table1[[#This Row],[تاريخ الميلاد]],TODAY(),"y")</f>
        <v>35</v>
      </c>
      <c r="AA30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35 عام 7  شهر  17  يوم </v>
      </c>
      <c r="AB30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09" s="10">
        <f>DATE(YEAR(Table1[[#This Row],[تاريخ الميلاد]])+60,MONTH(Table1[[#This Row],[تاريخ الميلاد]]),DAY(Table1[[#This Row],[تاريخ الميلاد]]))</f>
        <v>55156</v>
      </c>
      <c r="AD309" s="14">
        <f>DATE(YEAR(Table1[[#This Row],[معاش 01/01]])-1,MONTH(Table1[[#This Row],[تاريخ بلوغ 60 ]]),DAY(Table1[[#This Row],[تاريخ بلوغ 60 ]]))</f>
        <v>55156</v>
      </c>
      <c r="AE30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55521</v>
      </c>
      <c r="AF309" s="10" t="str">
        <f>IFERROR(IF(ISODD(MID(Table1[[#This Row],[الرقم القومي]],13,1)),"ذكر","انثي"),"")</f>
        <v>انثي</v>
      </c>
      <c r="AG309" s="70" t="s">
        <v>2606</v>
      </c>
      <c r="AH309" s="3">
        <f>IF(MONTH(Table1[[#This Row],[تاريخ بلوغ 60 ]])&lt;&gt;1,1,0)</f>
        <v>0</v>
      </c>
      <c r="AI309" s="3">
        <f>IF(DAY(Table1[[#This Row],[تاريخ بلوغ 60 ]])&lt;&gt;1,1,0)</f>
        <v>1</v>
      </c>
      <c r="AJ309" s="4" t="s">
        <v>465</v>
      </c>
      <c r="AK309" s="4" t="s">
        <v>2636</v>
      </c>
      <c r="AL309" s="62" t="s">
        <v>2169</v>
      </c>
      <c r="AM309" s="62" t="s">
        <v>2957</v>
      </c>
      <c r="AN309" s="2">
        <v>3</v>
      </c>
      <c r="AO309" s="4" t="s">
        <v>2641</v>
      </c>
      <c r="AP309" s="74">
        <v>401.71</v>
      </c>
      <c r="AQ309" s="4">
        <v>18.75</v>
      </c>
      <c r="AR309" s="4">
        <v>1</v>
      </c>
      <c r="AS309" s="4" t="s">
        <v>2635</v>
      </c>
      <c r="AT309" s="72">
        <v>2</v>
      </c>
      <c r="AU309" s="2">
        <v>8</v>
      </c>
      <c r="AV309" s="4"/>
      <c r="AW309" s="4"/>
      <c r="AX309" s="4"/>
    </row>
    <row r="310" spans="1:50" ht="15" x14ac:dyDescent="0.2">
      <c r="A310" s="3">
        <v>33919</v>
      </c>
      <c r="B310" s="1" t="s">
        <v>468</v>
      </c>
      <c r="C310" s="3">
        <v>1</v>
      </c>
      <c r="D310" s="3" t="s">
        <v>465</v>
      </c>
      <c r="E310" s="3">
        <v>3</v>
      </c>
      <c r="F310" s="3" t="s">
        <v>472</v>
      </c>
      <c r="G310" s="7" t="s">
        <v>259</v>
      </c>
      <c r="H310" s="3">
        <v>104</v>
      </c>
      <c r="I310" s="3" t="s">
        <v>1083</v>
      </c>
      <c r="J310" s="3">
        <v>18</v>
      </c>
      <c r="K310" s="3" t="s">
        <v>1529</v>
      </c>
      <c r="L310" s="3">
        <v>8</v>
      </c>
      <c r="M310" s="3" t="s">
        <v>506</v>
      </c>
      <c r="N310" s="3" t="s">
        <v>1090</v>
      </c>
      <c r="O310" s="10">
        <v>32908</v>
      </c>
      <c r="P310" s="10">
        <v>44743</v>
      </c>
      <c r="Q310" s="10"/>
      <c r="R310" s="10">
        <v>44743</v>
      </c>
      <c r="S310" s="23">
        <v>2322.6999999999998</v>
      </c>
      <c r="T310" s="3">
        <v>35120249</v>
      </c>
      <c r="U310" s="3">
        <v>29002040300289</v>
      </c>
      <c r="V310" s="4" t="s">
        <v>2172</v>
      </c>
      <c r="W310" s="4">
        <v>72353</v>
      </c>
      <c r="X310" s="4" t="s">
        <v>1583</v>
      </c>
      <c r="Y310" s="4">
        <v>2009</v>
      </c>
      <c r="Z310" s="3">
        <f ca="1">DATEDIF(Table1[[#This Row],[تاريخ الميلاد]],TODAY(),"y")</f>
        <v>36</v>
      </c>
      <c r="AA31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36 عام 6  شهر  16  يوم </v>
      </c>
      <c r="AB31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10" s="10">
        <f>DATE(YEAR(Table1[[#This Row],[تاريخ الميلاد]])+60,MONTH(Table1[[#This Row],[تاريخ الميلاد]]),DAY(Table1[[#This Row],[تاريخ الميلاد]]))</f>
        <v>54823</v>
      </c>
      <c r="AD310" s="14">
        <f>DATE(YEAR(Table1[[#This Row],[معاش 01/01]])-1,MONTH(Table1[[#This Row],[تاريخ بلوغ 60 ]]),DAY(Table1[[#This Row],[تاريخ بلوغ 60 ]]))</f>
        <v>54823</v>
      </c>
      <c r="AE31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55188</v>
      </c>
      <c r="AF310" s="10" t="str">
        <f>IFERROR(IF(ISODD(MID(Table1[[#This Row],[الرقم القومي]],13,1)),"ذكر","انثي"),"")</f>
        <v>انثي</v>
      </c>
      <c r="AG310" s="70" t="s">
        <v>2606</v>
      </c>
      <c r="AH310" s="3">
        <f>IF(MONTH(Table1[[#This Row],[تاريخ بلوغ 60 ]])&lt;&gt;1,1,0)</f>
        <v>1</v>
      </c>
      <c r="AI310" s="3">
        <f>IF(DAY(Table1[[#This Row],[تاريخ بلوغ 60 ]])&lt;&gt;1,1,0)</f>
        <v>1</v>
      </c>
      <c r="AJ310" s="4" t="s">
        <v>465</v>
      </c>
      <c r="AK310" s="4" t="s">
        <v>2636</v>
      </c>
      <c r="AL310" s="62" t="s">
        <v>2171</v>
      </c>
      <c r="AM310" s="62" t="s">
        <v>2958</v>
      </c>
      <c r="AN310" s="2">
        <v>3</v>
      </c>
      <c r="AO310" s="4" t="s">
        <v>2641</v>
      </c>
      <c r="AP310" s="74">
        <v>409.26</v>
      </c>
      <c r="AQ310" s="4">
        <v>18.75</v>
      </c>
      <c r="AR310" s="4">
        <v>1</v>
      </c>
      <c r="AS310" s="4" t="s">
        <v>2635</v>
      </c>
      <c r="AT310" s="72">
        <v>2</v>
      </c>
      <c r="AU310" s="2">
        <v>8</v>
      </c>
      <c r="AV310" s="4"/>
      <c r="AW310" s="4"/>
      <c r="AX310" s="4"/>
    </row>
    <row r="311" spans="1:50" ht="15" x14ac:dyDescent="0.2">
      <c r="A311" s="3">
        <v>33922</v>
      </c>
      <c r="B311" s="1" t="s">
        <v>468</v>
      </c>
      <c r="C311" s="3">
        <v>1</v>
      </c>
      <c r="D311" s="3" t="s">
        <v>465</v>
      </c>
      <c r="E311" s="3">
        <v>3</v>
      </c>
      <c r="F311" s="3" t="s">
        <v>472</v>
      </c>
      <c r="G311" s="7" t="s">
        <v>260</v>
      </c>
      <c r="H311" s="3">
        <v>104</v>
      </c>
      <c r="I311" s="3" t="s">
        <v>1083</v>
      </c>
      <c r="J311" s="3">
        <v>18</v>
      </c>
      <c r="K311" s="3" t="s">
        <v>1529</v>
      </c>
      <c r="L311" s="3">
        <v>8</v>
      </c>
      <c r="M311" s="3" t="s">
        <v>506</v>
      </c>
      <c r="N311" s="3" t="s">
        <v>1090</v>
      </c>
      <c r="O311" s="10">
        <v>31899</v>
      </c>
      <c r="P311" s="10">
        <v>44743</v>
      </c>
      <c r="Q311" s="10"/>
      <c r="R311" s="10">
        <v>44743</v>
      </c>
      <c r="S311" s="23">
        <v>2282.4499999999998</v>
      </c>
      <c r="T311" s="3">
        <v>17816350</v>
      </c>
      <c r="U311" s="3">
        <v>28705020300344</v>
      </c>
      <c r="V311" s="4" t="s">
        <v>2174</v>
      </c>
      <c r="W311" s="4">
        <v>72355</v>
      </c>
      <c r="X311" s="4" t="s">
        <v>1583</v>
      </c>
      <c r="Y311" s="4">
        <v>2005</v>
      </c>
      <c r="Z311" s="3">
        <f ca="1">DATEDIF(Table1[[#This Row],[تاريخ الميلاد]],TODAY(),"y")</f>
        <v>39</v>
      </c>
      <c r="AA31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39 عام 3  شهر  18  يوم </v>
      </c>
      <c r="AB31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11" s="10">
        <f>DATE(YEAR(Table1[[#This Row],[تاريخ الميلاد]])+60,MONTH(Table1[[#This Row],[تاريخ الميلاد]]),DAY(Table1[[#This Row],[تاريخ الميلاد]]))</f>
        <v>53814</v>
      </c>
      <c r="AD311" s="14">
        <f>DATE(YEAR(Table1[[#This Row],[معاش 01/01]])-1,MONTH(Table1[[#This Row],[تاريخ بلوغ 60 ]]),DAY(Table1[[#This Row],[تاريخ بلوغ 60 ]]))</f>
        <v>53814</v>
      </c>
      <c r="AE31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54180</v>
      </c>
      <c r="AF311" s="10" t="str">
        <f>IFERROR(IF(ISODD(MID(Table1[[#This Row],[الرقم القومي]],13,1)),"ذكر","انثي"),"")</f>
        <v>انثي</v>
      </c>
      <c r="AG311" s="70" t="s">
        <v>2606</v>
      </c>
      <c r="AH311" s="3">
        <f>IF(MONTH(Table1[[#This Row],[تاريخ بلوغ 60 ]])&lt;&gt;1,1,0)</f>
        <v>1</v>
      </c>
      <c r="AI311" s="3">
        <f>IF(DAY(Table1[[#This Row],[تاريخ بلوغ 60 ]])&lt;&gt;1,1,0)</f>
        <v>1</v>
      </c>
      <c r="AJ311" s="4" t="s">
        <v>465</v>
      </c>
      <c r="AK311" s="4" t="s">
        <v>2689</v>
      </c>
      <c r="AL311" s="62" t="s">
        <v>2173</v>
      </c>
      <c r="AM311" s="62" t="s">
        <v>2959</v>
      </c>
      <c r="AN311" s="2">
        <v>3</v>
      </c>
      <c r="AO311" s="4" t="s">
        <v>2641</v>
      </c>
      <c r="AP311" s="74">
        <v>401.71</v>
      </c>
      <c r="AQ311" s="4">
        <v>18.75</v>
      </c>
      <c r="AR311" s="4">
        <v>7</v>
      </c>
      <c r="AS311" s="4" t="s">
        <v>2642</v>
      </c>
      <c r="AT311" s="72">
        <v>0</v>
      </c>
      <c r="AU311" s="2">
        <v>8</v>
      </c>
      <c r="AV311" s="4"/>
      <c r="AW311" s="4"/>
      <c r="AX311" s="4"/>
    </row>
    <row r="312" spans="1:50" ht="15" x14ac:dyDescent="0.2">
      <c r="A312" s="3">
        <v>33923</v>
      </c>
      <c r="B312" s="1" t="s">
        <v>468</v>
      </c>
      <c r="C312" s="3">
        <v>1</v>
      </c>
      <c r="D312" s="3" t="s">
        <v>465</v>
      </c>
      <c r="E312" s="3">
        <v>3</v>
      </c>
      <c r="F312" s="3" t="s">
        <v>472</v>
      </c>
      <c r="G312" s="7" t="s">
        <v>261</v>
      </c>
      <c r="H312" s="3">
        <v>104</v>
      </c>
      <c r="I312" s="3" t="s">
        <v>1083</v>
      </c>
      <c r="J312" s="3">
        <v>18</v>
      </c>
      <c r="K312" s="3" t="s">
        <v>1529</v>
      </c>
      <c r="L312" s="3">
        <v>8</v>
      </c>
      <c r="M312" s="3" t="s">
        <v>506</v>
      </c>
      <c r="N312" s="3" t="s">
        <v>1090</v>
      </c>
      <c r="O312" s="10">
        <v>34267</v>
      </c>
      <c r="P312" s="10">
        <v>44743</v>
      </c>
      <c r="Q312" s="10"/>
      <c r="R312" s="10">
        <v>44743</v>
      </c>
      <c r="S312" s="23">
        <v>2282.4499999999998</v>
      </c>
      <c r="T312" s="3">
        <v>71309014</v>
      </c>
      <c r="U312" s="3">
        <v>29310250300288</v>
      </c>
      <c r="V312" s="4" t="s">
        <v>2176</v>
      </c>
      <c r="W312" s="4">
        <v>72356</v>
      </c>
      <c r="X312" s="4" t="s">
        <v>1583</v>
      </c>
      <c r="Y312" s="4">
        <v>2014</v>
      </c>
      <c r="Z312" s="3">
        <f ca="1">DATEDIF(Table1[[#This Row],[تاريخ الميلاد]],TODAY(),"y")</f>
        <v>32</v>
      </c>
      <c r="AA31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32 عام 9  شهر  26  يوم </v>
      </c>
      <c r="AB31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12" s="10">
        <f>DATE(YEAR(Table1[[#This Row],[تاريخ الميلاد]])+60,MONTH(Table1[[#This Row],[تاريخ الميلاد]]),DAY(Table1[[#This Row],[تاريخ الميلاد]]))</f>
        <v>56182</v>
      </c>
      <c r="AD312" s="14">
        <f>DATE(YEAR(Table1[[#This Row],[معاش 01/01]])-1,MONTH(Table1[[#This Row],[تاريخ بلوغ 60 ]]),DAY(Table1[[#This Row],[تاريخ بلوغ 60 ]]))</f>
        <v>56182</v>
      </c>
      <c r="AE31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56547</v>
      </c>
      <c r="AF312" s="10" t="str">
        <f>IFERROR(IF(ISODD(MID(Table1[[#This Row],[الرقم القومي]],13,1)),"ذكر","انثي"),"")</f>
        <v>انثي</v>
      </c>
      <c r="AG312" s="70" t="s">
        <v>2606</v>
      </c>
      <c r="AH312" s="3">
        <f>IF(MONTH(Table1[[#This Row],[تاريخ بلوغ 60 ]])&lt;&gt;1,1,0)</f>
        <v>1</v>
      </c>
      <c r="AI312" s="3">
        <f>IF(DAY(Table1[[#This Row],[تاريخ بلوغ 60 ]])&lt;&gt;1,1,0)</f>
        <v>1</v>
      </c>
      <c r="AJ312" s="4" t="s">
        <v>465</v>
      </c>
      <c r="AK312" s="4">
        <v>0</v>
      </c>
      <c r="AL312" s="62" t="s">
        <v>2175</v>
      </c>
      <c r="AM312" s="62" t="s">
        <v>2960</v>
      </c>
      <c r="AN312" s="2">
        <v>3</v>
      </c>
      <c r="AO312" s="4" t="s">
        <v>2641</v>
      </c>
      <c r="AP312" s="74">
        <v>401.71</v>
      </c>
      <c r="AQ312" s="4">
        <v>18.75</v>
      </c>
      <c r="AR312" s="4">
        <v>1</v>
      </c>
      <c r="AS312" s="4" t="s">
        <v>2635</v>
      </c>
      <c r="AT312" s="72">
        <v>2</v>
      </c>
      <c r="AU312" s="2">
        <v>8</v>
      </c>
      <c r="AV312" s="4"/>
      <c r="AW312" s="4"/>
      <c r="AX312" s="4"/>
    </row>
    <row r="313" spans="1:50" ht="15" x14ac:dyDescent="0.2">
      <c r="A313" s="3">
        <v>33928</v>
      </c>
      <c r="B313" s="1" t="s">
        <v>468</v>
      </c>
      <c r="C313" s="3">
        <v>1</v>
      </c>
      <c r="D313" s="3" t="s">
        <v>465</v>
      </c>
      <c r="E313" s="3">
        <v>3</v>
      </c>
      <c r="F313" s="3" t="s">
        <v>472</v>
      </c>
      <c r="G313" s="7" t="s">
        <v>262</v>
      </c>
      <c r="H313" s="3">
        <v>104</v>
      </c>
      <c r="I313" s="3" t="s">
        <v>1083</v>
      </c>
      <c r="J313" s="3">
        <v>18</v>
      </c>
      <c r="K313" s="3" t="s">
        <v>1529</v>
      </c>
      <c r="L313" s="3">
        <v>8</v>
      </c>
      <c r="M313" s="3" t="s">
        <v>506</v>
      </c>
      <c r="N313" s="3" t="s">
        <v>1090</v>
      </c>
      <c r="O313" s="10">
        <v>33344</v>
      </c>
      <c r="P313" s="10">
        <v>44743</v>
      </c>
      <c r="Q313" s="10"/>
      <c r="R313" s="10">
        <v>44743</v>
      </c>
      <c r="S313" s="23">
        <v>2282.4499999999998</v>
      </c>
      <c r="T313" s="3">
        <v>62998166</v>
      </c>
      <c r="U313" s="3">
        <v>29104160300247</v>
      </c>
      <c r="V313" s="4" t="s">
        <v>2178</v>
      </c>
      <c r="W313" s="4">
        <v>72360</v>
      </c>
      <c r="X313" s="4" t="s">
        <v>1583</v>
      </c>
      <c r="Y313" s="4">
        <v>2008</v>
      </c>
      <c r="Z313" s="3">
        <f ca="1">DATEDIF(Table1[[#This Row],[تاريخ الميلاد]],TODAY(),"y")</f>
        <v>35</v>
      </c>
      <c r="AA31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35 عام 4  شهر  4  يوم </v>
      </c>
      <c r="AB31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13" s="10">
        <f>DATE(YEAR(Table1[[#This Row],[تاريخ الميلاد]])+60,MONTH(Table1[[#This Row],[تاريخ الميلاد]]),DAY(Table1[[#This Row],[تاريخ الميلاد]]))</f>
        <v>55259</v>
      </c>
      <c r="AD313" s="14">
        <f>DATE(YEAR(Table1[[#This Row],[معاش 01/01]])-1,MONTH(Table1[[#This Row],[تاريخ بلوغ 60 ]]),DAY(Table1[[#This Row],[تاريخ بلوغ 60 ]]))</f>
        <v>55259</v>
      </c>
      <c r="AE31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55625</v>
      </c>
      <c r="AF313" s="10" t="str">
        <f>IFERROR(IF(ISODD(MID(Table1[[#This Row],[الرقم القومي]],13,1)),"ذكر","انثي"),"")</f>
        <v>انثي</v>
      </c>
      <c r="AG313" s="70" t="s">
        <v>2606</v>
      </c>
      <c r="AH313" s="3">
        <f>IF(MONTH(Table1[[#This Row],[تاريخ بلوغ 60 ]])&lt;&gt;1,1,0)</f>
        <v>1</v>
      </c>
      <c r="AI313" s="3">
        <f>IF(DAY(Table1[[#This Row],[تاريخ بلوغ 60 ]])&lt;&gt;1,1,0)</f>
        <v>1</v>
      </c>
      <c r="AJ313" s="4" t="s">
        <v>465</v>
      </c>
      <c r="AK313" s="4">
        <v>0</v>
      </c>
      <c r="AL313" s="62" t="s">
        <v>2177</v>
      </c>
      <c r="AM313" s="62" t="s">
        <v>2961</v>
      </c>
      <c r="AN313" s="2">
        <v>3</v>
      </c>
      <c r="AO313" s="4" t="s">
        <v>2641</v>
      </c>
      <c r="AP313" s="74">
        <v>401.71</v>
      </c>
      <c r="AQ313" s="4">
        <v>18.75</v>
      </c>
      <c r="AR313" s="4">
        <v>0</v>
      </c>
      <c r="AS313" s="4" t="s">
        <v>2645</v>
      </c>
      <c r="AT313" s="72">
        <v>0</v>
      </c>
      <c r="AU313" s="2">
        <v>8</v>
      </c>
      <c r="AV313" s="4"/>
      <c r="AW313" s="4"/>
      <c r="AX313" s="4"/>
    </row>
    <row r="314" spans="1:50" ht="15" x14ac:dyDescent="0.2">
      <c r="A314" s="3">
        <v>33931</v>
      </c>
      <c r="B314" s="1" t="s">
        <v>468</v>
      </c>
      <c r="C314" s="3">
        <v>1</v>
      </c>
      <c r="D314" s="3" t="s">
        <v>465</v>
      </c>
      <c r="E314" s="3">
        <v>3</v>
      </c>
      <c r="F314" s="3" t="s">
        <v>472</v>
      </c>
      <c r="G314" s="7" t="s">
        <v>263</v>
      </c>
      <c r="H314" s="3">
        <v>104</v>
      </c>
      <c r="I314" s="3" t="s">
        <v>1083</v>
      </c>
      <c r="J314" s="3">
        <v>18</v>
      </c>
      <c r="K314" s="3" t="s">
        <v>1529</v>
      </c>
      <c r="L314" s="3">
        <v>8</v>
      </c>
      <c r="M314" s="3" t="s">
        <v>506</v>
      </c>
      <c r="N314" s="3" t="s">
        <v>1090</v>
      </c>
      <c r="O314" s="10">
        <v>34354</v>
      </c>
      <c r="P314" s="10">
        <v>44743</v>
      </c>
      <c r="Q314" s="10"/>
      <c r="R314" s="10">
        <v>44743</v>
      </c>
      <c r="S314" s="23">
        <v>2282.4499999999998</v>
      </c>
      <c r="T314" s="3">
        <v>71030865</v>
      </c>
      <c r="U314" s="3">
        <v>29401200300207</v>
      </c>
      <c r="V314" s="4" t="s">
        <v>2180</v>
      </c>
      <c r="W314" s="4">
        <v>72362</v>
      </c>
      <c r="X314" s="4" t="s">
        <v>1583</v>
      </c>
      <c r="Y314" s="4">
        <v>2014</v>
      </c>
      <c r="Z314" s="3">
        <f ca="1">DATEDIF(Table1[[#This Row],[تاريخ الميلاد]],TODAY(),"y")</f>
        <v>32</v>
      </c>
      <c r="AA31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32 عام 7  شهر  0  يوم </v>
      </c>
      <c r="AB31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14" s="10">
        <f>DATE(YEAR(Table1[[#This Row],[تاريخ الميلاد]])+60,MONTH(Table1[[#This Row],[تاريخ الميلاد]]),DAY(Table1[[#This Row],[تاريخ الميلاد]]))</f>
        <v>56269</v>
      </c>
      <c r="AD314" s="14">
        <f>DATE(YEAR(Table1[[#This Row],[معاش 01/01]])-1,MONTH(Table1[[#This Row],[تاريخ بلوغ 60 ]]),DAY(Table1[[#This Row],[تاريخ بلوغ 60 ]]))</f>
        <v>56269</v>
      </c>
      <c r="AE31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56634</v>
      </c>
      <c r="AF314" s="10" t="str">
        <f>IFERROR(IF(ISODD(MID(Table1[[#This Row],[الرقم القومي]],13,1)),"ذكر","انثي"),"")</f>
        <v>انثي</v>
      </c>
      <c r="AG314" s="70" t="s">
        <v>2606</v>
      </c>
      <c r="AH314" s="3">
        <f>IF(MONTH(Table1[[#This Row],[تاريخ بلوغ 60 ]])&lt;&gt;1,1,0)</f>
        <v>0</v>
      </c>
      <c r="AI314" s="3">
        <f>IF(DAY(Table1[[#This Row],[تاريخ بلوغ 60 ]])&lt;&gt;1,1,0)</f>
        <v>1</v>
      </c>
      <c r="AJ314" s="4" t="s">
        <v>465</v>
      </c>
      <c r="AK314" s="4">
        <v>0</v>
      </c>
      <c r="AL314" s="62" t="s">
        <v>2179</v>
      </c>
      <c r="AM314" s="62" t="s">
        <v>2962</v>
      </c>
      <c r="AN314" s="2">
        <v>3</v>
      </c>
      <c r="AO314" s="4" t="s">
        <v>2641</v>
      </c>
      <c r="AP314" s="74">
        <v>401.71</v>
      </c>
      <c r="AQ314" s="4">
        <v>18.75</v>
      </c>
      <c r="AR314" s="4">
        <v>1</v>
      </c>
      <c r="AS314" s="4" t="s">
        <v>2635</v>
      </c>
      <c r="AT314" s="72">
        <v>2</v>
      </c>
      <c r="AU314" s="2">
        <v>8</v>
      </c>
      <c r="AV314" s="4"/>
      <c r="AW314" s="4"/>
      <c r="AX314" s="4"/>
    </row>
    <row r="315" spans="1:50" ht="15" x14ac:dyDescent="0.2">
      <c r="A315" s="3">
        <v>33932</v>
      </c>
      <c r="B315" s="1" t="s">
        <v>468</v>
      </c>
      <c r="C315" s="3">
        <v>1</v>
      </c>
      <c r="D315" s="3" t="s">
        <v>465</v>
      </c>
      <c r="E315" s="3">
        <v>3</v>
      </c>
      <c r="F315" s="3" t="s">
        <v>472</v>
      </c>
      <c r="G315" s="7" t="s">
        <v>264</v>
      </c>
      <c r="H315" s="3">
        <v>104</v>
      </c>
      <c r="I315" s="3" t="s">
        <v>1083</v>
      </c>
      <c r="J315" s="3">
        <v>18</v>
      </c>
      <c r="K315" s="3" t="s">
        <v>1529</v>
      </c>
      <c r="L315" s="3">
        <v>8</v>
      </c>
      <c r="M315" s="3" t="s">
        <v>506</v>
      </c>
      <c r="N315" s="3" t="s">
        <v>1090</v>
      </c>
      <c r="O315" s="10">
        <v>33009</v>
      </c>
      <c r="P315" s="10">
        <v>44743</v>
      </c>
      <c r="Q315" s="10"/>
      <c r="R315" s="10">
        <v>44743</v>
      </c>
      <c r="S315" s="23">
        <v>2282.4499999999998</v>
      </c>
      <c r="T315" s="3">
        <v>38180678</v>
      </c>
      <c r="U315" s="3">
        <v>29005160300249</v>
      </c>
      <c r="V315" s="4" t="s">
        <v>2182</v>
      </c>
      <c r="W315" s="4">
        <v>72363</v>
      </c>
      <c r="X315" s="4" t="s">
        <v>1583</v>
      </c>
      <c r="Y315" s="4">
        <v>2007</v>
      </c>
      <c r="Z315" s="3">
        <f ca="1">DATEDIF(Table1[[#This Row],[تاريخ الميلاد]],TODAY(),"y")</f>
        <v>36</v>
      </c>
      <c r="AA31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36 عام 3  شهر  4  يوم </v>
      </c>
      <c r="AB31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15" s="10">
        <f>DATE(YEAR(Table1[[#This Row],[تاريخ الميلاد]])+60,MONTH(Table1[[#This Row],[تاريخ الميلاد]]),DAY(Table1[[#This Row],[تاريخ الميلاد]]))</f>
        <v>54924</v>
      </c>
      <c r="AD315" s="14">
        <f>DATE(YEAR(Table1[[#This Row],[معاش 01/01]])-1,MONTH(Table1[[#This Row],[تاريخ بلوغ 60 ]]),DAY(Table1[[#This Row],[تاريخ بلوغ 60 ]]))</f>
        <v>54924</v>
      </c>
      <c r="AE31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55289</v>
      </c>
      <c r="AF315" s="10" t="str">
        <f>IFERROR(IF(ISODD(MID(Table1[[#This Row],[الرقم القومي]],13,1)),"ذكر","انثي"),"")</f>
        <v>انثي</v>
      </c>
      <c r="AG315" s="70" t="s">
        <v>2606</v>
      </c>
      <c r="AH315" s="3">
        <f>IF(MONTH(Table1[[#This Row],[تاريخ بلوغ 60 ]])&lt;&gt;1,1,0)</f>
        <v>1</v>
      </c>
      <c r="AI315" s="3">
        <f>IF(DAY(Table1[[#This Row],[تاريخ بلوغ 60 ]])&lt;&gt;1,1,0)</f>
        <v>1</v>
      </c>
      <c r="AJ315" s="4" t="s">
        <v>465</v>
      </c>
      <c r="AK315" s="4" t="s">
        <v>2636</v>
      </c>
      <c r="AL315" s="62" t="s">
        <v>2181</v>
      </c>
      <c r="AM315" s="62" t="s">
        <v>2963</v>
      </c>
      <c r="AN315" s="2">
        <v>3</v>
      </c>
      <c r="AO315" s="4" t="s">
        <v>2641</v>
      </c>
      <c r="AP315" s="74">
        <v>401.71</v>
      </c>
      <c r="AQ315" s="4">
        <v>18.75</v>
      </c>
      <c r="AR315" s="4">
        <v>1</v>
      </c>
      <c r="AS315" s="4" t="s">
        <v>2635</v>
      </c>
      <c r="AT315" s="72">
        <v>2</v>
      </c>
      <c r="AU315" s="2">
        <v>8</v>
      </c>
      <c r="AV315" s="4"/>
      <c r="AW315" s="4"/>
      <c r="AX315" s="4"/>
    </row>
    <row r="316" spans="1:50" ht="15" x14ac:dyDescent="0.2">
      <c r="A316" s="3">
        <v>33934</v>
      </c>
      <c r="B316" s="1" t="s">
        <v>468</v>
      </c>
      <c r="C316" s="3">
        <v>1</v>
      </c>
      <c r="D316" s="3" t="s">
        <v>465</v>
      </c>
      <c r="E316" s="3">
        <v>3</v>
      </c>
      <c r="F316" s="3" t="s">
        <v>472</v>
      </c>
      <c r="G316" s="7" t="s">
        <v>265</v>
      </c>
      <c r="H316" s="3">
        <v>104</v>
      </c>
      <c r="I316" s="3" t="s">
        <v>1083</v>
      </c>
      <c r="J316" s="3">
        <v>18</v>
      </c>
      <c r="K316" s="3" t="s">
        <v>1529</v>
      </c>
      <c r="L316" s="3">
        <v>8</v>
      </c>
      <c r="M316" s="3" t="s">
        <v>506</v>
      </c>
      <c r="N316" s="3" t="s">
        <v>1090</v>
      </c>
      <c r="O316" s="10">
        <v>33721</v>
      </c>
      <c r="P316" s="10">
        <v>44743</v>
      </c>
      <c r="Q316" s="10"/>
      <c r="R316" s="10">
        <v>44743</v>
      </c>
      <c r="S316" s="23">
        <v>2282.4499999999998</v>
      </c>
      <c r="T316" s="3">
        <v>67098509</v>
      </c>
      <c r="U316" s="3">
        <v>29204270300166</v>
      </c>
      <c r="V316" s="4" t="s">
        <v>2184</v>
      </c>
      <c r="W316" s="4">
        <v>72365</v>
      </c>
      <c r="X316" s="4" t="s">
        <v>1583</v>
      </c>
      <c r="Y316" s="4">
        <v>2011</v>
      </c>
      <c r="Z316" s="3">
        <f ca="1">DATEDIF(Table1[[#This Row],[تاريخ الميلاد]],TODAY(),"y")</f>
        <v>34</v>
      </c>
      <c r="AA31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34 عام 3  شهر  24  يوم </v>
      </c>
      <c r="AB31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16" s="10">
        <f>DATE(YEAR(Table1[[#This Row],[تاريخ الميلاد]])+60,MONTH(Table1[[#This Row],[تاريخ الميلاد]]),DAY(Table1[[#This Row],[تاريخ الميلاد]]))</f>
        <v>55636</v>
      </c>
      <c r="AD316" s="14">
        <f>DATE(YEAR(Table1[[#This Row],[معاش 01/01]])-1,MONTH(Table1[[#This Row],[تاريخ بلوغ 60 ]]),DAY(Table1[[#This Row],[تاريخ بلوغ 60 ]]))</f>
        <v>55636</v>
      </c>
      <c r="AE31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56001</v>
      </c>
      <c r="AF316" s="10" t="str">
        <f>IFERROR(IF(ISODD(MID(Table1[[#This Row],[الرقم القومي]],13,1)),"ذكر","انثي"),"")</f>
        <v>انثي</v>
      </c>
      <c r="AG316" s="70" t="s">
        <v>2606</v>
      </c>
      <c r="AH316" s="3">
        <f>IF(MONTH(Table1[[#This Row],[تاريخ بلوغ 60 ]])&lt;&gt;1,1,0)</f>
        <v>1</v>
      </c>
      <c r="AI316" s="3">
        <f>IF(DAY(Table1[[#This Row],[تاريخ بلوغ 60 ]])&lt;&gt;1,1,0)</f>
        <v>1</v>
      </c>
      <c r="AJ316" s="4" t="s">
        <v>465</v>
      </c>
      <c r="AK316" s="4" t="s">
        <v>2636</v>
      </c>
      <c r="AL316" s="62" t="s">
        <v>2183</v>
      </c>
      <c r="AM316" s="62" t="s">
        <v>2964</v>
      </c>
      <c r="AN316" s="2">
        <v>3</v>
      </c>
      <c r="AO316" s="4" t="s">
        <v>2641</v>
      </c>
      <c r="AP316" s="74">
        <v>401.71</v>
      </c>
      <c r="AQ316" s="4">
        <v>18.75</v>
      </c>
      <c r="AR316" s="4">
        <v>0</v>
      </c>
      <c r="AS316" s="4" t="s">
        <v>2645</v>
      </c>
      <c r="AT316" s="72">
        <v>0</v>
      </c>
      <c r="AU316" s="2">
        <v>8</v>
      </c>
      <c r="AV316" s="4"/>
      <c r="AW316" s="4"/>
      <c r="AX316" s="4"/>
    </row>
    <row r="317" spans="1:50" ht="15" x14ac:dyDescent="0.2">
      <c r="A317" s="3">
        <v>33939</v>
      </c>
      <c r="B317" s="1" t="s">
        <v>468</v>
      </c>
      <c r="C317" s="3">
        <v>1</v>
      </c>
      <c r="D317" s="3" t="s">
        <v>465</v>
      </c>
      <c r="E317" s="3">
        <v>3</v>
      </c>
      <c r="F317" s="3" t="s">
        <v>472</v>
      </c>
      <c r="G317" s="7" t="s">
        <v>266</v>
      </c>
      <c r="H317" s="3">
        <v>104</v>
      </c>
      <c r="I317" s="3" t="s">
        <v>1083</v>
      </c>
      <c r="J317" s="3">
        <v>18</v>
      </c>
      <c r="K317" s="3" t="s">
        <v>1529</v>
      </c>
      <c r="L317" s="3">
        <v>8</v>
      </c>
      <c r="M317" s="3" t="s">
        <v>506</v>
      </c>
      <c r="N317" s="3" t="s">
        <v>1090</v>
      </c>
      <c r="O317" s="10">
        <v>31631</v>
      </c>
      <c r="P317" s="10">
        <v>44743</v>
      </c>
      <c r="Q317" s="10"/>
      <c r="R317" s="10">
        <v>44743</v>
      </c>
      <c r="S317" s="23">
        <v>2282.4499999999998</v>
      </c>
      <c r="T317" s="3">
        <v>3986938</v>
      </c>
      <c r="U317" s="3">
        <v>28608071202422</v>
      </c>
      <c r="V317" s="4" t="s">
        <v>2186</v>
      </c>
      <c r="W317" s="4">
        <v>72370</v>
      </c>
      <c r="X317" s="4" t="s">
        <v>1583</v>
      </c>
      <c r="Y317" s="4">
        <v>2003</v>
      </c>
      <c r="Z317" s="3">
        <f ca="1">DATEDIF(Table1[[#This Row],[تاريخ الميلاد]],TODAY(),"y")</f>
        <v>40</v>
      </c>
      <c r="AA31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40 عام 0  شهر  13  يوم </v>
      </c>
      <c r="AB31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17" s="10">
        <f>DATE(YEAR(Table1[[#This Row],[تاريخ الميلاد]])+60,MONTH(Table1[[#This Row],[تاريخ الميلاد]]),DAY(Table1[[#This Row],[تاريخ الميلاد]]))</f>
        <v>53546</v>
      </c>
      <c r="AD317" s="14">
        <f>DATE(YEAR(Table1[[#This Row],[معاش 01/01]])-1,MONTH(Table1[[#This Row],[تاريخ بلوغ 60 ]]),DAY(Table1[[#This Row],[تاريخ بلوغ 60 ]]))</f>
        <v>53546</v>
      </c>
      <c r="AE31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53911</v>
      </c>
      <c r="AF317" s="10" t="str">
        <f>IFERROR(IF(ISODD(MID(Table1[[#This Row],[الرقم القومي]],13,1)),"ذكر","انثي"),"")</f>
        <v>انثي</v>
      </c>
      <c r="AG317" s="70" t="s">
        <v>1635</v>
      </c>
      <c r="AH317" s="3">
        <f>IF(MONTH(Table1[[#This Row],[تاريخ بلوغ 60 ]])&lt;&gt;1,1,0)</f>
        <v>1</v>
      </c>
      <c r="AI317" s="3">
        <f>IF(DAY(Table1[[#This Row],[تاريخ بلوغ 60 ]])&lt;&gt;1,1,0)</f>
        <v>1</v>
      </c>
      <c r="AJ317" s="4" t="s">
        <v>465</v>
      </c>
      <c r="AK317" s="4">
        <v>0</v>
      </c>
      <c r="AL317" s="62" t="s">
        <v>2185</v>
      </c>
      <c r="AM317" s="62" t="s">
        <v>2965</v>
      </c>
      <c r="AN317" s="2">
        <v>3</v>
      </c>
      <c r="AO317" s="4" t="s">
        <v>2641</v>
      </c>
      <c r="AP317" s="74">
        <v>401.71</v>
      </c>
      <c r="AQ317" s="4">
        <v>18.75</v>
      </c>
      <c r="AR317" s="4">
        <v>1</v>
      </c>
      <c r="AS317" s="4" t="s">
        <v>2635</v>
      </c>
      <c r="AT317" s="72">
        <v>2</v>
      </c>
      <c r="AU317" s="2">
        <v>8</v>
      </c>
      <c r="AV317" s="4"/>
      <c r="AW317" s="4"/>
      <c r="AX317" s="4"/>
    </row>
    <row r="318" spans="1:50" ht="15" x14ac:dyDescent="0.2">
      <c r="A318" s="3">
        <v>33941</v>
      </c>
      <c r="B318" s="1" t="s">
        <v>468</v>
      </c>
      <c r="C318" s="3">
        <v>1</v>
      </c>
      <c r="D318" s="3" t="s">
        <v>465</v>
      </c>
      <c r="E318" s="3">
        <v>3</v>
      </c>
      <c r="F318" s="3" t="s">
        <v>472</v>
      </c>
      <c r="G318" s="7" t="s">
        <v>267</v>
      </c>
      <c r="H318" s="3">
        <v>104</v>
      </c>
      <c r="I318" s="3" t="s">
        <v>1083</v>
      </c>
      <c r="J318" s="3">
        <v>18</v>
      </c>
      <c r="K318" s="3" t="s">
        <v>1529</v>
      </c>
      <c r="L318" s="3">
        <v>8</v>
      </c>
      <c r="M318" s="3" t="s">
        <v>506</v>
      </c>
      <c r="N318" s="3" t="s">
        <v>1090</v>
      </c>
      <c r="O318" s="10">
        <v>31788</v>
      </c>
      <c r="P318" s="10">
        <v>44743</v>
      </c>
      <c r="Q318" s="10"/>
      <c r="R318" s="10">
        <v>44743</v>
      </c>
      <c r="S318" s="23">
        <v>2331.7600000000002</v>
      </c>
      <c r="T318" s="3">
        <v>7954409</v>
      </c>
      <c r="U318" s="3">
        <v>28701110300283</v>
      </c>
      <c r="V318" s="4" t="s">
        <v>2188</v>
      </c>
      <c r="W318" s="4">
        <v>72372</v>
      </c>
      <c r="X318" s="4" t="s">
        <v>1583</v>
      </c>
      <c r="Y318" s="4">
        <v>2004</v>
      </c>
      <c r="Z318" s="3">
        <f ca="1">DATEDIF(Table1[[#This Row],[تاريخ الميلاد]],TODAY(),"y")</f>
        <v>39</v>
      </c>
      <c r="AA31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39 عام 7  شهر  9  يوم </v>
      </c>
      <c r="AB31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18" s="10">
        <f>DATE(YEAR(Table1[[#This Row],[تاريخ الميلاد]])+60,MONTH(Table1[[#This Row],[تاريخ الميلاد]]),DAY(Table1[[#This Row],[تاريخ الميلاد]]))</f>
        <v>53703</v>
      </c>
      <c r="AD318" s="14">
        <f>DATE(YEAR(Table1[[#This Row],[معاش 01/01]])-1,MONTH(Table1[[#This Row],[تاريخ بلوغ 60 ]]),DAY(Table1[[#This Row],[تاريخ بلوغ 60 ]]))</f>
        <v>53703</v>
      </c>
      <c r="AE31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54068</v>
      </c>
      <c r="AF318" s="10" t="str">
        <f>IFERROR(IF(ISODD(MID(Table1[[#This Row],[الرقم القومي]],13,1)),"ذكر","انثي"),"")</f>
        <v>انثي</v>
      </c>
      <c r="AG318" s="70" t="s">
        <v>2606</v>
      </c>
      <c r="AH318" s="3">
        <f>IF(MONTH(Table1[[#This Row],[تاريخ بلوغ 60 ]])&lt;&gt;1,1,0)</f>
        <v>0</v>
      </c>
      <c r="AI318" s="3">
        <f>IF(DAY(Table1[[#This Row],[تاريخ بلوغ 60 ]])&lt;&gt;1,1,0)</f>
        <v>1</v>
      </c>
      <c r="AJ318" s="4" t="s">
        <v>465</v>
      </c>
      <c r="AK318" s="4">
        <v>0</v>
      </c>
      <c r="AL318" s="62" t="s">
        <v>2187</v>
      </c>
      <c r="AM318" s="62" t="s">
        <v>2966</v>
      </c>
      <c r="AN318" s="2">
        <v>3</v>
      </c>
      <c r="AO318" s="4" t="s">
        <v>2641</v>
      </c>
      <c r="AP318" s="74">
        <v>410.96</v>
      </c>
      <c r="AQ318" s="4">
        <v>18.75</v>
      </c>
      <c r="AR318" s="4">
        <v>1</v>
      </c>
      <c r="AS318" s="4" t="s">
        <v>2635</v>
      </c>
      <c r="AT318" s="72">
        <v>2</v>
      </c>
      <c r="AU318" s="2">
        <v>8</v>
      </c>
      <c r="AV318" s="4"/>
      <c r="AW318" s="4"/>
      <c r="AX318" s="4"/>
    </row>
    <row r="319" spans="1:50" ht="15" x14ac:dyDescent="0.2">
      <c r="A319" s="3">
        <v>33943</v>
      </c>
      <c r="B319" s="1" t="s">
        <v>468</v>
      </c>
      <c r="C319" s="3">
        <v>1</v>
      </c>
      <c r="D319" s="3" t="s">
        <v>465</v>
      </c>
      <c r="E319" s="3">
        <v>3</v>
      </c>
      <c r="F319" s="3" t="s">
        <v>472</v>
      </c>
      <c r="G319" s="7" t="s">
        <v>268</v>
      </c>
      <c r="H319" s="3">
        <v>104</v>
      </c>
      <c r="I319" s="3" t="s">
        <v>1083</v>
      </c>
      <c r="J319" s="3">
        <v>18</v>
      </c>
      <c r="K319" s="3" t="s">
        <v>1529</v>
      </c>
      <c r="L319" s="3">
        <v>8</v>
      </c>
      <c r="M319" s="3" t="s">
        <v>506</v>
      </c>
      <c r="N319" s="3" t="s">
        <v>1090</v>
      </c>
      <c r="O319" s="10">
        <v>33064</v>
      </c>
      <c r="P319" s="10">
        <v>44743</v>
      </c>
      <c r="Q319" s="10"/>
      <c r="R319" s="10">
        <v>44743</v>
      </c>
      <c r="S319" s="23">
        <v>2282.4499999999998</v>
      </c>
      <c r="T319" s="3">
        <v>39660343</v>
      </c>
      <c r="U319" s="3">
        <v>29007100300366</v>
      </c>
      <c r="V319" s="4" t="s">
        <v>2190</v>
      </c>
      <c r="W319" s="4">
        <v>72373</v>
      </c>
      <c r="X319" s="4" t="s">
        <v>1583</v>
      </c>
      <c r="Y319" s="4">
        <v>2007</v>
      </c>
      <c r="Z319" s="3">
        <f ca="1">DATEDIF(Table1[[#This Row],[تاريخ الميلاد]],TODAY(),"y")</f>
        <v>36</v>
      </c>
      <c r="AA31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36 عام 1  شهر  10  يوم </v>
      </c>
      <c r="AB31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19" s="10">
        <f>DATE(YEAR(Table1[[#This Row],[تاريخ الميلاد]])+60,MONTH(Table1[[#This Row],[تاريخ الميلاد]]),DAY(Table1[[#This Row],[تاريخ الميلاد]]))</f>
        <v>54979</v>
      </c>
      <c r="AD319" s="14">
        <f>DATE(YEAR(Table1[[#This Row],[معاش 01/01]])-1,MONTH(Table1[[#This Row],[تاريخ بلوغ 60 ]]),DAY(Table1[[#This Row],[تاريخ بلوغ 60 ]]))</f>
        <v>54979</v>
      </c>
      <c r="AE31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55344</v>
      </c>
      <c r="AF319" s="10" t="str">
        <f>IFERROR(IF(ISODD(MID(Table1[[#This Row],[الرقم القومي]],13,1)),"ذكر","انثي"),"")</f>
        <v>انثي</v>
      </c>
      <c r="AG319" s="70" t="s">
        <v>2606</v>
      </c>
      <c r="AH319" s="3">
        <f>IF(MONTH(Table1[[#This Row],[تاريخ بلوغ 60 ]])&lt;&gt;1,1,0)</f>
        <v>1</v>
      </c>
      <c r="AI319" s="3">
        <f>IF(DAY(Table1[[#This Row],[تاريخ بلوغ 60 ]])&lt;&gt;1,1,0)</f>
        <v>1</v>
      </c>
      <c r="AJ319" s="4" t="s">
        <v>465</v>
      </c>
      <c r="AK319" s="4">
        <v>0</v>
      </c>
      <c r="AL319" s="62" t="s">
        <v>2189</v>
      </c>
      <c r="AM319" s="62" t="s">
        <v>2967</v>
      </c>
      <c r="AN319" s="2">
        <v>3</v>
      </c>
      <c r="AO319" s="4" t="s">
        <v>2641</v>
      </c>
      <c r="AP319" s="74">
        <v>401.71</v>
      </c>
      <c r="AQ319" s="4">
        <v>18.75</v>
      </c>
      <c r="AR319" s="4">
        <v>7</v>
      </c>
      <c r="AS319" s="4" t="s">
        <v>2642</v>
      </c>
      <c r="AT319" s="72">
        <v>0</v>
      </c>
      <c r="AU319" s="2">
        <v>8</v>
      </c>
      <c r="AV319" s="4"/>
      <c r="AW319" s="4"/>
      <c r="AX319" s="4"/>
    </row>
    <row r="320" spans="1:50" ht="15" x14ac:dyDescent="0.2">
      <c r="A320" s="3">
        <v>33945</v>
      </c>
      <c r="B320" s="1" t="s">
        <v>468</v>
      </c>
      <c r="C320" s="3">
        <v>1</v>
      </c>
      <c r="D320" s="3" t="s">
        <v>465</v>
      </c>
      <c r="E320" s="3">
        <v>3</v>
      </c>
      <c r="F320" s="3" t="s">
        <v>472</v>
      </c>
      <c r="G320" s="7" t="s">
        <v>269</v>
      </c>
      <c r="H320" s="3">
        <v>104</v>
      </c>
      <c r="I320" s="3" t="s">
        <v>1083</v>
      </c>
      <c r="J320" s="3">
        <v>18</v>
      </c>
      <c r="K320" s="3" t="s">
        <v>1529</v>
      </c>
      <c r="L320" s="3">
        <v>8</v>
      </c>
      <c r="M320" s="3" t="s">
        <v>506</v>
      </c>
      <c r="N320" s="3" t="s">
        <v>1090</v>
      </c>
      <c r="O320" s="10">
        <v>32931</v>
      </c>
      <c r="P320" s="10">
        <v>44743</v>
      </c>
      <c r="Q320" s="10"/>
      <c r="R320" s="10">
        <v>44743</v>
      </c>
      <c r="S320" s="23">
        <v>2282.4499999999998</v>
      </c>
      <c r="T320" s="3">
        <v>61423068</v>
      </c>
      <c r="U320" s="3">
        <v>29002272601501</v>
      </c>
      <c r="V320" s="4" t="s">
        <v>2192</v>
      </c>
      <c r="W320" s="4">
        <v>72374</v>
      </c>
      <c r="X320" s="4" t="s">
        <v>1583</v>
      </c>
      <c r="Y320" s="4">
        <v>2007</v>
      </c>
      <c r="Z320" s="3">
        <f ca="1">DATEDIF(Table1[[#This Row],[تاريخ الميلاد]],TODAY(),"y")</f>
        <v>36</v>
      </c>
      <c r="AA32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36 عام 5  شهر  24  يوم </v>
      </c>
      <c r="AB32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20" s="10">
        <f>DATE(YEAR(Table1[[#This Row],[تاريخ الميلاد]])+60,MONTH(Table1[[#This Row],[تاريخ الميلاد]]),DAY(Table1[[#This Row],[تاريخ الميلاد]]))</f>
        <v>54846</v>
      </c>
      <c r="AD320" s="14">
        <f>DATE(YEAR(Table1[[#This Row],[معاش 01/01]])-1,MONTH(Table1[[#This Row],[تاريخ بلوغ 60 ]]),DAY(Table1[[#This Row],[تاريخ بلوغ 60 ]]))</f>
        <v>54846</v>
      </c>
      <c r="AE32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55211</v>
      </c>
      <c r="AF320" s="10" t="str">
        <f>IFERROR(IF(ISODD(MID(Table1[[#This Row],[الرقم القومي]],13,1)),"ذكر","انثي"),"")</f>
        <v>انثي</v>
      </c>
      <c r="AG320" s="70" t="s">
        <v>2620</v>
      </c>
      <c r="AH320" s="3">
        <f>IF(MONTH(Table1[[#This Row],[تاريخ بلوغ 60 ]])&lt;&gt;1,1,0)</f>
        <v>1</v>
      </c>
      <c r="AI320" s="3">
        <f>IF(DAY(Table1[[#This Row],[تاريخ بلوغ 60 ]])&lt;&gt;1,1,0)</f>
        <v>1</v>
      </c>
      <c r="AJ320" s="4" t="s">
        <v>465</v>
      </c>
      <c r="AK320" s="4" t="s">
        <v>2730</v>
      </c>
      <c r="AL320" s="62" t="s">
        <v>2191</v>
      </c>
      <c r="AM320" s="62" t="s">
        <v>2968</v>
      </c>
      <c r="AN320" s="2">
        <v>3</v>
      </c>
      <c r="AO320" s="4" t="s">
        <v>2641</v>
      </c>
      <c r="AP320" s="74">
        <v>401.71</v>
      </c>
      <c r="AQ320" s="4">
        <v>18.75</v>
      </c>
      <c r="AR320" s="4">
        <v>7</v>
      </c>
      <c r="AS320" s="4" t="s">
        <v>2642</v>
      </c>
      <c r="AT320" s="72">
        <v>0</v>
      </c>
      <c r="AU320" s="2">
        <v>8</v>
      </c>
      <c r="AV320" s="4"/>
      <c r="AW320" s="4"/>
      <c r="AX320" s="4"/>
    </row>
    <row r="321" spans="1:50" ht="15" x14ac:dyDescent="0.2">
      <c r="A321" s="3">
        <v>33947</v>
      </c>
      <c r="B321" s="1" t="s">
        <v>468</v>
      </c>
      <c r="C321" s="3">
        <v>1</v>
      </c>
      <c r="D321" s="3" t="s">
        <v>465</v>
      </c>
      <c r="E321" s="3">
        <v>3</v>
      </c>
      <c r="F321" s="3" t="s">
        <v>472</v>
      </c>
      <c r="G321" s="7" t="s">
        <v>270</v>
      </c>
      <c r="H321" s="3">
        <v>104</v>
      </c>
      <c r="I321" s="3" t="s">
        <v>1083</v>
      </c>
      <c r="J321" s="3">
        <v>18</v>
      </c>
      <c r="K321" s="3" t="s">
        <v>1529</v>
      </c>
      <c r="L321" s="3">
        <v>8</v>
      </c>
      <c r="M321" s="3" t="s">
        <v>506</v>
      </c>
      <c r="N321" s="3" t="s">
        <v>1090</v>
      </c>
      <c r="O321" s="10">
        <v>32189</v>
      </c>
      <c r="P321" s="10">
        <v>44743</v>
      </c>
      <c r="Q321" s="10"/>
      <c r="R321" s="10">
        <v>44743</v>
      </c>
      <c r="S321" s="23">
        <v>2282.4499999999998</v>
      </c>
      <c r="T321" s="3">
        <v>61053884</v>
      </c>
      <c r="U321" s="3">
        <v>28802160300102</v>
      </c>
      <c r="V321" s="4" t="s">
        <v>2194</v>
      </c>
      <c r="W321" s="4">
        <v>72376</v>
      </c>
      <c r="X321" s="4" t="s">
        <v>1583</v>
      </c>
      <c r="Y321" s="4">
        <v>2005</v>
      </c>
      <c r="Z321" s="3">
        <f ca="1">DATEDIF(Table1[[#This Row],[تاريخ الميلاد]],TODAY(),"y")</f>
        <v>38</v>
      </c>
      <c r="AA32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6  شهر  4  يوم </v>
      </c>
      <c r="AB32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21" s="10">
        <f>DATE(YEAR(Table1[[#This Row],[تاريخ الميلاد]])+60,MONTH(Table1[[#This Row],[تاريخ الميلاد]]),DAY(Table1[[#This Row],[تاريخ الميلاد]]))</f>
        <v>54104</v>
      </c>
      <c r="AD321" s="14">
        <f>DATE(YEAR(Table1[[#This Row],[معاش 01/01]])-1,MONTH(Table1[[#This Row],[تاريخ بلوغ 60 ]]),DAY(Table1[[#This Row],[تاريخ بلوغ 60 ]]))</f>
        <v>54104</v>
      </c>
      <c r="AE32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54470</v>
      </c>
      <c r="AF321" s="10" t="str">
        <f>IFERROR(IF(ISODD(MID(Table1[[#This Row],[الرقم القومي]],13,1)),"ذكر","انثي"),"")</f>
        <v>انثي</v>
      </c>
      <c r="AG321" s="70" t="s">
        <v>2606</v>
      </c>
      <c r="AH321" s="3">
        <f>IF(MONTH(Table1[[#This Row],[تاريخ بلوغ 60 ]])&lt;&gt;1,1,0)</f>
        <v>1</v>
      </c>
      <c r="AI321" s="3">
        <f>IF(DAY(Table1[[#This Row],[تاريخ بلوغ 60 ]])&lt;&gt;1,1,0)</f>
        <v>1</v>
      </c>
      <c r="AJ321" s="4" t="s">
        <v>465</v>
      </c>
      <c r="AK321" s="4" t="s">
        <v>2770</v>
      </c>
      <c r="AL321" s="62" t="s">
        <v>2193</v>
      </c>
      <c r="AM321" s="62" t="s">
        <v>2969</v>
      </c>
      <c r="AN321" s="2">
        <v>3</v>
      </c>
      <c r="AO321" s="4" t="s">
        <v>2641</v>
      </c>
      <c r="AP321" s="74">
        <v>401.71</v>
      </c>
      <c r="AQ321" s="4">
        <v>18.75</v>
      </c>
      <c r="AR321" s="4">
        <v>1</v>
      </c>
      <c r="AS321" s="4" t="s">
        <v>2635</v>
      </c>
      <c r="AT321" s="72">
        <v>2</v>
      </c>
      <c r="AU321" s="2">
        <v>8</v>
      </c>
      <c r="AV321" s="4"/>
      <c r="AW321" s="4"/>
      <c r="AX321" s="4"/>
    </row>
    <row r="322" spans="1:50" ht="15" x14ac:dyDescent="0.2">
      <c r="A322" s="3">
        <v>33948</v>
      </c>
      <c r="B322" s="1" t="s">
        <v>468</v>
      </c>
      <c r="C322" s="3">
        <v>1</v>
      </c>
      <c r="D322" s="3" t="s">
        <v>465</v>
      </c>
      <c r="E322" s="3">
        <v>3</v>
      </c>
      <c r="F322" s="3" t="s">
        <v>472</v>
      </c>
      <c r="G322" s="7" t="s">
        <v>271</v>
      </c>
      <c r="H322" s="3">
        <v>208</v>
      </c>
      <c r="I322" s="3" t="s">
        <v>1503</v>
      </c>
      <c r="J322" s="3">
        <v>18</v>
      </c>
      <c r="K322" s="3" t="s">
        <v>1529</v>
      </c>
      <c r="L322" s="3">
        <v>8</v>
      </c>
      <c r="M322" s="3" t="s">
        <v>506</v>
      </c>
      <c r="N322" s="3" t="s">
        <v>1503</v>
      </c>
      <c r="O322" s="10">
        <v>33239</v>
      </c>
      <c r="P322" s="10">
        <v>44743</v>
      </c>
      <c r="Q322" s="10"/>
      <c r="R322" s="10">
        <v>44743</v>
      </c>
      <c r="S322" s="23">
        <v>2282.4499999999998</v>
      </c>
      <c r="T322" s="3">
        <v>64854108</v>
      </c>
      <c r="U322" s="3">
        <v>29101011108873</v>
      </c>
      <c r="V322" s="4" t="s">
        <v>2196</v>
      </c>
      <c r="W322" s="4">
        <v>72635</v>
      </c>
      <c r="X322" s="4" t="s">
        <v>1583</v>
      </c>
      <c r="Y322" s="4">
        <v>2010</v>
      </c>
      <c r="Z322" s="3">
        <f ca="1">DATEDIF(Table1[[#This Row],[تاريخ الميلاد]],TODAY(),"y")</f>
        <v>35</v>
      </c>
      <c r="AA32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35 عام 7  شهر  19  يوم </v>
      </c>
      <c r="AB32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22" s="10">
        <f>DATE(YEAR(Table1[[#This Row],[تاريخ الميلاد]])+60,MONTH(Table1[[#This Row],[تاريخ الميلاد]]),DAY(Table1[[#This Row],[تاريخ الميلاد]]))</f>
        <v>55154</v>
      </c>
      <c r="AD322" s="14">
        <f>DATE(YEAR(Table1[[#This Row],[معاش 01/01]])-1,MONTH(Table1[[#This Row],[تاريخ بلوغ 60 ]]),DAY(Table1[[#This Row],[تاريخ بلوغ 60 ]]))</f>
        <v>54789</v>
      </c>
      <c r="AE32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55154</v>
      </c>
      <c r="AF322" s="10" t="str">
        <f>IFERROR(IF(ISODD(MID(Table1[[#This Row],[الرقم القومي]],13,1)),"ذكر","انثي"),"")</f>
        <v>ذكر</v>
      </c>
      <c r="AG322" s="70" t="s">
        <v>2609</v>
      </c>
      <c r="AH322" s="3">
        <f>IF(MONTH(Table1[[#This Row],[تاريخ بلوغ 60 ]])&lt;&gt;1,1,0)</f>
        <v>0</v>
      </c>
      <c r="AI322" s="3">
        <f>IF(DAY(Table1[[#This Row],[تاريخ بلوغ 60 ]])&lt;&gt;1,1,0)</f>
        <v>0</v>
      </c>
      <c r="AJ322" s="4" t="s">
        <v>2116</v>
      </c>
      <c r="AK322" s="4">
        <v>0</v>
      </c>
      <c r="AL322" s="62" t="s">
        <v>2195</v>
      </c>
      <c r="AM322" s="62" t="s">
        <v>2970</v>
      </c>
      <c r="AN322" s="2">
        <v>3</v>
      </c>
      <c r="AO322" s="4" t="s">
        <v>2641</v>
      </c>
      <c r="AP322" s="74">
        <v>401.71</v>
      </c>
      <c r="AQ322" s="4">
        <v>18.75</v>
      </c>
      <c r="AR322" s="4">
        <v>3</v>
      </c>
      <c r="AS322" s="4" t="s">
        <v>2668</v>
      </c>
      <c r="AT322" s="72">
        <v>6</v>
      </c>
      <c r="AU322" s="2">
        <v>8</v>
      </c>
      <c r="AV322" s="4"/>
      <c r="AW322" s="4"/>
      <c r="AX322" s="4"/>
    </row>
    <row r="323" spans="1:50" ht="15" x14ac:dyDescent="0.2">
      <c r="A323" s="3">
        <v>33959</v>
      </c>
      <c r="B323" s="1" t="s">
        <v>468</v>
      </c>
      <c r="C323" s="3">
        <v>1</v>
      </c>
      <c r="D323" s="3" t="s">
        <v>465</v>
      </c>
      <c r="E323" s="3">
        <v>3</v>
      </c>
      <c r="F323" s="3" t="s">
        <v>472</v>
      </c>
      <c r="G323" s="7" t="s">
        <v>272</v>
      </c>
      <c r="H323" s="3">
        <v>104</v>
      </c>
      <c r="I323" s="3" t="s">
        <v>1083</v>
      </c>
      <c r="J323" s="3">
        <v>18</v>
      </c>
      <c r="K323" s="3" t="s">
        <v>1529</v>
      </c>
      <c r="L323" s="3">
        <v>8</v>
      </c>
      <c r="M323" s="3" t="s">
        <v>506</v>
      </c>
      <c r="N323" s="3" t="s">
        <v>1090</v>
      </c>
      <c r="O323" s="10">
        <v>33104</v>
      </c>
      <c r="P323" s="10">
        <v>44743</v>
      </c>
      <c r="Q323" s="10"/>
      <c r="R323" s="10">
        <v>44743</v>
      </c>
      <c r="S323" s="23">
        <v>2325.52</v>
      </c>
      <c r="T323" s="3">
        <v>43190120</v>
      </c>
      <c r="U323" s="3">
        <v>29008190300188</v>
      </c>
      <c r="V323" s="4" t="s">
        <v>2198</v>
      </c>
      <c r="W323" s="4">
        <v>72387</v>
      </c>
      <c r="X323" s="4" t="s">
        <v>1583</v>
      </c>
      <c r="Y323" s="4">
        <v>2007</v>
      </c>
      <c r="Z323" s="3">
        <f ca="1">DATEDIF(Table1[[#This Row],[تاريخ الميلاد]],TODAY(),"y")</f>
        <v>36</v>
      </c>
      <c r="AA32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36 عام 0  شهر  1  يوم </v>
      </c>
      <c r="AB32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23" s="10">
        <f>DATE(YEAR(Table1[[#This Row],[تاريخ الميلاد]])+60,MONTH(Table1[[#This Row],[تاريخ الميلاد]]),DAY(Table1[[#This Row],[تاريخ الميلاد]]))</f>
        <v>55019</v>
      </c>
      <c r="AD323" s="14">
        <f>DATE(YEAR(Table1[[#This Row],[معاش 01/01]])-1,MONTH(Table1[[#This Row],[تاريخ بلوغ 60 ]]),DAY(Table1[[#This Row],[تاريخ بلوغ 60 ]]))</f>
        <v>55019</v>
      </c>
      <c r="AE32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55384</v>
      </c>
      <c r="AF323" s="10" t="str">
        <f>IFERROR(IF(ISODD(MID(Table1[[#This Row],[الرقم القومي]],13,1)),"ذكر","انثي"),"")</f>
        <v>انثي</v>
      </c>
      <c r="AG323" s="70" t="s">
        <v>2606</v>
      </c>
      <c r="AH323" s="3">
        <f>IF(MONTH(Table1[[#This Row],[تاريخ بلوغ 60 ]])&lt;&gt;1,1,0)</f>
        <v>1</v>
      </c>
      <c r="AI323" s="3">
        <f>IF(DAY(Table1[[#This Row],[تاريخ بلوغ 60 ]])&lt;&gt;1,1,0)</f>
        <v>1</v>
      </c>
      <c r="AJ323" s="4" t="s">
        <v>465</v>
      </c>
      <c r="AK323" s="4" t="s">
        <v>2689</v>
      </c>
      <c r="AL323" s="62" t="s">
        <v>2197</v>
      </c>
      <c r="AM323" s="62" t="s">
        <v>2971</v>
      </c>
      <c r="AN323" s="2">
        <v>3</v>
      </c>
      <c r="AO323" s="4" t="s">
        <v>2641</v>
      </c>
      <c r="AP323" s="74">
        <v>409.79</v>
      </c>
      <c r="AQ323" s="4">
        <v>18.75</v>
      </c>
      <c r="AR323" s="4">
        <v>1</v>
      </c>
      <c r="AS323" s="4" t="s">
        <v>2635</v>
      </c>
      <c r="AT323" s="72">
        <v>2</v>
      </c>
      <c r="AU323" s="2">
        <v>8</v>
      </c>
      <c r="AV323" s="4"/>
      <c r="AW323" s="4"/>
      <c r="AX323" s="4"/>
    </row>
    <row r="324" spans="1:50" ht="15" x14ac:dyDescent="0.2">
      <c r="A324" s="3">
        <v>33966</v>
      </c>
      <c r="B324" s="1" t="s">
        <v>468</v>
      </c>
      <c r="C324" s="3">
        <v>1</v>
      </c>
      <c r="D324" s="3" t="s">
        <v>465</v>
      </c>
      <c r="E324" s="3">
        <v>3</v>
      </c>
      <c r="F324" s="3" t="s">
        <v>472</v>
      </c>
      <c r="G324" s="7" t="s">
        <v>273</v>
      </c>
      <c r="H324" s="3">
        <v>104</v>
      </c>
      <c r="I324" s="3" t="s">
        <v>1083</v>
      </c>
      <c r="J324" s="3">
        <v>18</v>
      </c>
      <c r="K324" s="3" t="s">
        <v>1529</v>
      </c>
      <c r="L324" s="3">
        <v>8</v>
      </c>
      <c r="M324" s="3" t="s">
        <v>506</v>
      </c>
      <c r="N324" s="3" t="s">
        <v>1090</v>
      </c>
      <c r="O324" s="10">
        <v>32288</v>
      </c>
      <c r="P324" s="10">
        <v>44743</v>
      </c>
      <c r="Q324" s="10"/>
      <c r="R324" s="10">
        <v>44743</v>
      </c>
      <c r="S324" s="23">
        <v>2282.4499999999998</v>
      </c>
      <c r="T324" s="3">
        <v>23999476</v>
      </c>
      <c r="U324" s="3">
        <v>28805251202901</v>
      </c>
      <c r="V324" s="4" t="s">
        <v>2200</v>
      </c>
      <c r="W324" s="4">
        <v>72393</v>
      </c>
      <c r="X324" s="4" t="s">
        <v>1583</v>
      </c>
      <c r="Y324" s="4">
        <v>2005</v>
      </c>
      <c r="Z324" s="3">
        <f ca="1">DATEDIF(Table1[[#This Row],[تاريخ الميلاد]],TODAY(),"y")</f>
        <v>38</v>
      </c>
      <c r="AA32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2  شهر  26  يوم </v>
      </c>
      <c r="AB32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24" s="10">
        <f>DATE(YEAR(Table1[[#This Row],[تاريخ الميلاد]])+60,MONTH(Table1[[#This Row],[تاريخ الميلاد]]),DAY(Table1[[#This Row],[تاريخ الميلاد]]))</f>
        <v>54203</v>
      </c>
      <c r="AD324" s="14">
        <f>DATE(YEAR(Table1[[#This Row],[معاش 01/01]])-1,MONTH(Table1[[#This Row],[تاريخ بلوغ 60 ]]),DAY(Table1[[#This Row],[تاريخ بلوغ 60 ]]))</f>
        <v>54203</v>
      </c>
      <c r="AE32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54568</v>
      </c>
      <c r="AF324" s="10" t="str">
        <f>IFERROR(IF(ISODD(MID(Table1[[#This Row],[الرقم القومي]],13,1)),"ذكر","انثي"),"")</f>
        <v>انثي</v>
      </c>
      <c r="AG324" s="70" t="s">
        <v>1635</v>
      </c>
      <c r="AH324" s="3">
        <f>IF(MONTH(Table1[[#This Row],[تاريخ بلوغ 60 ]])&lt;&gt;1,1,0)</f>
        <v>1</v>
      </c>
      <c r="AI324" s="3">
        <f>IF(DAY(Table1[[#This Row],[تاريخ بلوغ 60 ]])&lt;&gt;1,1,0)</f>
        <v>1</v>
      </c>
      <c r="AJ324" s="4" t="s">
        <v>465</v>
      </c>
      <c r="AK324" s="4">
        <v>0</v>
      </c>
      <c r="AL324" s="62" t="s">
        <v>2199</v>
      </c>
      <c r="AM324" s="62" t="s">
        <v>2972</v>
      </c>
      <c r="AN324" s="2">
        <v>3</v>
      </c>
      <c r="AO324" s="4" t="s">
        <v>2641</v>
      </c>
      <c r="AP324" s="74">
        <v>401.71</v>
      </c>
      <c r="AQ324" s="4">
        <v>18.75</v>
      </c>
      <c r="AR324" s="4">
        <v>1</v>
      </c>
      <c r="AS324" s="4" t="s">
        <v>2635</v>
      </c>
      <c r="AT324" s="72">
        <v>2</v>
      </c>
      <c r="AU324" s="2">
        <v>8</v>
      </c>
      <c r="AV324" s="4"/>
      <c r="AW324" s="4"/>
      <c r="AX324" s="4"/>
    </row>
    <row r="325" spans="1:50" ht="15" x14ac:dyDescent="0.2">
      <c r="A325" s="3">
        <v>33968</v>
      </c>
      <c r="B325" s="1" t="s">
        <v>468</v>
      </c>
      <c r="C325" s="3">
        <v>1</v>
      </c>
      <c r="D325" s="3" t="s">
        <v>465</v>
      </c>
      <c r="E325" s="3">
        <v>3</v>
      </c>
      <c r="F325" s="3" t="s">
        <v>472</v>
      </c>
      <c r="G325" s="7" t="s">
        <v>274</v>
      </c>
      <c r="H325" s="3">
        <v>104</v>
      </c>
      <c r="I325" s="3" t="s">
        <v>1083</v>
      </c>
      <c r="J325" s="3">
        <v>18</v>
      </c>
      <c r="K325" s="3" t="s">
        <v>1529</v>
      </c>
      <c r="L325" s="3">
        <v>8</v>
      </c>
      <c r="M325" s="3" t="s">
        <v>506</v>
      </c>
      <c r="N325" s="3" t="s">
        <v>1090</v>
      </c>
      <c r="O325" s="10">
        <v>33835</v>
      </c>
      <c r="P325" s="10">
        <v>44743</v>
      </c>
      <c r="Q325" s="10"/>
      <c r="R325" s="10">
        <v>44743</v>
      </c>
      <c r="S325" s="23">
        <v>2331.7600000000002</v>
      </c>
      <c r="T325" s="3">
        <v>73645006</v>
      </c>
      <c r="U325" s="3">
        <v>29208190300241</v>
      </c>
      <c r="V325" s="4" t="s">
        <v>2202</v>
      </c>
      <c r="W325" s="4">
        <v>72395</v>
      </c>
      <c r="X325" s="4" t="s">
        <v>1583</v>
      </c>
      <c r="Y325" s="4">
        <v>2011</v>
      </c>
      <c r="Z325" s="3">
        <f ca="1">DATEDIF(Table1[[#This Row],[تاريخ الميلاد]],TODAY(),"y")</f>
        <v>34</v>
      </c>
      <c r="AA32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34 عام 0  شهر  1  يوم </v>
      </c>
      <c r="AB32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25" s="10">
        <f>DATE(YEAR(Table1[[#This Row],[تاريخ الميلاد]])+60,MONTH(Table1[[#This Row],[تاريخ الميلاد]]),DAY(Table1[[#This Row],[تاريخ الميلاد]]))</f>
        <v>55750</v>
      </c>
      <c r="AD325" s="14">
        <f>DATE(YEAR(Table1[[#This Row],[معاش 01/01]])-1,MONTH(Table1[[#This Row],[تاريخ بلوغ 60 ]]),DAY(Table1[[#This Row],[تاريخ بلوغ 60 ]]))</f>
        <v>55750</v>
      </c>
      <c r="AE32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56115</v>
      </c>
      <c r="AF325" s="10" t="str">
        <f>IFERROR(IF(ISODD(MID(Table1[[#This Row],[الرقم القومي]],13,1)),"ذكر","انثي"),"")</f>
        <v>انثي</v>
      </c>
      <c r="AG325" s="70" t="s">
        <v>2606</v>
      </c>
      <c r="AH325" s="3">
        <f>IF(MONTH(Table1[[#This Row],[تاريخ بلوغ 60 ]])&lt;&gt;1,1,0)</f>
        <v>1</v>
      </c>
      <c r="AI325" s="3">
        <f>IF(DAY(Table1[[#This Row],[تاريخ بلوغ 60 ]])&lt;&gt;1,1,0)</f>
        <v>1</v>
      </c>
      <c r="AJ325" s="4" t="s">
        <v>465</v>
      </c>
      <c r="AK325" s="4" t="s">
        <v>2666</v>
      </c>
      <c r="AL325" s="62" t="s">
        <v>2201</v>
      </c>
      <c r="AM325" s="62" t="s">
        <v>2973</v>
      </c>
      <c r="AN325" s="2">
        <v>3</v>
      </c>
      <c r="AO325" s="4" t="s">
        <v>2641</v>
      </c>
      <c r="AP325" s="74">
        <v>410.96</v>
      </c>
      <c r="AQ325" s="4">
        <v>18.75</v>
      </c>
      <c r="AR325" s="4">
        <v>1</v>
      </c>
      <c r="AS325" s="4" t="s">
        <v>2635</v>
      </c>
      <c r="AT325" s="72">
        <v>2</v>
      </c>
      <c r="AU325" s="2">
        <v>8</v>
      </c>
      <c r="AV325" s="4"/>
      <c r="AW325" s="4"/>
      <c r="AX325" s="4"/>
    </row>
    <row r="326" spans="1:50" ht="15" x14ac:dyDescent="0.2">
      <c r="A326" s="3">
        <v>33970</v>
      </c>
      <c r="B326" s="1" t="s">
        <v>468</v>
      </c>
      <c r="C326" s="3">
        <v>1</v>
      </c>
      <c r="D326" s="3" t="s">
        <v>465</v>
      </c>
      <c r="E326" s="3">
        <v>3</v>
      </c>
      <c r="F326" s="3" t="s">
        <v>472</v>
      </c>
      <c r="G326" s="7" t="s">
        <v>275</v>
      </c>
      <c r="H326" s="3">
        <v>104</v>
      </c>
      <c r="I326" s="3" t="s">
        <v>1083</v>
      </c>
      <c r="J326" s="3">
        <v>18</v>
      </c>
      <c r="K326" s="3" t="s">
        <v>1529</v>
      </c>
      <c r="L326" s="3">
        <v>8</v>
      </c>
      <c r="M326" s="3" t="s">
        <v>506</v>
      </c>
      <c r="N326" s="3" t="s">
        <v>1090</v>
      </c>
      <c r="O326" s="10">
        <v>33455</v>
      </c>
      <c r="P326" s="10">
        <v>44743</v>
      </c>
      <c r="Q326" s="10"/>
      <c r="R326" s="10">
        <v>44743</v>
      </c>
      <c r="S326" s="23">
        <v>2282.4499999999998</v>
      </c>
      <c r="T326" s="3">
        <v>68561852</v>
      </c>
      <c r="U326" s="3">
        <v>29108051603308</v>
      </c>
      <c r="V326" s="4" t="s">
        <v>2204</v>
      </c>
      <c r="W326" s="4">
        <v>72397</v>
      </c>
      <c r="X326" s="4" t="s">
        <v>1583</v>
      </c>
      <c r="Y326" s="4">
        <v>2010</v>
      </c>
      <c r="Z326" s="3">
        <f ca="1">DATEDIF(Table1[[#This Row],[تاريخ الميلاد]],TODAY(),"y")</f>
        <v>35</v>
      </c>
      <c r="AA32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35 عام 0  شهر  15  يوم </v>
      </c>
      <c r="AB32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26" s="10">
        <f>DATE(YEAR(Table1[[#This Row],[تاريخ الميلاد]])+60,MONTH(Table1[[#This Row],[تاريخ الميلاد]]),DAY(Table1[[#This Row],[تاريخ الميلاد]]))</f>
        <v>55370</v>
      </c>
      <c r="AD326" s="14">
        <f>DATE(YEAR(Table1[[#This Row],[معاش 01/01]])-1,MONTH(Table1[[#This Row],[تاريخ بلوغ 60 ]]),DAY(Table1[[#This Row],[تاريخ بلوغ 60 ]]))</f>
        <v>55370</v>
      </c>
      <c r="AE32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55736</v>
      </c>
      <c r="AF326" s="10" t="str">
        <f>IFERROR(IF(ISODD(MID(Table1[[#This Row],[الرقم القومي]],13,1)),"ذكر","انثي"),"")</f>
        <v>انثي</v>
      </c>
      <c r="AG326" s="70" t="s">
        <v>2613</v>
      </c>
      <c r="AH326" s="3">
        <f>IF(MONTH(Table1[[#This Row],[تاريخ بلوغ 60 ]])&lt;&gt;1,1,0)</f>
        <v>1</v>
      </c>
      <c r="AI326" s="3">
        <f>IF(DAY(Table1[[#This Row],[تاريخ بلوغ 60 ]])&lt;&gt;1,1,0)</f>
        <v>1</v>
      </c>
      <c r="AJ326" s="4" t="s">
        <v>465</v>
      </c>
      <c r="AK326" s="4">
        <v>0</v>
      </c>
      <c r="AL326" s="62" t="s">
        <v>2203</v>
      </c>
      <c r="AM326" s="62" t="s">
        <v>2974</v>
      </c>
      <c r="AN326" s="2">
        <v>3</v>
      </c>
      <c r="AO326" s="4" t="s">
        <v>2641</v>
      </c>
      <c r="AP326" s="74">
        <v>401.71</v>
      </c>
      <c r="AQ326" s="4">
        <v>18.75</v>
      </c>
      <c r="AR326" s="4">
        <v>1</v>
      </c>
      <c r="AS326" s="4" t="s">
        <v>2635</v>
      </c>
      <c r="AT326" s="72">
        <v>2</v>
      </c>
      <c r="AU326" s="2">
        <v>8</v>
      </c>
      <c r="AV326" s="4"/>
      <c r="AW326" s="4"/>
      <c r="AX326" s="4"/>
    </row>
    <row r="327" spans="1:50" ht="15" x14ac:dyDescent="0.2">
      <c r="A327" s="3">
        <v>33972</v>
      </c>
      <c r="B327" s="1" t="s">
        <v>468</v>
      </c>
      <c r="C327" s="3">
        <v>1</v>
      </c>
      <c r="D327" s="3" t="s">
        <v>465</v>
      </c>
      <c r="E327" s="3">
        <v>3</v>
      </c>
      <c r="F327" s="3" t="s">
        <v>472</v>
      </c>
      <c r="G327" s="7" t="s">
        <v>2205</v>
      </c>
      <c r="H327" s="3">
        <v>104</v>
      </c>
      <c r="I327" s="3" t="s">
        <v>1083</v>
      </c>
      <c r="J327" s="3">
        <v>18</v>
      </c>
      <c r="K327" s="3" t="s">
        <v>1529</v>
      </c>
      <c r="L327" s="3">
        <v>8</v>
      </c>
      <c r="M327" s="3" t="s">
        <v>506</v>
      </c>
      <c r="N327" s="3" t="s">
        <v>1090</v>
      </c>
      <c r="O327" s="10">
        <v>33461</v>
      </c>
      <c r="P327" s="10">
        <v>44743</v>
      </c>
      <c r="Q327" s="10"/>
      <c r="R327" s="10">
        <v>44743</v>
      </c>
      <c r="S327" s="23">
        <v>2282.4499999999998</v>
      </c>
      <c r="T327" s="3">
        <v>63071119</v>
      </c>
      <c r="U327" s="3">
        <v>29108110300187</v>
      </c>
      <c r="V327" s="4" t="s">
        <v>2207</v>
      </c>
      <c r="W327" s="4">
        <v>72399</v>
      </c>
      <c r="X327" s="4" t="s">
        <v>1583</v>
      </c>
      <c r="Y327" s="4">
        <v>2008</v>
      </c>
      <c r="Z327" s="3">
        <f ca="1">DATEDIF(Table1[[#This Row],[تاريخ الميلاد]],TODAY(),"y")</f>
        <v>35</v>
      </c>
      <c r="AA32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35 عام 0  شهر  9  يوم </v>
      </c>
      <c r="AB32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27" s="10">
        <f>DATE(YEAR(Table1[[#This Row],[تاريخ الميلاد]])+60,MONTH(Table1[[#This Row],[تاريخ الميلاد]]),DAY(Table1[[#This Row],[تاريخ الميلاد]]))</f>
        <v>55376</v>
      </c>
      <c r="AD327" s="14">
        <f>DATE(YEAR(Table1[[#This Row],[معاش 01/01]])-1,MONTH(Table1[[#This Row],[تاريخ بلوغ 60 ]]),DAY(Table1[[#This Row],[تاريخ بلوغ 60 ]]))</f>
        <v>55376</v>
      </c>
      <c r="AE32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55742</v>
      </c>
      <c r="AF327" s="10" t="str">
        <f>IFERROR(IF(ISODD(MID(Table1[[#This Row],[الرقم القومي]],13,1)),"ذكر","انثي"),"")</f>
        <v>انثي</v>
      </c>
      <c r="AG327" s="70" t="s">
        <v>2606</v>
      </c>
      <c r="AH327" s="3">
        <f>IF(MONTH(Table1[[#This Row],[تاريخ بلوغ 60 ]])&lt;&gt;1,1,0)</f>
        <v>1</v>
      </c>
      <c r="AI327" s="3">
        <f>IF(DAY(Table1[[#This Row],[تاريخ بلوغ 60 ]])&lt;&gt;1,1,0)</f>
        <v>1</v>
      </c>
      <c r="AJ327" s="4" t="s">
        <v>465</v>
      </c>
      <c r="AK327" s="4" t="s">
        <v>2811</v>
      </c>
      <c r="AL327" s="62" t="s">
        <v>2206</v>
      </c>
      <c r="AM327" s="62" t="s">
        <v>2975</v>
      </c>
      <c r="AN327" s="2">
        <v>3</v>
      </c>
      <c r="AO327" s="4" t="s">
        <v>2641</v>
      </c>
      <c r="AP327" s="74">
        <v>401.71</v>
      </c>
      <c r="AQ327" s="4">
        <v>18.75</v>
      </c>
      <c r="AR327" s="4">
        <v>1</v>
      </c>
      <c r="AS327" s="4" t="s">
        <v>2635</v>
      </c>
      <c r="AT327" s="72">
        <v>2</v>
      </c>
      <c r="AU327" s="2">
        <v>8</v>
      </c>
      <c r="AV327" s="4"/>
      <c r="AW327" s="4"/>
      <c r="AX327" s="4"/>
    </row>
    <row r="328" spans="1:50" ht="15" x14ac:dyDescent="0.2">
      <c r="A328" s="3">
        <v>33973</v>
      </c>
      <c r="B328" s="1" t="s">
        <v>468</v>
      </c>
      <c r="C328" s="3">
        <v>1</v>
      </c>
      <c r="D328" s="3" t="s">
        <v>465</v>
      </c>
      <c r="E328" s="3">
        <v>3</v>
      </c>
      <c r="F328" s="3" t="s">
        <v>472</v>
      </c>
      <c r="G328" s="7" t="s">
        <v>276</v>
      </c>
      <c r="H328" s="3">
        <v>104</v>
      </c>
      <c r="I328" s="3" t="s">
        <v>1083</v>
      </c>
      <c r="J328" s="3">
        <v>18</v>
      </c>
      <c r="K328" s="3" t="s">
        <v>1529</v>
      </c>
      <c r="L328" s="3">
        <v>8</v>
      </c>
      <c r="M328" s="3" t="s">
        <v>506</v>
      </c>
      <c r="N328" s="3" t="s">
        <v>1090</v>
      </c>
      <c r="O328" s="10">
        <v>34599</v>
      </c>
      <c r="P328" s="10">
        <v>44743</v>
      </c>
      <c r="Q328" s="10"/>
      <c r="R328" s="10">
        <v>44743</v>
      </c>
      <c r="S328" s="23">
        <v>2282.4499999999998</v>
      </c>
      <c r="T328" s="3">
        <v>71107397</v>
      </c>
      <c r="U328" s="3">
        <v>29409220300409</v>
      </c>
      <c r="V328" s="4" t="s">
        <v>2209</v>
      </c>
      <c r="W328" s="4">
        <v>72400</v>
      </c>
      <c r="X328" s="4" t="s">
        <v>1583</v>
      </c>
      <c r="Y328" s="4">
        <v>2014</v>
      </c>
      <c r="Z328" s="3">
        <f ca="1">DATEDIF(Table1[[#This Row],[تاريخ الميلاد]],TODAY(),"y")</f>
        <v>31</v>
      </c>
      <c r="AA32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31 عام 10  شهر  29  يوم </v>
      </c>
      <c r="AB32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28" s="10">
        <f>DATE(YEAR(Table1[[#This Row],[تاريخ الميلاد]])+60,MONTH(Table1[[#This Row],[تاريخ الميلاد]]),DAY(Table1[[#This Row],[تاريخ الميلاد]]))</f>
        <v>56514</v>
      </c>
      <c r="AD328" s="14">
        <f>DATE(YEAR(Table1[[#This Row],[معاش 01/01]])-1,MONTH(Table1[[#This Row],[تاريخ بلوغ 60 ]]),DAY(Table1[[#This Row],[تاريخ بلوغ 60 ]]))</f>
        <v>56514</v>
      </c>
      <c r="AE32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56879</v>
      </c>
      <c r="AF328" s="10" t="str">
        <f>IFERROR(IF(ISODD(MID(Table1[[#This Row],[الرقم القومي]],13,1)),"ذكر","انثي"),"")</f>
        <v>انثي</v>
      </c>
      <c r="AG328" s="70" t="s">
        <v>2606</v>
      </c>
      <c r="AH328" s="3">
        <f>IF(MONTH(Table1[[#This Row],[تاريخ بلوغ 60 ]])&lt;&gt;1,1,0)</f>
        <v>1</v>
      </c>
      <c r="AI328" s="3">
        <f>IF(DAY(Table1[[#This Row],[تاريخ بلوغ 60 ]])&lt;&gt;1,1,0)</f>
        <v>1</v>
      </c>
      <c r="AJ328" s="4" t="s">
        <v>465</v>
      </c>
      <c r="AK328" s="4" t="s">
        <v>2636</v>
      </c>
      <c r="AL328" s="62" t="s">
        <v>2208</v>
      </c>
      <c r="AM328" s="62" t="s">
        <v>2976</v>
      </c>
      <c r="AN328" s="2">
        <v>3</v>
      </c>
      <c r="AO328" s="4" t="s">
        <v>2641</v>
      </c>
      <c r="AP328" s="74">
        <v>401.71</v>
      </c>
      <c r="AQ328" s="4">
        <v>18.75</v>
      </c>
      <c r="AR328" s="4">
        <v>1</v>
      </c>
      <c r="AS328" s="4" t="s">
        <v>2635</v>
      </c>
      <c r="AT328" s="72">
        <v>2</v>
      </c>
      <c r="AU328" s="2">
        <v>8</v>
      </c>
      <c r="AV328" s="4"/>
      <c r="AW328" s="4"/>
      <c r="AX328" s="4"/>
    </row>
    <row r="329" spans="1:50" ht="15" x14ac:dyDescent="0.2">
      <c r="A329" s="3">
        <v>33976</v>
      </c>
      <c r="B329" s="1" t="s">
        <v>468</v>
      </c>
      <c r="C329" s="3">
        <v>1</v>
      </c>
      <c r="D329" s="3" t="s">
        <v>465</v>
      </c>
      <c r="E329" s="3">
        <v>3</v>
      </c>
      <c r="F329" s="3" t="s">
        <v>472</v>
      </c>
      <c r="G329" s="7" t="s">
        <v>2210</v>
      </c>
      <c r="H329" s="3">
        <v>104</v>
      </c>
      <c r="I329" s="3" t="s">
        <v>1083</v>
      </c>
      <c r="J329" s="3">
        <v>18</v>
      </c>
      <c r="K329" s="3" t="s">
        <v>1529</v>
      </c>
      <c r="L329" s="3">
        <v>8</v>
      </c>
      <c r="M329" s="3" t="s">
        <v>506</v>
      </c>
      <c r="N329" s="3" t="s">
        <v>1090</v>
      </c>
      <c r="O329" s="10">
        <v>34802</v>
      </c>
      <c r="P329" s="10">
        <v>44743</v>
      </c>
      <c r="Q329" s="10"/>
      <c r="R329" s="10">
        <v>44743</v>
      </c>
      <c r="S329" s="23">
        <v>2282.4499999999998</v>
      </c>
      <c r="T329" s="3">
        <v>73422193</v>
      </c>
      <c r="U329" s="3">
        <v>29504130300208</v>
      </c>
      <c r="V329" s="4" t="s">
        <v>2212</v>
      </c>
      <c r="W329" s="4">
        <v>72403</v>
      </c>
      <c r="X329" s="4" t="s">
        <v>1583</v>
      </c>
      <c r="Y329" s="4">
        <v>2016</v>
      </c>
      <c r="Z329" s="3">
        <f ca="1">DATEDIF(Table1[[#This Row],[تاريخ الميلاد]],TODAY(),"y")</f>
        <v>31</v>
      </c>
      <c r="AA32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31 عام 4  شهر  7  يوم </v>
      </c>
      <c r="AB32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29" s="10">
        <f>DATE(YEAR(Table1[[#This Row],[تاريخ الميلاد]])+60,MONTH(Table1[[#This Row],[تاريخ الميلاد]]),DAY(Table1[[#This Row],[تاريخ الميلاد]]))</f>
        <v>56717</v>
      </c>
      <c r="AD329" s="14">
        <f>DATE(YEAR(Table1[[#This Row],[معاش 01/01]])-1,MONTH(Table1[[#This Row],[تاريخ بلوغ 60 ]]),DAY(Table1[[#This Row],[تاريخ بلوغ 60 ]]))</f>
        <v>56717</v>
      </c>
      <c r="AE32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57083</v>
      </c>
      <c r="AF329" s="10" t="str">
        <f>IFERROR(IF(ISODD(MID(Table1[[#This Row],[الرقم القومي]],13,1)),"ذكر","انثي"),"")</f>
        <v>انثي</v>
      </c>
      <c r="AG329" s="70" t="s">
        <v>2606</v>
      </c>
      <c r="AH329" s="3">
        <f>IF(MONTH(Table1[[#This Row],[تاريخ بلوغ 60 ]])&lt;&gt;1,1,0)</f>
        <v>1</v>
      </c>
      <c r="AI329" s="3">
        <f>IF(DAY(Table1[[#This Row],[تاريخ بلوغ 60 ]])&lt;&gt;1,1,0)</f>
        <v>1</v>
      </c>
      <c r="AJ329" s="4" t="s">
        <v>465</v>
      </c>
      <c r="AK329" s="4" t="s">
        <v>2689</v>
      </c>
      <c r="AL329" s="62" t="s">
        <v>2211</v>
      </c>
      <c r="AM329" s="62" t="s">
        <v>2977</v>
      </c>
      <c r="AN329" s="2">
        <v>3</v>
      </c>
      <c r="AO329" s="4" t="s">
        <v>2641</v>
      </c>
      <c r="AP329" s="74">
        <v>401.71</v>
      </c>
      <c r="AQ329" s="4">
        <v>18.75</v>
      </c>
      <c r="AR329" s="4">
        <v>7</v>
      </c>
      <c r="AS329" s="4" t="s">
        <v>2642</v>
      </c>
      <c r="AT329" s="72">
        <v>0</v>
      </c>
      <c r="AU329" s="2">
        <v>8</v>
      </c>
      <c r="AV329" s="4"/>
      <c r="AW329" s="4"/>
      <c r="AX329" s="4"/>
    </row>
    <row r="330" spans="1:50" ht="15" x14ac:dyDescent="0.2">
      <c r="A330" s="3">
        <v>33977</v>
      </c>
      <c r="B330" s="1" t="s">
        <v>468</v>
      </c>
      <c r="C330" s="3">
        <v>1</v>
      </c>
      <c r="D330" s="3" t="s">
        <v>465</v>
      </c>
      <c r="E330" s="3">
        <v>3</v>
      </c>
      <c r="F330" s="3" t="s">
        <v>472</v>
      </c>
      <c r="G330" s="7" t="s">
        <v>2213</v>
      </c>
      <c r="H330" s="3">
        <v>104</v>
      </c>
      <c r="I330" s="3" t="s">
        <v>1083</v>
      </c>
      <c r="J330" s="3">
        <v>18</v>
      </c>
      <c r="K330" s="3" t="s">
        <v>1529</v>
      </c>
      <c r="L330" s="3">
        <v>8</v>
      </c>
      <c r="M330" s="3" t="s">
        <v>506</v>
      </c>
      <c r="N330" s="3" t="s">
        <v>1090</v>
      </c>
      <c r="O330" s="10">
        <v>34375</v>
      </c>
      <c r="P330" s="10">
        <v>44743</v>
      </c>
      <c r="Q330" s="10"/>
      <c r="R330" s="10">
        <v>44743</v>
      </c>
      <c r="S330" s="23">
        <v>2282.4499999999998</v>
      </c>
      <c r="T330" s="3">
        <v>63678706</v>
      </c>
      <c r="U330" s="3">
        <v>29402100300222</v>
      </c>
      <c r="V330" s="4" t="s">
        <v>2215</v>
      </c>
      <c r="W330" s="4">
        <v>72404</v>
      </c>
      <c r="X330" s="4" t="s">
        <v>1583</v>
      </c>
      <c r="Y330" s="4">
        <v>2014</v>
      </c>
      <c r="Z330" s="3">
        <f ca="1">DATEDIF(Table1[[#This Row],[تاريخ الميلاد]],TODAY(),"y")</f>
        <v>32</v>
      </c>
      <c r="AA33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32 عام 6  شهر  10  يوم </v>
      </c>
      <c r="AB33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30" s="10">
        <f>DATE(YEAR(Table1[[#This Row],[تاريخ الميلاد]])+60,MONTH(Table1[[#This Row],[تاريخ الميلاد]]),DAY(Table1[[#This Row],[تاريخ الميلاد]]))</f>
        <v>56290</v>
      </c>
      <c r="AD330" s="14">
        <f>DATE(YEAR(Table1[[#This Row],[معاش 01/01]])-1,MONTH(Table1[[#This Row],[تاريخ بلوغ 60 ]]),DAY(Table1[[#This Row],[تاريخ بلوغ 60 ]]))</f>
        <v>56290</v>
      </c>
      <c r="AE33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56655</v>
      </c>
      <c r="AF330" s="10" t="str">
        <f>IFERROR(IF(ISODD(MID(Table1[[#This Row],[الرقم القومي]],13,1)),"ذكر","انثي"),"")</f>
        <v>انثي</v>
      </c>
      <c r="AG330" s="70" t="s">
        <v>2606</v>
      </c>
      <c r="AH330" s="3">
        <f>IF(MONTH(Table1[[#This Row],[تاريخ بلوغ 60 ]])&lt;&gt;1,1,0)</f>
        <v>1</v>
      </c>
      <c r="AI330" s="3">
        <f>IF(DAY(Table1[[#This Row],[تاريخ بلوغ 60 ]])&lt;&gt;1,1,0)</f>
        <v>1</v>
      </c>
      <c r="AJ330" s="4" t="s">
        <v>465</v>
      </c>
      <c r="AK330" s="4" t="s">
        <v>2666</v>
      </c>
      <c r="AL330" s="62" t="s">
        <v>2214</v>
      </c>
      <c r="AM330" s="62" t="s">
        <v>2978</v>
      </c>
      <c r="AN330" s="2">
        <v>3</v>
      </c>
      <c r="AO330" s="4" t="s">
        <v>2641</v>
      </c>
      <c r="AP330" s="74">
        <v>401.71</v>
      </c>
      <c r="AQ330" s="4">
        <v>18.75</v>
      </c>
      <c r="AR330" s="4">
        <v>7</v>
      </c>
      <c r="AS330" s="4" t="s">
        <v>2642</v>
      </c>
      <c r="AT330" s="72">
        <v>0</v>
      </c>
      <c r="AU330" s="2">
        <v>8</v>
      </c>
      <c r="AV330" s="4"/>
      <c r="AW330" s="4"/>
      <c r="AX330" s="4"/>
    </row>
    <row r="331" spans="1:50" ht="15" x14ac:dyDescent="0.2">
      <c r="A331" s="3">
        <v>33984</v>
      </c>
      <c r="B331" s="1" t="s">
        <v>468</v>
      </c>
      <c r="C331" s="3">
        <v>1</v>
      </c>
      <c r="D331" s="3" t="s">
        <v>465</v>
      </c>
      <c r="E331" s="3">
        <v>3</v>
      </c>
      <c r="F331" s="3" t="s">
        <v>472</v>
      </c>
      <c r="G331" s="7" t="s">
        <v>277</v>
      </c>
      <c r="H331" s="3">
        <v>208</v>
      </c>
      <c r="I331" s="3" t="s">
        <v>1503</v>
      </c>
      <c r="J331" s="3">
        <v>18</v>
      </c>
      <c r="K331" s="3" t="s">
        <v>1529</v>
      </c>
      <c r="L331" s="3">
        <v>8</v>
      </c>
      <c r="M331" s="3" t="s">
        <v>506</v>
      </c>
      <c r="N331" s="3" t="s">
        <v>1503</v>
      </c>
      <c r="O331" s="10">
        <v>33208</v>
      </c>
      <c r="P331" s="10">
        <v>44743</v>
      </c>
      <c r="Q331" s="10"/>
      <c r="R331" s="10">
        <v>44743</v>
      </c>
      <c r="S331" s="23">
        <v>2331.7600000000002</v>
      </c>
      <c r="T331" s="3">
        <v>64229148</v>
      </c>
      <c r="U331" s="3">
        <v>29012011101612</v>
      </c>
      <c r="V331" s="4" t="s">
        <v>2217</v>
      </c>
      <c r="W331" s="4">
        <v>72634</v>
      </c>
      <c r="X331" s="4" t="s">
        <v>1583</v>
      </c>
      <c r="Y331" s="4">
        <v>2009</v>
      </c>
      <c r="Z331" s="3">
        <f ca="1">DATEDIF(Table1[[#This Row],[تاريخ الميلاد]],TODAY(),"y")</f>
        <v>35</v>
      </c>
      <c r="AA33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35 عام 8  شهر  19  يوم </v>
      </c>
      <c r="AB33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31" s="10">
        <f>DATE(YEAR(Table1[[#This Row],[تاريخ الميلاد]])+60,MONTH(Table1[[#This Row],[تاريخ الميلاد]]),DAY(Table1[[#This Row],[تاريخ الميلاد]]))</f>
        <v>55123</v>
      </c>
      <c r="AD331" s="14">
        <f>DATE(YEAR(Table1[[#This Row],[معاش 01/01]])-1,MONTH(Table1[[#This Row],[تاريخ بلوغ 60 ]]),DAY(Table1[[#This Row],[تاريخ بلوغ 60 ]]))</f>
        <v>55123</v>
      </c>
      <c r="AE33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55488</v>
      </c>
      <c r="AF331" s="10" t="str">
        <f>IFERROR(IF(ISODD(MID(Table1[[#This Row],[الرقم القومي]],13,1)),"ذكر","انثي"),"")</f>
        <v>ذكر</v>
      </c>
      <c r="AG331" s="70" t="s">
        <v>2609</v>
      </c>
      <c r="AH331" s="3">
        <f>IF(MONTH(Table1[[#This Row],[تاريخ بلوغ 60 ]])&lt;&gt;1,1,0)</f>
        <v>1</v>
      </c>
      <c r="AI331" s="3">
        <f>IF(DAY(Table1[[#This Row],[تاريخ بلوغ 60 ]])&lt;&gt;1,1,0)</f>
        <v>0</v>
      </c>
      <c r="AJ331" s="4" t="s">
        <v>2116</v>
      </c>
      <c r="AK331" s="4">
        <v>0</v>
      </c>
      <c r="AL331" s="62" t="s">
        <v>2216</v>
      </c>
      <c r="AM331" s="62" t="s">
        <v>2979</v>
      </c>
      <c r="AN331" s="2">
        <v>3</v>
      </c>
      <c r="AO331" s="4" t="s">
        <v>2641</v>
      </c>
      <c r="AP331" s="74">
        <v>410.96</v>
      </c>
      <c r="AQ331" s="4">
        <v>18.75</v>
      </c>
      <c r="AR331" s="4">
        <v>3</v>
      </c>
      <c r="AS331" s="4" t="s">
        <v>2668</v>
      </c>
      <c r="AT331" s="72">
        <v>6</v>
      </c>
      <c r="AU331" s="2">
        <v>8</v>
      </c>
      <c r="AV331" s="4"/>
      <c r="AW331" s="4"/>
      <c r="AX331" s="4"/>
    </row>
    <row r="332" spans="1:50" ht="15" x14ac:dyDescent="0.2">
      <c r="A332" s="3">
        <v>33988</v>
      </c>
      <c r="B332" s="1" t="s">
        <v>468</v>
      </c>
      <c r="C332" s="3">
        <v>1</v>
      </c>
      <c r="D332" s="3" t="s">
        <v>465</v>
      </c>
      <c r="E332" s="3">
        <v>3</v>
      </c>
      <c r="F332" s="3" t="s">
        <v>472</v>
      </c>
      <c r="G332" s="7" t="s">
        <v>278</v>
      </c>
      <c r="H332" s="3">
        <v>104</v>
      </c>
      <c r="I332" s="3" t="s">
        <v>1083</v>
      </c>
      <c r="J332" s="3">
        <v>18</v>
      </c>
      <c r="K332" s="3" t="s">
        <v>1529</v>
      </c>
      <c r="L332" s="3">
        <v>8</v>
      </c>
      <c r="M332" s="3" t="s">
        <v>506</v>
      </c>
      <c r="N332" s="3" t="s">
        <v>1090</v>
      </c>
      <c r="O332" s="10">
        <v>33078</v>
      </c>
      <c r="P332" s="10">
        <v>44743</v>
      </c>
      <c r="Q332" s="10"/>
      <c r="R332" s="10">
        <v>44743</v>
      </c>
      <c r="S332" s="23">
        <v>2282.4499999999998</v>
      </c>
      <c r="T332" s="3">
        <v>61385469</v>
      </c>
      <c r="U332" s="3">
        <v>29007241202228</v>
      </c>
      <c r="V332" s="4" t="s">
        <v>2219</v>
      </c>
      <c r="W332" s="4">
        <v>72414</v>
      </c>
      <c r="X332" s="4" t="s">
        <v>1583</v>
      </c>
      <c r="Y332" s="4">
        <v>2007</v>
      </c>
      <c r="Z332" s="3">
        <f ca="1">DATEDIF(Table1[[#This Row],[تاريخ الميلاد]],TODAY(),"y")</f>
        <v>36</v>
      </c>
      <c r="AA33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36 عام 0  شهر  27  يوم </v>
      </c>
      <c r="AB33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32" s="10">
        <f>DATE(YEAR(Table1[[#This Row],[تاريخ الميلاد]])+60,MONTH(Table1[[#This Row],[تاريخ الميلاد]]),DAY(Table1[[#This Row],[تاريخ الميلاد]]))</f>
        <v>54993</v>
      </c>
      <c r="AD332" s="14">
        <f>DATE(YEAR(Table1[[#This Row],[معاش 01/01]])-1,MONTH(Table1[[#This Row],[تاريخ بلوغ 60 ]]),DAY(Table1[[#This Row],[تاريخ بلوغ 60 ]]))</f>
        <v>54993</v>
      </c>
      <c r="AE33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55358</v>
      </c>
      <c r="AF332" s="10" t="str">
        <f>IFERROR(IF(ISODD(MID(Table1[[#This Row],[الرقم القومي]],13,1)),"ذكر","انثي"),"")</f>
        <v>انثي</v>
      </c>
      <c r="AG332" s="70" t="s">
        <v>1635</v>
      </c>
      <c r="AH332" s="3">
        <f>IF(MONTH(Table1[[#This Row],[تاريخ بلوغ 60 ]])&lt;&gt;1,1,0)</f>
        <v>1</v>
      </c>
      <c r="AI332" s="3">
        <f>IF(DAY(Table1[[#This Row],[تاريخ بلوغ 60 ]])&lt;&gt;1,1,0)</f>
        <v>1</v>
      </c>
      <c r="AJ332" s="4" t="s">
        <v>465</v>
      </c>
      <c r="AK332" s="4" t="s">
        <v>2689</v>
      </c>
      <c r="AL332" s="62" t="s">
        <v>2218</v>
      </c>
      <c r="AM332" s="62" t="s">
        <v>2980</v>
      </c>
      <c r="AN332" s="2">
        <v>3</v>
      </c>
      <c r="AO332" s="4" t="s">
        <v>2641</v>
      </c>
      <c r="AP332" s="74">
        <v>401.71</v>
      </c>
      <c r="AQ332" s="4">
        <v>18.75</v>
      </c>
      <c r="AR332" s="4">
        <v>1</v>
      </c>
      <c r="AS332" s="4" t="s">
        <v>2635</v>
      </c>
      <c r="AT332" s="72">
        <v>2</v>
      </c>
      <c r="AU332" s="2">
        <v>8</v>
      </c>
      <c r="AV332" s="4"/>
      <c r="AW332" s="4"/>
      <c r="AX332" s="4"/>
    </row>
    <row r="333" spans="1:50" ht="15" x14ac:dyDescent="0.2">
      <c r="A333" s="3">
        <v>33990</v>
      </c>
      <c r="B333" s="1" t="s">
        <v>468</v>
      </c>
      <c r="C333" s="3">
        <v>1</v>
      </c>
      <c r="D333" s="3" t="s">
        <v>465</v>
      </c>
      <c r="E333" s="3">
        <v>3</v>
      </c>
      <c r="F333" s="3" t="s">
        <v>472</v>
      </c>
      <c r="G333" s="7" t="s">
        <v>279</v>
      </c>
      <c r="H333" s="3">
        <v>104</v>
      </c>
      <c r="I333" s="3" t="s">
        <v>1083</v>
      </c>
      <c r="J333" s="3">
        <v>18</v>
      </c>
      <c r="K333" s="3" t="s">
        <v>1529</v>
      </c>
      <c r="L333" s="3">
        <v>8</v>
      </c>
      <c r="M333" s="3" t="s">
        <v>506</v>
      </c>
      <c r="N333" s="3" t="s">
        <v>1090</v>
      </c>
      <c r="O333" s="10">
        <v>32828</v>
      </c>
      <c r="P333" s="10">
        <v>44743</v>
      </c>
      <c r="Q333" s="10"/>
      <c r="R333" s="10">
        <v>44743</v>
      </c>
      <c r="S333" s="23">
        <v>2282.4499999999998</v>
      </c>
      <c r="T333" s="3">
        <v>61386199</v>
      </c>
      <c r="U333" s="3">
        <v>28911160300203</v>
      </c>
      <c r="V333" s="4" t="s">
        <v>2221</v>
      </c>
      <c r="W333" s="4">
        <v>72416</v>
      </c>
      <c r="X333" s="4" t="s">
        <v>1583</v>
      </c>
      <c r="Y333" s="4">
        <v>2008</v>
      </c>
      <c r="Z333" s="3">
        <f ca="1">DATEDIF(Table1[[#This Row],[تاريخ الميلاد]],TODAY(),"y")</f>
        <v>36</v>
      </c>
      <c r="AA33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36 عام 9  شهر  4  يوم </v>
      </c>
      <c r="AB33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33" s="10">
        <f>DATE(YEAR(Table1[[#This Row],[تاريخ الميلاد]])+60,MONTH(Table1[[#This Row],[تاريخ الميلاد]]),DAY(Table1[[#This Row],[تاريخ الميلاد]]))</f>
        <v>54743</v>
      </c>
      <c r="AD333" s="14">
        <f>DATE(YEAR(Table1[[#This Row],[معاش 01/01]])-1,MONTH(Table1[[#This Row],[تاريخ بلوغ 60 ]]),DAY(Table1[[#This Row],[تاريخ بلوغ 60 ]]))</f>
        <v>54743</v>
      </c>
      <c r="AE33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55108</v>
      </c>
      <c r="AF333" s="10" t="str">
        <f>IFERROR(IF(ISODD(MID(Table1[[#This Row],[الرقم القومي]],13,1)),"ذكر","انثي"),"")</f>
        <v>انثي</v>
      </c>
      <c r="AG333" s="70" t="s">
        <v>2606</v>
      </c>
      <c r="AH333" s="3">
        <f>IF(MONTH(Table1[[#This Row],[تاريخ بلوغ 60 ]])&lt;&gt;1,1,0)</f>
        <v>1</v>
      </c>
      <c r="AI333" s="3">
        <f>IF(DAY(Table1[[#This Row],[تاريخ بلوغ 60 ]])&lt;&gt;1,1,0)</f>
        <v>1</v>
      </c>
      <c r="AJ333" s="4" t="s">
        <v>465</v>
      </c>
      <c r="AK333" s="4" t="s">
        <v>2636</v>
      </c>
      <c r="AL333" s="62" t="s">
        <v>2220</v>
      </c>
      <c r="AM333" s="62" t="s">
        <v>2981</v>
      </c>
      <c r="AN333" s="2">
        <v>3</v>
      </c>
      <c r="AO333" s="4" t="s">
        <v>2641</v>
      </c>
      <c r="AP333" s="74">
        <v>401.71</v>
      </c>
      <c r="AQ333" s="4">
        <v>18.75</v>
      </c>
      <c r="AR333" s="4">
        <v>1</v>
      </c>
      <c r="AS333" s="4" t="s">
        <v>2635</v>
      </c>
      <c r="AT333" s="72">
        <v>2</v>
      </c>
      <c r="AU333" s="2">
        <v>8</v>
      </c>
      <c r="AV333" s="4"/>
      <c r="AW333" s="4"/>
      <c r="AX333" s="4"/>
    </row>
    <row r="334" spans="1:50" ht="15" x14ac:dyDescent="0.2">
      <c r="A334" s="3">
        <v>33993</v>
      </c>
      <c r="B334" s="1" t="s">
        <v>468</v>
      </c>
      <c r="C334" s="3">
        <v>1</v>
      </c>
      <c r="D334" s="3" t="s">
        <v>465</v>
      </c>
      <c r="E334" s="3">
        <v>3</v>
      </c>
      <c r="F334" s="3" t="s">
        <v>472</v>
      </c>
      <c r="G334" s="7" t="s">
        <v>280</v>
      </c>
      <c r="H334" s="3">
        <v>104</v>
      </c>
      <c r="I334" s="3" t="s">
        <v>1083</v>
      </c>
      <c r="J334" s="3">
        <v>18</v>
      </c>
      <c r="K334" s="3" t="s">
        <v>1529</v>
      </c>
      <c r="L334" s="3">
        <v>8</v>
      </c>
      <c r="M334" s="3" t="s">
        <v>506</v>
      </c>
      <c r="N334" s="3" t="s">
        <v>1090</v>
      </c>
      <c r="O334" s="10">
        <v>31571</v>
      </c>
      <c r="P334" s="10">
        <v>44743</v>
      </c>
      <c r="Q334" s="10"/>
      <c r="R334" s="10">
        <v>44743</v>
      </c>
      <c r="S334" s="23">
        <v>2331.7600000000002</v>
      </c>
      <c r="T334" s="3">
        <v>3105297</v>
      </c>
      <c r="U334" s="3">
        <v>28606081100501</v>
      </c>
      <c r="V334" s="4" t="s">
        <v>2223</v>
      </c>
      <c r="W334" s="4">
        <v>72419</v>
      </c>
      <c r="X334" s="4" t="s">
        <v>1583</v>
      </c>
      <c r="Y334" s="4">
        <v>2005</v>
      </c>
      <c r="Z334" s="3">
        <f ca="1">DATEDIF(Table1[[#This Row],[تاريخ الميلاد]],TODAY(),"y")</f>
        <v>40</v>
      </c>
      <c r="AA33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40 عام 2  شهر  12  يوم </v>
      </c>
      <c r="AB33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34" s="10">
        <f>DATE(YEAR(Table1[[#This Row],[تاريخ الميلاد]])+60,MONTH(Table1[[#This Row],[تاريخ الميلاد]]),DAY(Table1[[#This Row],[تاريخ الميلاد]]))</f>
        <v>53486</v>
      </c>
      <c r="AD334" s="14">
        <f>DATE(YEAR(Table1[[#This Row],[معاش 01/01]])-1,MONTH(Table1[[#This Row],[تاريخ بلوغ 60 ]]),DAY(Table1[[#This Row],[تاريخ بلوغ 60 ]]))</f>
        <v>53486</v>
      </c>
      <c r="AE33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53851</v>
      </c>
      <c r="AF334" s="10" t="str">
        <f>IFERROR(IF(ISODD(MID(Table1[[#This Row],[الرقم القومي]],13,1)),"ذكر","انثي"),"")</f>
        <v>انثي</v>
      </c>
      <c r="AG334" s="70" t="s">
        <v>2609</v>
      </c>
      <c r="AH334" s="3">
        <f>IF(MONTH(Table1[[#This Row],[تاريخ بلوغ 60 ]])&lt;&gt;1,1,0)</f>
        <v>1</v>
      </c>
      <c r="AI334" s="3">
        <f>IF(DAY(Table1[[#This Row],[تاريخ بلوغ 60 ]])&lt;&gt;1,1,0)</f>
        <v>1</v>
      </c>
      <c r="AJ334" s="4" t="s">
        <v>465</v>
      </c>
      <c r="AK334" s="4" t="s">
        <v>2689</v>
      </c>
      <c r="AL334" s="62" t="s">
        <v>2222</v>
      </c>
      <c r="AM334" s="62" t="s">
        <v>2982</v>
      </c>
      <c r="AN334" s="2">
        <v>3</v>
      </c>
      <c r="AO334" s="4" t="s">
        <v>2641</v>
      </c>
      <c r="AP334" s="74">
        <v>410.96</v>
      </c>
      <c r="AQ334" s="4">
        <v>18.75</v>
      </c>
      <c r="AR334" s="4">
        <v>1</v>
      </c>
      <c r="AS334" s="4" t="s">
        <v>2635</v>
      </c>
      <c r="AT334" s="72">
        <v>2</v>
      </c>
      <c r="AU334" s="2">
        <v>8</v>
      </c>
      <c r="AV334" s="4"/>
      <c r="AW334" s="4"/>
      <c r="AX334" s="4"/>
    </row>
    <row r="335" spans="1:50" ht="15" x14ac:dyDescent="0.2">
      <c r="A335" s="3">
        <v>33995</v>
      </c>
      <c r="B335" s="1" t="s">
        <v>468</v>
      </c>
      <c r="C335" s="3">
        <v>1</v>
      </c>
      <c r="D335" s="3" t="s">
        <v>465</v>
      </c>
      <c r="E335" s="3">
        <v>3</v>
      </c>
      <c r="F335" s="3" t="s">
        <v>472</v>
      </c>
      <c r="G335" s="7" t="s">
        <v>281</v>
      </c>
      <c r="H335" s="3">
        <v>104</v>
      </c>
      <c r="I335" s="3" t="s">
        <v>1083</v>
      </c>
      <c r="J335" s="3">
        <v>18</v>
      </c>
      <c r="K335" s="3" t="s">
        <v>1529</v>
      </c>
      <c r="L335" s="3">
        <v>8</v>
      </c>
      <c r="M335" s="3" t="s">
        <v>506</v>
      </c>
      <c r="N335" s="3" t="s">
        <v>1090</v>
      </c>
      <c r="O335" s="10">
        <v>31865</v>
      </c>
      <c r="P335" s="10">
        <v>44743</v>
      </c>
      <c r="Q335" s="10"/>
      <c r="R335" s="10">
        <v>44743</v>
      </c>
      <c r="S335" s="23">
        <v>2282.4499999999998</v>
      </c>
      <c r="T335" s="3">
        <v>67021073</v>
      </c>
      <c r="U335" s="3">
        <v>28703291202761</v>
      </c>
      <c r="V335" s="4" t="s">
        <v>2225</v>
      </c>
      <c r="W335" s="4">
        <v>72421</v>
      </c>
      <c r="X335" s="4" t="s">
        <v>1583</v>
      </c>
      <c r="Y335" s="4">
        <v>2004</v>
      </c>
      <c r="Z335" s="3">
        <f ca="1">DATEDIF(Table1[[#This Row],[تاريخ الميلاد]],TODAY(),"y")</f>
        <v>39</v>
      </c>
      <c r="AA33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39 عام 4  شهر  22  يوم </v>
      </c>
      <c r="AB33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35" s="10">
        <f>DATE(YEAR(Table1[[#This Row],[تاريخ الميلاد]])+60,MONTH(Table1[[#This Row],[تاريخ الميلاد]]),DAY(Table1[[#This Row],[تاريخ الميلاد]]))</f>
        <v>53780</v>
      </c>
      <c r="AD335" s="14">
        <f>DATE(YEAR(Table1[[#This Row],[معاش 01/01]])-1,MONTH(Table1[[#This Row],[تاريخ بلوغ 60 ]]),DAY(Table1[[#This Row],[تاريخ بلوغ 60 ]]))</f>
        <v>53780</v>
      </c>
      <c r="AE33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54146</v>
      </c>
      <c r="AF335" s="10" t="str">
        <f>IFERROR(IF(ISODD(MID(Table1[[#This Row],[الرقم القومي]],13,1)),"ذكر","انثي"),"")</f>
        <v>انثي</v>
      </c>
      <c r="AG335" s="70" t="s">
        <v>1635</v>
      </c>
      <c r="AH335" s="3">
        <f>IF(MONTH(Table1[[#This Row],[تاريخ بلوغ 60 ]])&lt;&gt;1,1,0)</f>
        <v>1</v>
      </c>
      <c r="AI335" s="3">
        <f>IF(DAY(Table1[[#This Row],[تاريخ بلوغ 60 ]])&lt;&gt;1,1,0)</f>
        <v>1</v>
      </c>
      <c r="AJ335" s="4" t="s">
        <v>465</v>
      </c>
      <c r="AK335" s="4" t="s">
        <v>2689</v>
      </c>
      <c r="AL335" s="62" t="s">
        <v>2224</v>
      </c>
      <c r="AM335" s="62" t="s">
        <v>2983</v>
      </c>
      <c r="AN335" s="2">
        <v>3</v>
      </c>
      <c r="AO335" s="4" t="s">
        <v>2641</v>
      </c>
      <c r="AP335" s="74">
        <v>401.71</v>
      </c>
      <c r="AQ335" s="4">
        <v>18.75</v>
      </c>
      <c r="AR335" s="4">
        <v>1</v>
      </c>
      <c r="AS335" s="4" t="s">
        <v>2635</v>
      </c>
      <c r="AT335" s="72">
        <v>2</v>
      </c>
      <c r="AU335" s="2">
        <v>8</v>
      </c>
      <c r="AV335" s="4"/>
      <c r="AW335" s="4"/>
      <c r="AX335" s="4"/>
    </row>
    <row r="336" spans="1:50" ht="15" x14ac:dyDescent="0.2">
      <c r="A336" s="3">
        <v>33997</v>
      </c>
      <c r="B336" s="1" t="s">
        <v>468</v>
      </c>
      <c r="C336" s="3">
        <v>1</v>
      </c>
      <c r="D336" s="3" t="s">
        <v>465</v>
      </c>
      <c r="E336" s="3">
        <v>3</v>
      </c>
      <c r="F336" s="3" t="s">
        <v>472</v>
      </c>
      <c r="G336" s="7" t="s">
        <v>282</v>
      </c>
      <c r="H336" s="3">
        <v>104</v>
      </c>
      <c r="I336" s="3" t="s">
        <v>1083</v>
      </c>
      <c r="J336" s="3">
        <v>18</v>
      </c>
      <c r="K336" s="3" t="s">
        <v>1529</v>
      </c>
      <c r="L336" s="3">
        <v>8</v>
      </c>
      <c r="M336" s="3" t="s">
        <v>506</v>
      </c>
      <c r="N336" s="3" t="s">
        <v>1090</v>
      </c>
      <c r="O336" s="10">
        <v>32719</v>
      </c>
      <c r="P336" s="10">
        <v>44743</v>
      </c>
      <c r="Q336" s="10"/>
      <c r="R336" s="10">
        <v>44743</v>
      </c>
      <c r="S336" s="23">
        <v>2282.4499999999998</v>
      </c>
      <c r="T336" s="3">
        <v>61429037</v>
      </c>
      <c r="U336" s="3">
        <v>28907302401161</v>
      </c>
      <c r="V336" s="4" t="s">
        <v>2227</v>
      </c>
      <c r="W336" s="4">
        <v>72423</v>
      </c>
      <c r="X336" s="4" t="s">
        <v>1583</v>
      </c>
      <c r="Y336" s="4">
        <v>2007</v>
      </c>
      <c r="Z336" s="3">
        <f ca="1">DATEDIF(Table1[[#This Row],[تاريخ الميلاد]],TODAY(),"y")</f>
        <v>37</v>
      </c>
      <c r="AA33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0  شهر  21  يوم </v>
      </c>
      <c r="AB33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36" s="10">
        <f>DATE(YEAR(Table1[[#This Row],[تاريخ الميلاد]])+60,MONTH(Table1[[#This Row],[تاريخ الميلاد]]),DAY(Table1[[#This Row],[تاريخ الميلاد]]))</f>
        <v>54634</v>
      </c>
      <c r="AD336" s="14">
        <f>DATE(YEAR(Table1[[#This Row],[معاش 01/01]])-1,MONTH(Table1[[#This Row],[تاريخ بلوغ 60 ]]),DAY(Table1[[#This Row],[تاريخ بلوغ 60 ]]))</f>
        <v>54634</v>
      </c>
      <c r="AE33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54999</v>
      </c>
      <c r="AF336" s="10" t="str">
        <f>IFERROR(IF(ISODD(MID(Table1[[#This Row],[الرقم القومي]],13,1)),"ذكر","انثي"),"")</f>
        <v>انثي</v>
      </c>
      <c r="AG336" s="70" t="s">
        <v>2009</v>
      </c>
      <c r="AH336" s="3">
        <f>IF(MONTH(Table1[[#This Row],[تاريخ بلوغ 60 ]])&lt;&gt;1,1,0)</f>
        <v>1</v>
      </c>
      <c r="AI336" s="3">
        <f>IF(DAY(Table1[[#This Row],[تاريخ بلوغ 60 ]])&lt;&gt;1,1,0)</f>
        <v>1</v>
      </c>
      <c r="AJ336" s="4" t="s">
        <v>465</v>
      </c>
      <c r="AK336" s="4" t="s">
        <v>2689</v>
      </c>
      <c r="AL336" s="62" t="s">
        <v>2226</v>
      </c>
      <c r="AM336" s="62" t="s">
        <v>2984</v>
      </c>
      <c r="AN336" s="2">
        <v>3</v>
      </c>
      <c r="AO336" s="4" t="s">
        <v>2641</v>
      </c>
      <c r="AP336" s="74">
        <v>401.71</v>
      </c>
      <c r="AQ336" s="4">
        <v>18.75</v>
      </c>
      <c r="AR336" s="4">
        <v>1</v>
      </c>
      <c r="AS336" s="4" t="s">
        <v>2635</v>
      </c>
      <c r="AT336" s="72">
        <v>2</v>
      </c>
      <c r="AU336" s="2">
        <v>8</v>
      </c>
      <c r="AV336" s="4"/>
      <c r="AW336" s="4"/>
      <c r="AX336" s="4"/>
    </row>
    <row r="337" spans="1:50" ht="15" x14ac:dyDescent="0.2">
      <c r="A337" s="3">
        <v>34002</v>
      </c>
      <c r="B337" s="1" t="s">
        <v>468</v>
      </c>
      <c r="C337" s="3">
        <v>1</v>
      </c>
      <c r="D337" s="3" t="s">
        <v>465</v>
      </c>
      <c r="E337" s="3">
        <v>3</v>
      </c>
      <c r="F337" s="3" t="s">
        <v>472</v>
      </c>
      <c r="G337" s="7" t="s">
        <v>283</v>
      </c>
      <c r="H337" s="3">
        <v>104</v>
      </c>
      <c r="I337" s="3" t="s">
        <v>1083</v>
      </c>
      <c r="J337" s="3">
        <v>18</v>
      </c>
      <c r="K337" s="3" t="s">
        <v>1529</v>
      </c>
      <c r="L337" s="3">
        <v>8</v>
      </c>
      <c r="M337" s="3" t="s">
        <v>506</v>
      </c>
      <c r="N337" s="3" t="s">
        <v>1090</v>
      </c>
      <c r="O337" s="10">
        <v>32292</v>
      </c>
      <c r="P337" s="10">
        <v>44743</v>
      </c>
      <c r="Q337" s="10"/>
      <c r="R337" s="10">
        <v>44743</v>
      </c>
      <c r="S337" s="23">
        <v>2282.4499999999998</v>
      </c>
      <c r="T337" s="3">
        <v>59852030</v>
      </c>
      <c r="U337" s="3">
        <v>28805290300146</v>
      </c>
      <c r="V337" s="4" t="s">
        <v>2229</v>
      </c>
      <c r="W337" s="4">
        <v>72428</v>
      </c>
      <c r="X337" s="4" t="s">
        <v>1583</v>
      </c>
      <c r="Y337" s="4">
        <v>2005</v>
      </c>
      <c r="Z337" s="3">
        <f ca="1">DATEDIF(Table1[[#This Row],[تاريخ الميلاد]],TODAY(),"y")</f>
        <v>38</v>
      </c>
      <c r="AA33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2  شهر  22  يوم </v>
      </c>
      <c r="AB33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37" s="10">
        <f>DATE(YEAR(Table1[[#This Row],[تاريخ الميلاد]])+60,MONTH(Table1[[#This Row],[تاريخ الميلاد]]),DAY(Table1[[#This Row],[تاريخ الميلاد]]))</f>
        <v>54207</v>
      </c>
      <c r="AD337" s="14">
        <f>DATE(YEAR(Table1[[#This Row],[معاش 01/01]])-1,MONTH(Table1[[#This Row],[تاريخ بلوغ 60 ]]),DAY(Table1[[#This Row],[تاريخ بلوغ 60 ]]))</f>
        <v>54207</v>
      </c>
      <c r="AE33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54572</v>
      </c>
      <c r="AF337" s="10" t="str">
        <f>IFERROR(IF(ISODD(MID(Table1[[#This Row],[الرقم القومي]],13,1)),"ذكر","انثي"),"")</f>
        <v>انثي</v>
      </c>
      <c r="AG337" s="70" t="s">
        <v>2606</v>
      </c>
      <c r="AH337" s="3">
        <f>IF(MONTH(Table1[[#This Row],[تاريخ بلوغ 60 ]])&lt;&gt;1,1,0)</f>
        <v>1</v>
      </c>
      <c r="AI337" s="3">
        <f>IF(DAY(Table1[[#This Row],[تاريخ بلوغ 60 ]])&lt;&gt;1,1,0)</f>
        <v>1</v>
      </c>
      <c r="AJ337" s="4" t="s">
        <v>465</v>
      </c>
      <c r="AK337" s="4" t="s">
        <v>2666</v>
      </c>
      <c r="AL337" s="62" t="s">
        <v>2228</v>
      </c>
      <c r="AM337" s="62" t="s">
        <v>2985</v>
      </c>
      <c r="AN337" s="2">
        <v>3</v>
      </c>
      <c r="AO337" s="4" t="s">
        <v>2641</v>
      </c>
      <c r="AP337" s="74">
        <v>401.71</v>
      </c>
      <c r="AQ337" s="4">
        <v>18.75</v>
      </c>
      <c r="AR337" s="4">
        <v>1</v>
      </c>
      <c r="AS337" s="4" t="s">
        <v>2635</v>
      </c>
      <c r="AT337" s="72">
        <v>2</v>
      </c>
      <c r="AU337" s="2">
        <v>8</v>
      </c>
      <c r="AV337" s="4"/>
      <c r="AW337" s="4"/>
      <c r="AX337" s="4"/>
    </row>
    <row r="338" spans="1:50" ht="15" x14ac:dyDescent="0.2">
      <c r="A338" s="3">
        <v>34014</v>
      </c>
      <c r="B338" s="1" t="s">
        <v>468</v>
      </c>
      <c r="C338" s="3">
        <v>1</v>
      </c>
      <c r="D338" s="3" t="s">
        <v>465</v>
      </c>
      <c r="E338" s="3">
        <v>3</v>
      </c>
      <c r="F338" s="3" t="s">
        <v>472</v>
      </c>
      <c r="G338" s="7" t="s">
        <v>284</v>
      </c>
      <c r="H338" s="3">
        <v>104</v>
      </c>
      <c r="I338" s="3" t="s">
        <v>1083</v>
      </c>
      <c r="J338" s="3">
        <v>18</v>
      </c>
      <c r="K338" s="3" t="s">
        <v>1529</v>
      </c>
      <c r="L338" s="3">
        <v>8</v>
      </c>
      <c r="M338" s="3" t="s">
        <v>506</v>
      </c>
      <c r="N338" s="3" t="s">
        <v>1090</v>
      </c>
      <c r="O338" s="10">
        <v>33361</v>
      </c>
      <c r="P338" s="10">
        <v>44743</v>
      </c>
      <c r="Q338" s="10"/>
      <c r="R338" s="10">
        <v>44743</v>
      </c>
      <c r="S338" s="23">
        <v>2282.4499999999998</v>
      </c>
      <c r="T338" s="3">
        <v>65991560</v>
      </c>
      <c r="U338" s="3">
        <v>29105030300241</v>
      </c>
      <c r="V338" s="4" t="s">
        <v>2231</v>
      </c>
      <c r="W338" s="4">
        <v>72439</v>
      </c>
      <c r="X338" s="4" t="s">
        <v>1583</v>
      </c>
      <c r="Y338" s="4">
        <v>2010</v>
      </c>
      <c r="Z338" s="3">
        <f ca="1">DATEDIF(Table1[[#This Row],[تاريخ الميلاد]],TODAY(),"y")</f>
        <v>35</v>
      </c>
      <c r="AA33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35 عام 3  شهر  17  يوم </v>
      </c>
      <c r="AB33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38" s="10">
        <f>DATE(YEAR(Table1[[#This Row],[تاريخ الميلاد]])+60,MONTH(Table1[[#This Row],[تاريخ الميلاد]]),DAY(Table1[[#This Row],[تاريخ الميلاد]]))</f>
        <v>55276</v>
      </c>
      <c r="AD338" s="14">
        <f>DATE(YEAR(Table1[[#This Row],[معاش 01/01]])-1,MONTH(Table1[[#This Row],[تاريخ بلوغ 60 ]]),DAY(Table1[[#This Row],[تاريخ بلوغ 60 ]]))</f>
        <v>55276</v>
      </c>
      <c r="AE33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55642</v>
      </c>
      <c r="AF338" s="10" t="str">
        <f>IFERROR(IF(ISODD(MID(Table1[[#This Row],[الرقم القومي]],13,1)),"ذكر","انثي"),"")</f>
        <v>انثي</v>
      </c>
      <c r="AG338" s="70" t="s">
        <v>2606</v>
      </c>
      <c r="AH338" s="3">
        <f>IF(MONTH(Table1[[#This Row],[تاريخ بلوغ 60 ]])&lt;&gt;1,1,0)</f>
        <v>1</v>
      </c>
      <c r="AI338" s="3">
        <f>IF(DAY(Table1[[#This Row],[تاريخ بلوغ 60 ]])&lt;&gt;1,1,0)</f>
        <v>1</v>
      </c>
      <c r="AJ338" s="4" t="s">
        <v>465</v>
      </c>
      <c r="AK338" s="4">
        <v>0</v>
      </c>
      <c r="AL338" s="62" t="s">
        <v>2230</v>
      </c>
      <c r="AM338" s="62" t="s">
        <v>2986</v>
      </c>
      <c r="AN338" s="2">
        <v>3</v>
      </c>
      <c r="AO338" s="4" t="s">
        <v>2641</v>
      </c>
      <c r="AP338" s="74">
        <v>401.71</v>
      </c>
      <c r="AQ338" s="4">
        <v>18.75</v>
      </c>
      <c r="AR338" s="4">
        <v>1</v>
      </c>
      <c r="AS338" s="4" t="s">
        <v>2635</v>
      </c>
      <c r="AT338" s="72">
        <v>2</v>
      </c>
      <c r="AU338" s="2">
        <v>8</v>
      </c>
      <c r="AV338" s="4"/>
      <c r="AW338" s="4"/>
      <c r="AX338" s="4"/>
    </row>
    <row r="339" spans="1:50" ht="15" x14ac:dyDescent="0.2">
      <c r="A339" s="3">
        <v>34015</v>
      </c>
      <c r="B339" s="1" t="s">
        <v>468</v>
      </c>
      <c r="C339" s="3">
        <v>1</v>
      </c>
      <c r="D339" s="3" t="s">
        <v>465</v>
      </c>
      <c r="E339" s="3">
        <v>3</v>
      </c>
      <c r="F339" s="3" t="s">
        <v>472</v>
      </c>
      <c r="G339" s="7" t="s">
        <v>285</v>
      </c>
      <c r="H339" s="3">
        <v>208</v>
      </c>
      <c r="I339" s="3" t="s">
        <v>1503</v>
      </c>
      <c r="J339" s="3">
        <v>18</v>
      </c>
      <c r="K339" s="3" t="s">
        <v>1529</v>
      </c>
      <c r="L339" s="3">
        <v>8</v>
      </c>
      <c r="M339" s="3" t="s">
        <v>506</v>
      </c>
      <c r="N339" s="3" t="s">
        <v>1503</v>
      </c>
      <c r="O339" s="10">
        <v>33836</v>
      </c>
      <c r="P339" s="10">
        <v>44743</v>
      </c>
      <c r="Q339" s="10"/>
      <c r="R339" s="10">
        <v>44743</v>
      </c>
      <c r="S339" s="23">
        <v>2331.7600000000002</v>
      </c>
      <c r="T339" s="3">
        <v>65649489</v>
      </c>
      <c r="U339" s="3">
        <v>29208201300079</v>
      </c>
      <c r="V339" s="4" t="s">
        <v>2233</v>
      </c>
      <c r="W339" s="4">
        <v>72604</v>
      </c>
      <c r="X339" s="4" t="s">
        <v>1583</v>
      </c>
      <c r="Y339" s="4">
        <v>2011</v>
      </c>
      <c r="Z339" s="3">
        <f ca="1">DATEDIF(Table1[[#This Row],[تاريخ الميلاد]],TODAY(),"y")</f>
        <v>34</v>
      </c>
      <c r="AA33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34 عام 0  شهر  0  يوم </v>
      </c>
      <c r="AB33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39" s="10">
        <f>DATE(YEAR(Table1[[#This Row],[تاريخ الميلاد]])+60,MONTH(Table1[[#This Row],[تاريخ الميلاد]]),DAY(Table1[[#This Row],[تاريخ الميلاد]]))</f>
        <v>55751</v>
      </c>
      <c r="AD339" s="14">
        <f>DATE(YEAR(Table1[[#This Row],[معاش 01/01]])-1,MONTH(Table1[[#This Row],[تاريخ بلوغ 60 ]]),DAY(Table1[[#This Row],[تاريخ بلوغ 60 ]]))</f>
        <v>55751</v>
      </c>
      <c r="AE33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56116</v>
      </c>
      <c r="AF339" s="10" t="str">
        <f>IFERROR(IF(ISODD(MID(Table1[[#This Row],[الرقم القومي]],13,1)),"ذكر","انثي"),"")</f>
        <v>ذكر</v>
      </c>
      <c r="AG339" s="70" t="s">
        <v>2610</v>
      </c>
      <c r="AH339" s="3">
        <f>IF(MONTH(Table1[[#This Row],[تاريخ بلوغ 60 ]])&lt;&gt;1,1,0)</f>
        <v>1</v>
      </c>
      <c r="AI339" s="3">
        <f>IF(DAY(Table1[[#This Row],[تاريخ بلوغ 60 ]])&lt;&gt;1,1,0)</f>
        <v>1</v>
      </c>
      <c r="AJ339" s="4" t="s">
        <v>1719</v>
      </c>
      <c r="AK339" s="4">
        <v>0</v>
      </c>
      <c r="AL339" s="62" t="s">
        <v>2232</v>
      </c>
      <c r="AM339" s="62" t="s">
        <v>2987</v>
      </c>
      <c r="AN339" s="2">
        <v>3</v>
      </c>
      <c r="AO339" s="4" t="s">
        <v>2641</v>
      </c>
      <c r="AP339" s="74">
        <v>410.96</v>
      </c>
      <c r="AQ339" s="4">
        <v>18.75</v>
      </c>
      <c r="AR339" s="4">
        <v>3</v>
      </c>
      <c r="AS339" s="4" t="s">
        <v>2668</v>
      </c>
      <c r="AT339" s="72">
        <v>6</v>
      </c>
      <c r="AU339" s="2">
        <v>8</v>
      </c>
      <c r="AV339" s="4"/>
      <c r="AW339" s="4"/>
      <c r="AX339" s="4"/>
    </row>
    <row r="340" spans="1:50" ht="15" x14ac:dyDescent="0.2">
      <c r="A340" s="3">
        <v>34017</v>
      </c>
      <c r="B340" s="1" t="s">
        <v>468</v>
      </c>
      <c r="C340" s="3">
        <v>1</v>
      </c>
      <c r="D340" s="3" t="s">
        <v>465</v>
      </c>
      <c r="E340" s="3">
        <v>3</v>
      </c>
      <c r="F340" s="3" t="s">
        <v>472</v>
      </c>
      <c r="G340" s="7" t="s">
        <v>286</v>
      </c>
      <c r="H340" s="3">
        <v>104</v>
      </c>
      <c r="I340" s="3" t="s">
        <v>1083</v>
      </c>
      <c r="J340" s="3">
        <v>18</v>
      </c>
      <c r="K340" s="3" t="s">
        <v>1529</v>
      </c>
      <c r="L340" s="3">
        <v>8</v>
      </c>
      <c r="M340" s="3" t="s">
        <v>506</v>
      </c>
      <c r="N340" s="3" t="s">
        <v>1090</v>
      </c>
      <c r="O340" s="10">
        <v>34279</v>
      </c>
      <c r="P340" s="10">
        <v>44743</v>
      </c>
      <c r="Q340" s="10"/>
      <c r="R340" s="10">
        <v>44743</v>
      </c>
      <c r="S340" s="23">
        <v>2282.4499999999998</v>
      </c>
      <c r="T340" s="3">
        <v>50465945</v>
      </c>
      <c r="U340" s="3">
        <v>29311060300407</v>
      </c>
      <c r="V340" s="4" t="s">
        <v>2235</v>
      </c>
      <c r="W340" s="4">
        <v>72441</v>
      </c>
      <c r="X340" s="4" t="s">
        <v>1583</v>
      </c>
      <c r="Y340" s="4">
        <v>2014</v>
      </c>
      <c r="Z340" s="3">
        <f ca="1">DATEDIF(Table1[[#This Row],[تاريخ الميلاد]],TODAY(),"y")</f>
        <v>32</v>
      </c>
      <c r="AA34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32 عام 9  شهر  14  يوم </v>
      </c>
      <c r="AB34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40" s="10">
        <f>DATE(YEAR(Table1[[#This Row],[تاريخ الميلاد]])+60,MONTH(Table1[[#This Row],[تاريخ الميلاد]]),DAY(Table1[[#This Row],[تاريخ الميلاد]]))</f>
        <v>56194</v>
      </c>
      <c r="AD340" s="14">
        <f>DATE(YEAR(Table1[[#This Row],[معاش 01/01]])-1,MONTH(Table1[[#This Row],[تاريخ بلوغ 60 ]]),DAY(Table1[[#This Row],[تاريخ بلوغ 60 ]]))</f>
        <v>56194</v>
      </c>
      <c r="AE34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56559</v>
      </c>
      <c r="AF340" s="10" t="str">
        <f>IFERROR(IF(ISODD(MID(Table1[[#This Row],[الرقم القومي]],13,1)),"ذكر","انثي"),"")</f>
        <v>انثي</v>
      </c>
      <c r="AG340" s="70" t="s">
        <v>2606</v>
      </c>
      <c r="AH340" s="3">
        <f>IF(MONTH(Table1[[#This Row],[تاريخ بلوغ 60 ]])&lt;&gt;1,1,0)</f>
        <v>1</v>
      </c>
      <c r="AI340" s="3">
        <f>IF(DAY(Table1[[#This Row],[تاريخ بلوغ 60 ]])&lt;&gt;1,1,0)</f>
        <v>1</v>
      </c>
      <c r="AJ340" s="4" t="s">
        <v>465</v>
      </c>
      <c r="AK340" s="4">
        <v>0</v>
      </c>
      <c r="AL340" s="62" t="s">
        <v>2234</v>
      </c>
      <c r="AM340" s="62" t="s">
        <v>2988</v>
      </c>
      <c r="AN340" s="2">
        <v>3</v>
      </c>
      <c r="AO340" s="4" t="s">
        <v>2641</v>
      </c>
      <c r="AP340" s="74">
        <v>401.71</v>
      </c>
      <c r="AQ340" s="4">
        <v>18.75</v>
      </c>
      <c r="AR340" s="4">
        <v>1</v>
      </c>
      <c r="AS340" s="4" t="s">
        <v>2635</v>
      </c>
      <c r="AT340" s="72">
        <v>2</v>
      </c>
      <c r="AU340" s="2">
        <v>8</v>
      </c>
      <c r="AV340" s="4"/>
      <c r="AW340" s="4"/>
      <c r="AX340" s="4"/>
    </row>
    <row r="341" spans="1:50" ht="15" x14ac:dyDescent="0.2">
      <c r="A341" s="3">
        <v>34034</v>
      </c>
      <c r="B341" s="1" t="s">
        <v>468</v>
      </c>
      <c r="C341" s="3">
        <v>1</v>
      </c>
      <c r="D341" s="3" t="s">
        <v>465</v>
      </c>
      <c r="E341" s="3">
        <v>3</v>
      </c>
      <c r="F341" s="3" t="s">
        <v>472</v>
      </c>
      <c r="G341" s="7" t="s">
        <v>2236</v>
      </c>
      <c r="H341" s="3">
        <v>104</v>
      </c>
      <c r="I341" s="3" t="s">
        <v>1083</v>
      </c>
      <c r="J341" s="3">
        <v>18</v>
      </c>
      <c r="K341" s="3" t="s">
        <v>1529</v>
      </c>
      <c r="L341" s="3">
        <v>8</v>
      </c>
      <c r="M341" s="3" t="s">
        <v>506</v>
      </c>
      <c r="N341" s="3" t="s">
        <v>1090</v>
      </c>
      <c r="O341" s="10">
        <v>34030</v>
      </c>
      <c r="P341" s="10">
        <v>44743</v>
      </c>
      <c r="Q341" s="10"/>
      <c r="R341" s="10">
        <v>44743</v>
      </c>
      <c r="S341" s="23">
        <v>2282.4499999999998</v>
      </c>
      <c r="T341" s="3">
        <v>52456395</v>
      </c>
      <c r="U341" s="3">
        <v>29303020300045</v>
      </c>
      <c r="V341" s="4" t="s">
        <v>2238</v>
      </c>
      <c r="W341" s="4">
        <v>72458</v>
      </c>
      <c r="X341" s="4" t="s">
        <v>1583</v>
      </c>
      <c r="Y341" s="4">
        <v>2014</v>
      </c>
      <c r="Z341" s="3">
        <f ca="1">DATEDIF(Table1[[#This Row],[تاريخ الميلاد]],TODAY(),"y")</f>
        <v>33</v>
      </c>
      <c r="AA34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33 عام 5  شهر  18  يوم </v>
      </c>
      <c r="AB34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41" s="10">
        <f>DATE(YEAR(Table1[[#This Row],[تاريخ الميلاد]])+60,MONTH(Table1[[#This Row],[تاريخ الميلاد]]),DAY(Table1[[#This Row],[تاريخ الميلاد]]))</f>
        <v>55945</v>
      </c>
      <c r="AD341" s="14">
        <f>DATE(YEAR(Table1[[#This Row],[معاش 01/01]])-1,MONTH(Table1[[#This Row],[تاريخ بلوغ 60 ]]),DAY(Table1[[#This Row],[تاريخ بلوغ 60 ]]))</f>
        <v>55945</v>
      </c>
      <c r="AE34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56310</v>
      </c>
      <c r="AF341" s="10" t="str">
        <f>IFERROR(IF(ISODD(MID(Table1[[#This Row],[الرقم القومي]],13,1)),"ذكر","انثي"),"")</f>
        <v>انثي</v>
      </c>
      <c r="AG341" s="70" t="s">
        <v>2606</v>
      </c>
      <c r="AH341" s="3">
        <f>IF(MONTH(Table1[[#This Row],[تاريخ بلوغ 60 ]])&lt;&gt;1,1,0)</f>
        <v>1</v>
      </c>
      <c r="AI341" s="3">
        <f>IF(DAY(Table1[[#This Row],[تاريخ بلوغ 60 ]])&lt;&gt;1,1,0)</f>
        <v>1</v>
      </c>
      <c r="AJ341" s="4" t="s">
        <v>465</v>
      </c>
      <c r="AK341" s="4" t="s">
        <v>2689</v>
      </c>
      <c r="AL341" s="62" t="s">
        <v>2237</v>
      </c>
      <c r="AM341" s="62" t="s">
        <v>2989</v>
      </c>
      <c r="AN341" s="2">
        <v>3</v>
      </c>
      <c r="AO341" s="4" t="s">
        <v>2641</v>
      </c>
      <c r="AP341" s="74">
        <v>401.71</v>
      </c>
      <c r="AQ341" s="4">
        <v>18.75</v>
      </c>
      <c r="AR341" s="4">
        <v>1</v>
      </c>
      <c r="AS341" s="4" t="s">
        <v>2635</v>
      </c>
      <c r="AT341" s="72">
        <v>2</v>
      </c>
      <c r="AU341" s="2">
        <v>8</v>
      </c>
      <c r="AV341" s="4"/>
      <c r="AW341" s="4"/>
      <c r="AX341" s="4"/>
    </row>
    <row r="342" spans="1:50" ht="15" x14ac:dyDescent="0.2">
      <c r="A342" s="3">
        <v>34037</v>
      </c>
      <c r="B342" s="1" t="s">
        <v>468</v>
      </c>
      <c r="C342" s="3">
        <v>1</v>
      </c>
      <c r="D342" s="3" t="s">
        <v>465</v>
      </c>
      <c r="E342" s="3">
        <v>3</v>
      </c>
      <c r="F342" s="3" t="s">
        <v>472</v>
      </c>
      <c r="G342" s="7" t="s">
        <v>287</v>
      </c>
      <c r="H342" s="3">
        <v>104</v>
      </c>
      <c r="I342" s="3" t="s">
        <v>1083</v>
      </c>
      <c r="J342" s="3">
        <v>18</v>
      </c>
      <c r="K342" s="3" t="s">
        <v>1529</v>
      </c>
      <c r="L342" s="3">
        <v>8</v>
      </c>
      <c r="M342" s="3" t="s">
        <v>506</v>
      </c>
      <c r="N342" s="3" t="s">
        <v>1090</v>
      </c>
      <c r="O342" s="10">
        <v>32571</v>
      </c>
      <c r="P342" s="10">
        <v>44743</v>
      </c>
      <c r="Q342" s="10"/>
      <c r="R342" s="10">
        <v>44743</v>
      </c>
      <c r="S342" s="23">
        <v>2282.4499999999998</v>
      </c>
      <c r="T342" s="3">
        <v>28429480</v>
      </c>
      <c r="U342" s="3">
        <v>28903040300321</v>
      </c>
      <c r="V342" s="4" t="s">
        <v>2240</v>
      </c>
      <c r="W342" s="4">
        <v>72461</v>
      </c>
      <c r="X342" s="4" t="s">
        <v>1583</v>
      </c>
      <c r="Y342" s="4">
        <v>2005</v>
      </c>
      <c r="Z342" s="3">
        <f ca="1">DATEDIF(Table1[[#This Row],[تاريخ الميلاد]],TODAY(),"y")</f>
        <v>37</v>
      </c>
      <c r="AA34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5  شهر  16  يوم </v>
      </c>
      <c r="AB34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42" s="10">
        <f>DATE(YEAR(Table1[[#This Row],[تاريخ الميلاد]])+60,MONTH(Table1[[#This Row],[تاريخ الميلاد]]),DAY(Table1[[#This Row],[تاريخ الميلاد]]))</f>
        <v>54486</v>
      </c>
      <c r="AD342" s="14">
        <f>DATE(YEAR(Table1[[#This Row],[معاش 01/01]])-1,MONTH(Table1[[#This Row],[تاريخ بلوغ 60 ]]),DAY(Table1[[#This Row],[تاريخ بلوغ 60 ]]))</f>
        <v>54486</v>
      </c>
      <c r="AE34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54851</v>
      </c>
      <c r="AF342" s="10" t="str">
        <f>IFERROR(IF(ISODD(MID(Table1[[#This Row],[الرقم القومي]],13,1)),"ذكر","انثي"),"")</f>
        <v>انثي</v>
      </c>
      <c r="AG342" s="70" t="s">
        <v>2606</v>
      </c>
      <c r="AH342" s="3">
        <f>IF(MONTH(Table1[[#This Row],[تاريخ بلوغ 60 ]])&lt;&gt;1,1,0)</f>
        <v>1</v>
      </c>
      <c r="AI342" s="3">
        <f>IF(DAY(Table1[[#This Row],[تاريخ بلوغ 60 ]])&lt;&gt;1,1,0)</f>
        <v>1</v>
      </c>
      <c r="AJ342" s="4" t="s">
        <v>465</v>
      </c>
      <c r="AK342" s="4" t="s">
        <v>2666</v>
      </c>
      <c r="AL342" s="62" t="s">
        <v>2239</v>
      </c>
      <c r="AM342" s="62" t="s">
        <v>2990</v>
      </c>
      <c r="AN342" s="2">
        <v>3</v>
      </c>
      <c r="AO342" s="4" t="s">
        <v>2641</v>
      </c>
      <c r="AP342" s="74">
        <v>401.71</v>
      </c>
      <c r="AQ342" s="4">
        <v>18.75</v>
      </c>
      <c r="AR342" s="4">
        <v>1</v>
      </c>
      <c r="AS342" s="4" t="s">
        <v>2635</v>
      </c>
      <c r="AT342" s="72">
        <v>2</v>
      </c>
      <c r="AU342" s="2">
        <v>8</v>
      </c>
      <c r="AV342" s="4"/>
      <c r="AW342" s="4"/>
      <c r="AX342" s="4"/>
    </row>
    <row r="343" spans="1:50" ht="15" x14ac:dyDescent="0.2">
      <c r="A343" s="3">
        <v>34041</v>
      </c>
      <c r="B343" s="1" t="s">
        <v>468</v>
      </c>
      <c r="C343" s="3">
        <v>1</v>
      </c>
      <c r="D343" s="3" t="s">
        <v>465</v>
      </c>
      <c r="E343" s="3">
        <v>3</v>
      </c>
      <c r="F343" s="3" t="s">
        <v>472</v>
      </c>
      <c r="G343" s="7" t="s">
        <v>288</v>
      </c>
      <c r="H343" s="3">
        <v>208</v>
      </c>
      <c r="I343" s="3" t="s">
        <v>1503</v>
      </c>
      <c r="J343" s="3">
        <v>18</v>
      </c>
      <c r="K343" s="3" t="s">
        <v>1529</v>
      </c>
      <c r="L343" s="3">
        <v>8</v>
      </c>
      <c r="M343" s="3" t="s">
        <v>506</v>
      </c>
      <c r="N343" s="3" t="s">
        <v>1503</v>
      </c>
      <c r="O343" s="10">
        <v>32660</v>
      </c>
      <c r="P343" s="10">
        <v>44743</v>
      </c>
      <c r="Q343" s="10"/>
      <c r="R343" s="10">
        <v>44743</v>
      </c>
      <c r="S343" s="23">
        <v>2282.4499999999998</v>
      </c>
      <c r="T343" s="3">
        <v>63885833</v>
      </c>
      <c r="U343" s="3">
        <v>28906011205636</v>
      </c>
      <c r="V343" s="4" t="s">
        <v>2242</v>
      </c>
      <c r="W343" s="4">
        <v>72629</v>
      </c>
      <c r="X343" s="4" t="s">
        <v>1583</v>
      </c>
      <c r="Y343" s="4">
        <v>2008</v>
      </c>
      <c r="Z343" s="3">
        <f ca="1">DATEDIF(Table1[[#This Row],[تاريخ الميلاد]],TODAY(),"y")</f>
        <v>37</v>
      </c>
      <c r="AA34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2  شهر  19  يوم </v>
      </c>
      <c r="AB34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43" s="10">
        <f>DATE(YEAR(Table1[[#This Row],[تاريخ الميلاد]])+60,MONTH(Table1[[#This Row],[تاريخ الميلاد]]),DAY(Table1[[#This Row],[تاريخ الميلاد]]))</f>
        <v>54575</v>
      </c>
      <c r="AD343" s="14">
        <f>DATE(YEAR(Table1[[#This Row],[معاش 01/01]])-1,MONTH(Table1[[#This Row],[تاريخ بلوغ 60 ]]),DAY(Table1[[#This Row],[تاريخ بلوغ 60 ]]))</f>
        <v>54575</v>
      </c>
      <c r="AE34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54940</v>
      </c>
      <c r="AF343" s="10" t="str">
        <f>IFERROR(IF(ISODD(MID(Table1[[#This Row],[الرقم القومي]],13,1)),"ذكر","انثي"),"")</f>
        <v>ذكر</v>
      </c>
      <c r="AG343" s="70" t="s">
        <v>1635</v>
      </c>
      <c r="AH343" s="3">
        <f>IF(MONTH(Table1[[#This Row],[تاريخ بلوغ 60 ]])&lt;&gt;1,1,0)</f>
        <v>1</v>
      </c>
      <c r="AI343" s="3">
        <f>IF(DAY(Table1[[#This Row],[تاريخ بلوغ 60 ]])&lt;&gt;1,1,0)</f>
        <v>0</v>
      </c>
      <c r="AJ343" s="4" t="s">
        <v>465</v>
      </c>
      <c r="AK343" s="4">
        <v>0</v>
      </c>
      <c r="AL343" s="62" t="s">
        <v>2241</v>
      </c>
      <c r="AM343" s="62" t="s">
        <v>2991</v>
      </c>
      <c r="AN343" s="2">
        <v>3</v>
      </c>
      <c r="AO343" s="4" t="s">
        <v>2641</v>
      </c>
      <c r="AP343" s="74">
        <v>401.71</v>
      </c>
      <c r="AQ343" s="4">
        <v>18.75</v>
      </c>
      <c r="AR343" s="4">
        <v>3</v>
      </c>
      <c r="AS343" s="4" t="s">
        <v>2668</v>
      </c>
      <c r="AT343" s="72">
        <v>6</v>
      </c>
      <c r="AU343" s="2">
        <v>8</v>
      </c>
      <c r="AV343" s="4"/>
      <c r="AW343" s="4"/>
      <c r="AX343" s="4"/>
    </row>
    <row r="344" spans="1:50" ht="15" x14ac:dyDescent="0.2">
      <c r="A344" s="3">
        <v>34046</v>
      </c>
      <c r="B344" s="1" t="s">
        <v>468</v>
      </c>
      <c r="C344" s="3">
        <v>1</v>
      </c>
      <c r="D344" s="3" t="s">
        <v>465</v>
      </c>
      <c r="E344" s="3">
        <v>3</v>
      </c>
      <c r="F344" s="3" t="s">
        <v>472</v>
      </c>
      <c r="G344" s="7" t="s">
        <v>2243</v>
      </c>
      <c r="H344" s="3">
        <v>104</v>
      </c>
      <c r="I344" s="3" t="s">
        <v>1083</v>
      </c>
      <c r="J344" s="3">
        <v>18</v>
      </c>
      <c r="K344" s="3" t="s">
        <v>1529</v>
      </c>
      <c r="L344" s="3">
        <v>8</v>
      </c>
      <c r="M344" s="3" t="s">
        <v>506</v>
      </c>
      <c r="N344" s="3" t="s">
        <v>1090</v>
      </c>
      <c r="O344" s="10">
        <v>33751</v>
      </c>
      <c r="P344" s="10">
        <v>44743</v>
      </c>
      <c r="Q344" s="10"/>
      <c r="R344" s="10">
        <v>44743</v>
      </c>
      <c r="S344" s="23">
        <v>2282.4499999999998</v>
      </c>
      <c r="T344" s="3">
        <v>67689501</v>
      </c>
      <c r="U344" s="3">
        <v>29205270300049</v>
      </c>
      <c r="V344" s="4" t="s">
        <v>2244</v>
      </c>
      <c r="W344" s="4">
        <v>72469</v>
      </c>
      <c r="X344" s="4" t="s">
        <v>1583</v>
      </c>
      <c r="Y344" s="4">
        <v>2011</v>
      </c>
      <c r="Z344" s="3">
        <f ca="1">DATEDIF(Table1[[#This Row],[تاريخ الميلاد]],TODAY(),"y")</f>
        <v>34</v>
      </c>
      <c r="AA34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34 عام 2  شهر  24  يوم </v>
      </c>
      <c r="AB34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44" s="10">
        <f>DATE(YEAR(Table1[[#This Row],[تاريخ الميلاد]])+60,MONTH(Table1[[#This Row],[تاريخ الميلاد]]),DAY(Table1[[#This Row],[تاريخ الميلاد]]))</f>
        <v>55666</v>
      </c>
      <c r="AD344" s="14">
        <f>DATE(YEAR(Table1[[#This Row],[معاش 01/01]])-1,MONTH(Table1[[#This Row],[تاريخ بلوغ 60 ]]),DAY(Table1[[#This Row],[تاريخ بلوغ 60 ]]))</f>
        <v>55666</v>
      </c>
      <c r="AE34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56031</v>
      </c>
      <c r="AF344" s="10" t="str">
        <f>IFERROR(IF(ISODD(MID(Table1[[#This Row],[الرقم القومي]],13,1)),"ذكر","انثي"),"")</f>
        <v>انثي</v>
      </c>
      <c r="AG344" s="70" t="s">
        <v>2606</v>
      </c>
      <c r="AH344" s="3">
        <f>IF(MONTH(Table1[[#This Row],[تاريخ بلوغ 60 ]])&lt;&gt;1,1,0)</f>
        <v>1</v>
      </c>
      <c r="AI344" s="3">
        <f>IF(DAY(Table1[[#This Row],[تاريخ بلوغ 60 ]])&lt;&gt;1,1,0)</f>
        <v>1</v>
      </c>
      <c r="AJ344" s="4" t="s">
        <v>465</v>
      </c>
      <c r="AK344" s="4">
        <v>0</v>
      </c>
      <c r="AL344" s="4" t="s">
        <v>2993</v>
      </c>
      <c r="AM344" s="62" t="s">
        <v>2992</v>
      </c>
      <c r="AN344" s="2">
        <v>3</v>
      </c>
      <c r="AO344" s="4" t="s">
        <v>2641</v>
      </c>
      <c r="AP344" s="74">
        <v>401.71</v>
      </c>
      <c r="AQ344" s="4">
        <v>18.75</v>
      </c>
      <c r="AR344" s="4">
        <v>1</v>
      </c>
      <c r="AS344" s="4" t="s">
        <v>2635</v>
      </c>
      <c r="AT344" s="72">
        <v>2</v>
      </c>
      <c r="AU344" s="2">
        <v>8</v>
      </c>
      <c r="AV344" s="4"/>
      <c r="AW344" s="4"/>
      <c r="AX344" s="4"/>
    </row>
    <row r="345" spans="1:50" ht="15" x14ac:dyDescent="0.2">
      <c r="A345" s="3">
        <v>34055</v>
      </c>
      <c r="B345" s="1" t="s">
        <v>468</v>
      </c>
      <c r="C345" s="3">
        <v>1</v>
      </c>
      <c r="D345" s="3" t="s">
        <v>465</v>
      </c>
      <c r="E345" s="3">
        <v>3</v>
      </c>
      <c r="F345" s="3" t="s">
        <v>472</v>
      </c>
      <c r="G345" s="7" t="s">
        <v>2245</v>
      </c>
      <c r="H345" s="3">
        <v>104</v>
      </c>
      <c r="I345" s="3" t="s">
        <v>1083</v>
      </c>
      <c r="J345" s="3">
        <v>18</v>
      </c>
      <c r="K345" s="3" t="s">
        <v>1529</v>
      </c>
      <c r="L345" s="3">
        <v>8</v>
      </c>
      <c r="M345" s="3" t="s">
        <v>506</v>
      </c>
      <c r="N345" s="3" t="s">
        <v>1090</v>
      </c>
      <c r="O345" s="10">
        <v>33164</v>
      </c>
      <c r="P345" s="10">
        <v>44743</v>
      </c>
      <c r="Q345" s="10"/>
      <c r="R345" s="10">
        <v>44743</v>
      </c>
      <c r="S345" s="23">
        <v>2282.4499999999998</v>
      </c>
      <c r="T345" s="3">
        <v>61363375</v>
      </c>
      <c r="U345" s="3">
        <v>29010180300206</v>
      </c>
      <c r="V345" s="4" t="s">
        <v>2247</v>
      </c>
      <c r="W345" s="4">
        <v>72478</v>
      </c>
      <c r="X345" s="4" t="s">
        <v>1583</v>
      </c>
      <c r="Y345" s="4">
        <v>2007</v>
      </c>
      <c r="Z345" s="3">
        <f ca="1">DATEDIF(Table1[[#This Row],[تاريخ الميلاد]],TODAY(),"y")</f>
        <v>35</v>
      </c>
      <c r="AA34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35 عام 10  شهر  2  يوم </v>
      </c>
      <c r="AB34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45" s="10">
        <f>DATE(YEAR(Table1[[#This Row],[تاريخ الميلاد]])+60,MONTH(Table1[[#This Row],[تاريخ الميلاد]]),DAY(Table1[[#This Row],[تاريخ الميلاد]]))</f>
        <v>55079</v>
      </c>
      <c r="AD345" s="14">
        <f>DATE(YEAR(Table1[[#This Row],[معاش 01/01]])-1,MONTH(Table1[[#This Row],[تاريخ بلوغ 60 ]]),DAY(Table1[[#This Row],[تاريخ بلوغ 60 ]]))</f>
        <v>55079</v>
      </c>
      <c r="AE34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55444</v>
      </c>
      <c r="AF345" s="10" t="str">
        <f>IFERROR(IF(ISODD(MID(Table1[[#This Row],[الرقم القومي]],13,1)),"ذكر","انثي"),"")</f>
        <v>انثي</v>
      </c>
      <c r="AG345" s="70" t="s">
        <v>2606</v>
      </c>
      <c r="AH345" s="3">
        <f>IF(MONTH(Table1[[#This Row],[تاريخ بلوغ 60 ]])&lt;&gt;1,1,0)</f>
        <v>1</v>
      </c>
      <c r="AI345" s="3">
        <f>IF(DAY(Table1[[#This Row],[تاريخ بلوغ 60 ]])&lt;&gt;1,1,0)</f>
        <v>1</v>
      </c>
      <c r="AJ345" s="4" t="s">
        <v>465</v>
      </c>
      <c r="AK345" s="4">
        <v>0</v>
      </c>
      <c r="AL345" s="62" t="s">
        <v>2246</v>
      </c>
      <c r="AM345" s="62" t="s">
        <v>2994</v>
      </c>
      <c r="AN345" s="2">
        <v>3</v>
      </c>
      <c r="AO345" s="4" t="s">
        <v>2641</v>
      </c>
      <c r="AP345" s="74">
        <v>401.71</v>
      </c>
      <c r="AQ345" s="4">
        <v>18.75</v>
      </c>
      <c r="AR345" s="4">
        <v>0</v>
      </c>
      <c r="AS345" s="4" t="s">
        <v>2645</v>
      </c>
      <c r="AT345" s="72">
        <v>0</v>
      </c>
      <c r="AU345" s="2">
        <v>8</v>
      </c>
      <c r="AV345" s="4"/>
      <c r="AW345" s="4"/>
      <c r="AX345" s="4"/>
    </row>
    <row r="346" spans="1:50" ht="15" x14ac:dyDescent="0.2">
      <c r="A346" s="3">
        <v>34060</v>
      </c>
      <c r="B346" s="1" t="s">
        <v>468</v>
      </c>
      <c r="C346" s="3">
        <v>1</v>
      </c>
      <c r="D346" s="3" t="s">
        <v>465</v>
      </c>
      <c r="E346" s="3">
        <v>3</v>
      </c>
      <c r="F346" s="3" t="s">
        <v>472</v>
      </c>
      <c r="G346" s="7" t="s">
        <v>289</v>
      </c>
      <c r="H346" s="3">
        <v>104</v>
      </c>
      <c r="I346" s="3" t="s">
        <v>1083</v>
      </c>
      <c r="J346" s="3">
        <v>18</v>
      </c>
      <c r="K346" s="3" t="s">
        <v>1529</v>
      </c>
      <c r="L346" s="3">
        <v>8</v>
      </c>
      <c r="M346" s="3" t="s">
        <v>506</v>
      </c>
      <c r="N346" s="3" t="s">
        <v>1090</v>
      </c>
      <c r="O346" s="10">
        <v>32426</v>
      </c>
      <c r="P346" s="10">
        <v>44743</v>
      </c>
      <c r="Q346" s="10"/>
      <c r="R346" s="10">
        <v>44743</v>
      </c>
      <c r="S346" s="23">
        <v>2282.4499999999998</v>
      </c>
      <c r="T346" s="3">
        <v>59093271</v>
      </c>
      <c r="U346" s="3">
        <v>28810100300122</v>
      </c>
      <c r="V346" s="4" t="s">
        <v>2249</v>
      </c>
      <c r="W346" s="4">
        <v>72483</v>
      </c>
      <c r="X346" s="4" t="s">
        <v>1583</v>
      </c>
      <c r="Y346" s="4">
        <v>2005</v>
      </c>
      <c r="Z346" s="3">
        <f ca="1">DATEDIF(Table1[[#This Row],[تاريخ الميلاد]],TODAY(),"y")</f>
        <v>37</v>
      </c>
      <c r="AA34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10  شهر  10  يوم </v>
      </c>
      <c r="AB34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46" s="10">
        <f>DATE(YEAR(Table1[[#This Row],[تاريخ الميلاد]])+60,MONTH(Table1[[#This Row],[تاريخ الميلاد]]),DAY(Table1[[#This Row],[تاريخ الميلاد]]))</f>
        <v>54341</v>
      </c>
      <c r="AD346" s="14">
        <f>DATE(YEAR(Table1[[#This Row],[معاش 01/01]])-1,MONTH(Table1[[#This Row],[تاريخ بلوغ 60 ]]),DAY(Table1[[#This Row],[تاريخ بلوغ 60 ]]))</f>
        <v>54341</v>
      </c>
      <c r="AE34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54706</v>
      </c>
      <c r="AF346" s="10" t="str">
        <f>IFERROR(IF(ISODD(MID(Table1[[#This Row],[الرقم القومي]],13,1)),"ذكر","انثي"),"")</f>
        <v>انثي</v>
      </c>
      <c r="AG346" s="70" t="s">
        <v>2606</v>
      </c>
      <c r="AH346" s="3">
        <f>IF(MONTH(Table1[[#This Row],[تاريخ بلوغ 60 ]])&lt;&gt;1,1,0)</f>
        <v>1</v>
      </c>
      <c r="AI346" s="3">
        <f>IF(DAY(Table1[[#This Row],[تاريخ بلوغ 60 ]])&lt;&gt;1,1,0)</f>
        <v>1</v>
      </c>
      <c r="AJ346" s="4" t="s">
        <v>465</v>
      </c>
      <c r="AK346" s="4" t="s">
        <v>2689</v>
      </c>
      <c r="AL346" s="62" t="s">
        <v>2248</v>
      </c>
      <c r="AM346" s="62" t="s">
        <v>2995</v>
      </c>
      <c r="AN346" s="2">
        <v>3</v>
      </c>
      <c r="AO346" s="4" t="s">
        <v>2641</v>
      </c>
      <c r="AP346" s="74">
        <v>401.71</v>
      </c>
      <c r="AQ346" s="4">
        <v>18.75</v>
      </c>
      <c r="AR346" s="4">
        <v>1</v>
      </c>
      <c r="AS346" s="4" t="s">
        <v>2635</v>
      </c>
      <c r="AT346" s="72">
        <v>2</v>
      </c>
      <c r="AU346" s="2">
        <v>8</v>
      </c>
      <c r="AV346" s="4"/>
      <c r="AW346" s="4"/>
      <c r="AX346" s="4"/>
    </row>
    <row r="347" spans="1:50" ht="15" x14ac:dyDescent="0.2">
      <c r="A347" s="3">
        <v>34068</v>
      </c>
      <c r="B347" s="1" t="s">
        <v>468</v>
      </c>
      <c r="C347" s="3">
        <v>1</v>
      </c>
      <c r="D347" s="3" t="s">
        <v>465</v>
      </c>
      <c r="E347" s="3">
        <v>3</v>
      </c>
      <c r="F347" s="3" t="s">
        <v>472</v>
      </c>
      <c r="G347" s="7" t="s">
        <v>290</v>
      </c>
      <c r="H347" s="3">
        <v>208</v>
      </c>
      <c r="I347" s="3" t="s">
        <v>1503</v>
      </c>
      <c r="J347" s="3">
        <v>18</v>
      </c>
      <c r="K347" s="3" t="s">
        <v>1529</v>
      </c>
      <c r="L347" s="3">
        <v>8</v>
      </c>
      <c r="M347" s="3" t="s">
        <v>506</v>
      </c>
      <c r="N347" s="3" t="s">
        <v>1503</v>
      </c>
      <c r="O347" s="10">
        <v>33106</v>
      </c>
      <c r="P347" s="10">
        <v>44743</v>
      </c>
      <c r="Q347" s="10"/>
      <c r="R347" s="10">
        <v>44743</v>
      </c>
      <c r="S347" s="23">
        <v>2282.4499999999998</v>
      </c>
      <c r="T347" s="3">
        <v>65469339</v>
      </c>
      <c r="U347" s="3">
        <v>29008210300155</v>
      </c>
      <c r="V347" s="4" t="s">
        <v>2251</v>
      </c>
      <c r="W347" s="4">
        <v>72646</v>
      </c>
      <c r="X347" s="4" t="s">
        <v>1583</v>
      </c>
      <c r="Y347" s="4">
        <v>2009</v>
      </c>
      <c r="Z347" s="3">
        <f ca="1">DATEDIF(Table1[[#This Row],[تاريخ الميلاد]],TODAY(),"y")</f>
        <v>35</v>
      </c>
      <c r="AA34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35 عام 11  شهر  30  يوم </v>
      </c>
      <c r="AB34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47" s="10">
        <f>DATE(YEAR(Table1[[#This Row],[تاريخ الميلاد]])+60,MONTH(Table1[[#This Row],[تاريخ الميلاد]]),DAY(Table1[[#This Row],[تاريخ الميلاد]]))</f>
        <v>55021</v>
      </c>
      <c r="AD347" s="14">
        <f>DATE(YEAR(Table1[[#This Row],[معاش 01/01]])-1,MONTH(Table1[[#This Row],[تاريخ بلوغ 60 ]]),DAY(Table1[[#This Row],[تاريخ بلوغ 60 ]]))</f>
        <v>55021</v>
      </c>
      <c r="AE34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55386</v>
      </c>
      <c r="AF347" s="10" t="str">
        <f>IFERROR(IF(ISODD(MID(Table1[[#This Row],[الرقم القومي]],13,1)),"ذكر","انثي"),"")</f>
        <v>ذكر</v>
      </c>
      <c r="AG347" s="70" t="s">
        <v>2606</v>
      </c>
      <c r="AH347" s="3">
        <f>IF(MONTH(Table1[[#This Row],[تاريخ بلوغ 60 ]])&lt;&gt;1,1,0)</f>
        <v>1</v>
      </c>
      <c r="AI347" s="3">
        <f>IF(DAY(Table1[[#This Row],[تاريخ بلوغ 60 ]])&lt;&gt;1,1,0)</f>
        <v>1</v>
      </c>
      <c r="AJ347" s="4" t="s">
        <v>465</v>
      </c>
      <c r="AK347" s="4" t="s">
        <v>2636</v>
      </c>
      <c r="AL347" s="62" t="s">
        <v>2250</v>
      </c>
      <c r="AM347" s="62" t="s">
        <v>2996</v>
      </c>
      <c r="AN347" s="2">
        <v>3</v>
      </c>
      <c r="AO347" s="4" t="s">
        <v>2641</v>
      </c>
      <c r="AP347" s="74">
        <v>401.71</v>
      </c>
      <c r="AQ347" s="4">
        <v>18.75</v>
      </c>
      <c r="AR347" s="4">
        <v>2</v>
      </c>
      <c r="AS347" s="4" t="s">
        <v>2696</v>
      </c>
      <c r="AT347" s="72">
        <v>4</v>
      </c>
      <c r="AU347" s="2">
        <v>8</v>
      </c>
      <c r="AV347" s="4"/>
      <c r="AW347" s="4"/>
      <c r="AX347" s="4"/>
    </row>
    <row r="348" spans="1:50" ht="15" x14ac:dyDescent="0.2">
      <c r="A348" s="3">
        <v>34073</v>
      </c>
      <c r="B348" s="1" t="s">
        <v>468</v>
      </c>
      <c r="C348" s="3">
        <v>1</v>
      </c>
      <c r="D348" s="3" t="s">
        <v>465</v>
      </c>
      <c r="E348" s="3">
        <v>3</v>
      </c>
      <c r="F348" s="3" t="s">
        <v>472</v>
      </c>
      <c r="G348" s="7" t="s">
        <v>291</v>
      </c>
      <c r="H348" s="3">
        <v>104</v>
      </c>
      <c r="I348" s="3" t="s">
        <v>1083</v>
      </c>
      <c r="J348" s="3">
        <v>18</v>
      </c>
      <c r="K348" s="3" t="s">
        <v>1529</v>
      </c>
      <c r="L348" s="3">
        <v>8</v>
      </c>
      <c r="M348" s="3" t="s">
        <v>506</v>
      </c>
      <c r="N348" s="3" t="s">
        <v>1090</v>
      </c>
      <c r="O348" s="10">
        <v>33436</v>
      </c>
      <c r="P348" s="10">
        <v>44743</v>
      </c>
      <c r="Q348" s="10"/>
      <c r="R348" s="10">
        <v>44743</v>
      </c>
      <c r="S348" s="23">
        <v>2282.4499999999998</v>
      </c>
      <c r="T348" s="3">
        <v>58513524</v>
      </c>
      <c r="U348" s="3">
        <v>29107170300309</v>
      </c>
      <c r="V348" s="4" t="s">
        <v>2253</v>
      </c>
      <c r="W348" s="4">
        <v>72495</v>
      </c>
      <c r="X348" s="4" t="s">
        <v>1583</v>
      </c>
      <c r="Y348" s="4">
        <v>2008</v>
      </c>
      <c r="Z348" s="3">
        <f ca="1">DATEDIF(Table1[[#This Row],[تاريخ الميلاد]],TODAY(),"y")</f>
        <v>35</v>
      </c>
      <c r="AA34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35 عام 1  شهر  3  يوم </v>
      </c>
      <c r="AB34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48" s="10">
        <f>DATE(YEAR(Table1[[#This Row],[تاريخ الميلاد]])+60,MONTH(Table1[[#This Row],[تاريخ الميلاد]]),DAY(Table1[[#This Row],[تاريخ الميلاد]]))</f>
        <v>55351</v>
      </c>
      <c r="AD348" s="14">
        <f>DATE(YEAR(Table1[[#This Row],[معاش 01/01]])-1,MONTH(Table1[[#This Row],[تاريخ بلوغ 60 ]]),DAY(Table1[[#This Row],[تاريخ بلوغ 60 ]]))</f>
        <v>55351</v>
      </c>
      <c r="AE34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55717</v>
      </c>
      <c r="AF348" s="10" t="str">
        <f>IFERROR(IF(ISODD(MID(Table1[[#This Row],[الرقم القومي]],13,1)),"ذكر","انثي"),"")</f>
        <v>انثي</v>
      </c>
      <c r="AG348" s="70" t="s">
        <v>2606</v>
      </c>
      <c r="AH348" s="3">
        <f>IF(MONTH(Table1[[#This Row],[تاريخ بلوغ 60 ]])&lt;&gt;1,1,0)</f>
        <v>1</v>
      </c>
      <c r="AI348" s="3">
        <f>IF(DAY(Table1[[#This Row],[تاريخ بلوغ 60 ]])&lt;&gt;1,1,0)</f>
        <v>1</v>
      </c>
      <c r="AJ348" s="4" t="s">
        <v>465</v>
      </c>
      <c r="AK348" s="4" t="s">
        <v>2689</v>
      </c>
      <c r="AL348" s="62" t="s">
        <v>2252</v>
      </c>
      <c r="AM348" s="62" t="s">
        <v>2997</v>
      </c>
      <c r="AN348" s="2">
        <v>3</v>
      </c>
      <c r="AO348" s="4" t="s">
        <v>2641</v>
      </c>
      <c r="AP348" s="74">
        <v>401.71</v>
      </c>
      <c r="AQ348" s="4">
        <v>18.75</v>
      </c>
      <c r="AR348" s="4">
        <v>7</v>
      </c>
      <c r="AS348" s="4" t="s">
        <v>2642</v>
      </c>
      <c r="AT348" s="72">
        <v>0</v>
      </c>
      <c r="AU348" s="2">
        <v>8</v>
      </c>
      <c r="AV348" s="4"/>
      <c r="AW348" s="4"/>
      <c r="AX348" s="4"/>
    </row>
    <row r="349" spans="1:50" ht="15" x14ac:dyDescent="0.2">
      <c r="A349" s="3">
        <v>34081</v>
      </c>
      <c r="B349" s="1" t="s">
        <v>468</v>
      </c>
      <c r="C349" s="3">
        <v>1</v>
      </c>
      <c r="D349" s="3" t="s">
        <v>465</v>
      </c>
      <c r="E349" s="3">
        <v>3</v>
      </c>
      <c r="F349" s="3" t="s">
        <v>472</v>
      </c>
      <c r="G349" s="7" t="s">
        <v>2254</v>
      </c>
      <c r="H349" s="3">
        <v>104</v>
      </c>
      <c r="I349" s="3" t="s">
        <v>1083</v>
      </c>
      <c r="J349" s="3">
        <v>18</v>
      </c>
      <c r="K349" s="3" t="s">
        <v>1529</v>
      </c>
      <c r="L349" s="3">
        <v>8</v>
      </c>
      <c r="M349" s="3" t="s">
        <v>506</v>
      </c>
      <c r="N349" s="3" t="s">
        <v>1090</v>
      </c>
      <c r="O349" s="10">
        <v>33860</v>
      </c>
      <c r="P349" s="10">
        <v>44743</v>
      </c>
      <c r="Q349" s="10"/>
      <c r="R349" s="10">
        <v>44743</v>
      </c>
      <c r="S349" s="23">
        <v>2282.4499999999998</v>
      </c>
      <c r="T349" s="3">
        <v>63598341</v>
      </c>
      <c r="U349" s="3">
        <v>29209130300249</v>
      </c>
      <c r="V349" s="4" t="s">
        <v>2256</v>
      </c>
      <c r="W349" s="4">
        <v>72503</v>
      </c>
      <c r="X349" s="4" t="s">
        <v>1583</v>
      </c>
      <c r="Y349" s="4">
        <v>2011</v>
      </c>
      <c r="Z349" s="3">
        <f ca="1">DATEDIF(Table1[[#This Row],[تاريخ الميلاد]],TODAY(),"y")</f>
        <v>33</v>
      </c>
      <c r="AA34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33 عام 11  شهر  7  يوم </v>
      </c>
      <c r="AB34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49" s="10">
        <f>DATE(YEAR(Table1[[#This Row],[تاريخ الميلاد]])+60,MONTH(Table1[[#This Row],[تاريخ الميلاد]]),DAY(Table1[[#This Row],[تاريخ الميلاد]]))</f>
        <v>55775</v>
      </c>
      <c r="AD349" s="14">
        <f>DATE(YEAR(Table1[[#This Row],[معاش 01/01]])-1,MONTH(Table1[[#This Row],[تاريخ بلوغ 60 ]]),DAY(Table1[[#This Row],[تاريخ بلوغ 60 ]]))</f>
        <v>55775</v>
      </c>
      <c r="AE34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56140</v>
      </c>
      <c r="AF349" s="10" t="str">
        <f>IFERROR(IF(ISODD(MID(Table1[[#This Row],[الرقم القومي]],13,1)),"ذكر","انثي"),"")</f>
        <v>انثي</v>
      </c>
      <c r="AG349" s="70" t="s">
        <v>2606</v>
      </c>
      <c r="AH349" s="3">
        <f>IF(MONTH(Table1[[#This Row],[تاريخ بلوغ 60 ]])&lt;&gt;1,1,0)</f>
        <v>1</v>
      </c>
      <c r="AI349" s="3">
        <f>IF(DAY(Table1[[#This Row],[تاريخ بلوغ 60 ]])&lt;&gt;1,1,0)</f>
        <v>1</v>
      </c>
      <c r="AJ349" s="4" t="s">
        <v>465</v>
      </c>
      <c r="AK349" s="4">
        <v>0</v>
      </c>
      <c r="AL349" s="62" t="s">
        <v>2255</v>
      </c>
      <c r="AM349" s="62" t="s">
        <v>2998</v>
      </c>
      <c r="AN349" s="2">
        <v>3</v>
      </c>
      <c r="AO349" s="4" t="s">
        <v>2641</v>
      </c>
      <c r="AP349" s="74">
        <v>401.71</v>
      </c>
      <c r="AQ349" s="4">
        <v>18.75</v>
      </c>
      <c r="AR349" s="4">
        <v>0</v>
      </c>
      <c r="AS349" s="4" t="s">
        <v>2645</v>
      </c>
      <c r="AT349" s="72">
        <v>0</v>
      </c>
      <c r="AU349" s="2">
        <v>8</v>
      </c>
      <c r="AV349" s="4"/>
      <c r="AW349" s="4"/>
      <c r="AX349" s="4"/>
    </row>
    <row r="350" spans="1:50" ht="15" x14ac:dyDescent="0.2">
      <c r="A350" s="3">
        <v>34082</v>
      </c>
      <c r="B350" s="1" t="s">
        <v>468</v>
      </c>
      <c r="C350" s="3">
        <v>1</v>
      </c>
      <c r="D350" s="3" t="s">
        <v>465</v>
      </c>
      <c r="E350" s="3">
        <v>3</v>
      </c>
      <c r="F350" s="3" t="s">
        <v>472</v>
      </c>
      <c r="G350" s="7" t="s">
        <v>292</v>
      </c>
      <c r="H350" s="3">
        <v>104</v>
      </c>
      <c r="I350" s="3" t="s">
        <v>1083</v>
      </c>
      <c r="J350" s="3">
        <v>18</v>
      </c>
      <c r="K350" s="3" t="s">
        <v>1529</v>
      </c>
      <c r="L350" s="3">
        <v>8</v>
      </c>
      <c r="M350" s="3" t="s">
        <v>506</v>
      </c>
      <c r="N350" s="3" t="s">
        <v>1090</v>
      </c>
      <c r="O350" s="10">
        <v>34601</v>
      </c>
      <c r="P350" s="10">
        <v>44743</v>
      </c>
      <c r="Q350" s="10"/>
      <c r="R350" s="10">
        <v>44743</v>
      </c>
      <c r="S350" s="23">
        <v>2282.4499999999998</v>
      </c>
      <c r="T350" s="3">
        <v>72850975</v>
      </c>
      <c r="U350" s="3">
        <v>29409241501781</v>
      </c>
      <c r="V350" s="4" t="s">
        <v>2258</v>
      </c>
      <c r="W350" s="4">
        <v>72504</v>
      </c>
      <c r="X350" s="4" t="s">
        <v>1583</v>
      </c>
      <c r="Y350" s="4">
        <v>2014</v>
      </c>
      <c r="Z350" s="3">
        <f ca="1">DATEDIF(Table1[[#This Row],[تاريخ الميلاد]],TODAY(),"y")</f>
        <v>31</v>
      </c>
      <c r="AA35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31 عام 10  شهر  27  يوم </v>
      </c>
      <c r="AB35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50" s="10">
        <f>DATE(YEAR(Table1[[#This Row],[تاريخ الميلاد]])+60,MONTH(Table1[[#This Row],[تاريخ الميلاد]]),DAY(Table1[[#This Row],[تاريخ الميلاد]]))</f>
        <v>56516</v>
      </c>
      <c r="AD350" s="14">
        <f>DATE(YEAR(Table1[[#This Row],[معاش 01/01]])-1,MONTH(Table1[[#This Row],[تاريخ بلوغ 60 ]]),DAY(Table1[[#This Row],[تاريخ بلوغ 60 ]]))</f>
        <v>56516</v>
      </c>
      <c r="AE35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56881</v>
      </c>
      <c r="AF350" s="10" t="str">
        <f>IFERROR(IF(ISODD(MID(Table1[[#This Row],[الرقم القومي]],13,1)),"ذكر","انثي"),"")</f>
        <v>انثي</v>
      </c>
      <c r="AG350" s="70" t="s">
        <v>2612</v>
      </c>
      <c r="AH350" s="3">
        <f>IF(MONTH(Table1[[#This Row],[تاريخ بلوغ 60 ]])&lt;&gt;1,1,0)</f>
        <v>1</v>
      </c>
      <c r="AI350" s="3">
        <f>IF(DAY(Table1[[#This Row],[تاريخ بلوغ 60 ]])&lt;&gt;1,1,0)</f>
        <v>1</v>
      </c>
      <c r="AJ350" s="4" t="s">
        <v>465</v>
      </c>
      <c r="AK350" s="4">
        <v>0</v>
      </c>
      <c r="AL350" s="62" t="s">
        <v>2257</v>
      </c>
      <c r="AM350" s="62" t="s">
        <v>2999</v>
      </c>
      <c r="AN350" s="2">
        <v>3</v>
      </c>
      <c r="AO350" s="4" t="s">
        <v>2641</v>
      </c>
      <c r="AP350" s="74">
        <v>401.71</v>
      </c>
      <c r="AQ350" s="4">
        <v>18.75</v>
      </c>
      <c r="AR350" s="4">
        <v>7</v>
      </c>
      <c r="AS350" s="4" t="s">
        <v>2642</v>
      </c>
      <c r="AT350" s="72">
        <v>0</v>
      </c>
      <c r="AU350" s="2">
        <v>8</v>
      </c>
      <c r="AV350" s="4"/>
      <c r="AW350" s="4"/>
      <c r="AX350" s="4"/>
    </row>
    <row r="351" spans="1:50" ht="15" x14ac:dyDescent="0.2">
      <c r="A351" s="3">
        <v>34084</v>
      </c>
      <c r="B351" s="1" t="s">
        <v>468</v>
      </c>
      <c r="C351" s="3">
        <v>1</v>
      </c>
      <c r="D351" s="3" t="s">
        <v>465</v>
      </c>
      <c r="E351" s="3">
        <v>3</v>
      </c>
      <c r="F351" s="3" t="s">
        <v>472</v>
      </c>
      <c r="G351" s="7" t="s">
        <v>293</v>
      </c>
      <c r="H351" s="3">
        <v>208</v>
      </c>
      <c r="I351" s="3" t="s">
        <v>1503</v>
      </c>
      <c r="J351" s="3">
        <v>18</v>
      </c>
      <c r="K351" s="3" t="s">
        <v>1529</v>
      </c>
      <c r="L351" s="3">
        <v>8</v>
      </c>
      <c r="M351" s="3" t="s">
        <v>506</v>
      </c>
      <c r="N351" s="3" t="s">
        <v>1503</v>
      </c>
      <c r="O351" s="10">
        <v>32623</v>
      </c>
      <c r="P351" s="10">
        <v>44743</v>
      </c>
      <c r="Q351" s="10"/>
      <c r="R351" s="10">
        <v>44743</v>
      </c>
      <c r="S351" s="23">
        <v>2282.4499999999998</v>
      </c>
      <c r="T351" s="3">
        <v>24684017</v>
      </c>
      <c r="U351" s="3">
        <v>28904250300273</v>
      </c>
      <c r="V351" s="4" t="s">
        <v>2260</v>
      </c>
      <c r="W351" s="4">
        <v>72628</v>
      </c>
      <c r="X351" s="4" t="s">
        <v>1583</v>
      </c>
      <c r="Y351" s="4">
        <v>2009</v>
      </c>
      <c r="Z351" s="3">
        <f ca="1">DATEDIF(Table1[[#This Row],[تاريخ الميلاد]],TODAY(),"y")</f>
        <v>37</v>
      </c>
      <c r="AA35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3  شهر  26  يوم </v>
      </c>
      <c r="AB35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51" s="10">
        <f>DATE(YEAR(Table1[[#This Row],[تاريخ الميلاد]])+60,MONTH(Table1[[#This Row],[تاريخ الميلاد]]),DAY(Table1[[#This Row],[تاريخ الميلاد]]))</f>
        <v>54538</v>
      </c>
      <c r="AD351" s="14">
        <f>DATE(YEAR(Table1[[#This Row],[معاش 01/01]])-1,MONTH(Table1[[#This Row],[تاريخ بلوغ 60 ]]),DAY(Table1[[#This Row],[تاريخ بلوغ 60 ]]))</f>
        <v>54538</v>
      </c>
      <c r="AE35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54903</v>
      </c>
      <c r="AF351" s="10" t="str">
        <f>IFERROR(IF(ISODD(MID(Table1[[#This Row],[الرقم القومي]],13,1)),"ذكر","انثي"),"")</f>
        <v>ذكر</v>
      </c>
      <c r="AG351" s="70" t="s">
        <v>2606</v>
      </c>
      <c r="AH351" s="3">
        <f>IF(MONTH(Table1[[#This Row],[تاريخ بلوغ 60 ]])&lt;&gt;1,1,0)</f>
        <v>1</v>
      </c>
      <c r="AI351" s="3">
        <f>IF(DAY(Table1[[#This Row],[تاريخ بلوغ 60 ]])&lt;&gt;1,1,0)</f>
        <v>1</v>
      </c>
      <c r="AJ351" s="4" t="s">
        <v>465</v>
      </c>
      <c r="AK351" s="4">
        <v>0</v>
      </c>
      <c r="AL351" s="62" t="s">
        <v>2259</v>
      </c>
      <c r="AM351" s="62" t="s">
        <v>3000</v>
      </c>
      <c r="AN351" s="2">
        <v>3</v>
      </c>
      <c r="AO351" s="4" t="s">
        <v>2641</v>
      </c>
      <c r="AP351" s="74">
        <v>401.71</v>
      </c>
      <c r="AQ351" s="4">
        <v>18.75</v>
      </c>
      <c r="AR351" s="4">
        <v>2</v>
      </c>
      <c r="AS351" s="4" t="s">
        <v>2696</v>
      </c>
      <c r="AT351" s="72">
        <v>4</v>
      </c>
      <c r="AU351" s="2">
        <v>8</v>
      </c>
      <c r="AV351" s="4"/>
      <c r="AW351" s="4"/>
      <c r="AX351" s="4"/>
    </row>
    <row r="352" spans="1:50" ht="15" x14ac:dyDescent="0.2">
      <c r="A352" s="3">
        <v>34086</v>
      </c>
      <c r="B352" s="1" t="s">
        <v>468</v>
      </c>
      <c r="C352" s="3">
        <v>1</v>
      </c>
      <c r="D352" s="3" t="s">
        <v>465</v>
      </c>
      <c r="E352" s="3">
        <v>3</v>
      </c>
      <c r="F352" s="3" t="s">
        <v>472</v>
      </c>
      <c r="G352" s="7" t="s">
        <v>294</v>
      </c>
      <c r="H352" s="3">
        <v>104</v>
      </c>
      <c r="I352" s="3" t="s">
        <v>1083</v>
      </c>
      <c r="J352" s="3">
        <v>18</v>
      </c>
      <c r="K352" s="3" t="s">
        <v>1529</v>
      </c>
      <c r="L352" s="3">
        <v>8</v>
      </c>
      <c r="M352" s="3" t="s">
        <v>506</v>
      </c>
      <c r="N352" s="3" t="s">
        <v>1090</v>
      </c>
      <c r="O352" s="10">
        <v>33652</v>
      </c>
      <c r="P352" s="10">
        <v>44743</v>
      </c>
      <c r="Q352" s="10"/>
      <c r="R352" s="10">
        <v>44743</v>
      </c>
      <c r="S352" s="23">
        <v>2282.4499999999998</v>
      </c>
      <c r="T352" s="3">
        <v>51236208</v>
      </c>
      <c r="U352" s="3">
        <v>29202180300067</v>
      </c>
      <c r="V352" s="4" t="s">
        <v>2262</v>
      </c>
      <c r="W352" s="4">
        <v>72507</v>
      </c>
      <c r="X352" s="4" t="s">
        <v>1583</v>
      </c>
      <c r="Y352" s="4">
        <v>2012</v>
      </c>
      <c r="Z352" s="3">
        <f ca="1">DATEDIF(Table1[[#This Row],[تاريخ الميلاد]],TODAY(),"y")</f>
        <v>34</v>
      </c>
      <c r="AA35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34 عام 6  شهر  2  يوم </v>
      </c>
      <c r="AB35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52" s="10">
        <f>DATE(YEAR(Table1[[#This Row],[تاريخ الميلاد]])+60,MONTH(Table1[[#This Row],[تاريخ الميلاد]]),DAY(Table1[[#This Row],[تاريخ الميلاد]]))</f>
        <v>55567</v>
      </c>
      <c r="AD352" s="14">
        <f>DATE(YEAR(Table1[[#This Row],[معاش 01/01]])-1,MONTH(Table1[[#This Row],[تاريخ بلوغ 60 ]]),DAY(Table1[[#This Row],[تاريخ بلوغ 60 ]]))</f>
        <v>55567</v>
      </c>
      <c r="AE35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55933</v>
      </c>
      <c r="AF352" s="10" t="str">
        <f>IFERROR(IF(ISODD(MID(Table1[[#This Row],[الرقم القومي]],13,1)),"ذكر","انثي"),"")</f>
        <v>انثي</v>
      </c>
      <c r="AG352" s="70" t="s">
        <v>2606</v>
      </c>
      <c r="AH352" s="3">
        <f>IF(MONTH(Table1[[#This Row],[تاريخ بلوغ 60 ]])&lt;&gt;1,1,0)</f>
        <v>1</v>
      </c>
      <c r="AI352" s="3">
        <f>IF(DAY(Table1[[#This Row],[تاريخ بلوغ 60 ]])&lt;&gt;1,1,0)</f>
        <v>1</v>
      </c>
      <c r="AJ352" s="4" t="s">
        <v>465</v>
      </c>
      <c r="AK352" s="4" t="s">
        <v>2770</v>
      </c>
      <c r="AL352" s="62" t="s">
        <v>2261</v>
      </c>
      <c r="AM352" s="62" t="s">
        <v>3001</v>
      </c>
      <c r="AN352" s="2">
        <v>3</v>
      </c>
      <c r="AO352" s="4" t="s">
        <v>2641</v>
      </c>
      <c r="AP352" s="74">
        <v>401.71</v>
      </c>
      <c r="AQ352" s="4">
        <v>18.75</v>
      </c>
      <c r="AR352" s="4">
        <v>1</v>
      </c>
      <c r="AS352" s="4" t="s">
        <v>2635</v>
      </c>
      <c r="AT352" s="72">
        <v>2</v>
      </c>
      <c r="AU352" s="2">
        <v>8</v>
      </c>
      <c r="AV352" s="4"/>
      <c r="AW352" s="4"/>
      <c r="AX352" s="4"/>
    </row>
    <row r="353" spans="1:50" ht="15" x14ac:dyDescent="0.2">
      <c r="A353" s="3">
        <v>34089</v>
      </c>
      <c r="B353" s="1" t="s">
        <v>468</v>
      </c>
      <c r="C353" s="3">
        <v>1</v>
      </c>
      <c r="D353" s="3" t="s">
        <v>465</v>
      </c>
      <c r="E353" s="3">
        <v>3</v>
      </c>
      <c r="F353" s="3" t="s">
        <v>472</v>
      </c>
      <c r="G353" s="7" t="s">
        <v>2263</v>
      </c>
      <c r="H353" s="3">
        <v>104</v>
      </c>
      <c r="I353" s="3" t="s">
        <v>1083</v>
      </c>
      <c r="J353" s="3">
        <v>18</v>
      </c>
      <c r="K353" s="3" t="s">
        <v>1529</v>
      </c>
      <c r="L353" s="3">
        <v>8</v>
      </c>
      <c r="M353" s="3" t="s">
        <v>506</v>
      </c>
      <c r="N353" s="3" t="s">
        <v>1090</v>
      </c>
      <c r="O353" s="10">
        <v>34126</v>
      </c>
      <c r="P353" s="10">
        <v>44743</v>
      </c>
      <c r="Q353" s="10"/>
      <c r="R353" s="10">
        <v>44743</v>
      </c>
      <c r="S353" s="23">
        <v>2282.4499999999998</v>
      </c>
      <c r="T353" s="3">
        <v>70510855</v>
      </c>
      <c r="U353" s="3">
        <v>29306060300128</v>
      </c>
      <c r="V353" s="4" t="s">
        <v>2265</v>
      </c>
      <c r="W353" s="4">
        <v>72511</v>
      </c>
      <c r="X353" s="4" t="s">
        <v>1583</v>
      </c>
      <c r="Y353" s="4">
        <v>2013</v>
      </c>
      <c r="Z353" s="3">
        <f ca="1">DATEDIF(Table1[[#This Row],[تاريخ الميلاد]],TODAY(),"y")</f>
        <v>33</v>
      </c>
      <c r="AA35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33 عام 2  شهر  14  يوم </v>
      </c>
      <c r="AB35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53" s="10">
        <f>DATE(YEAR(Table1[[#This Row],[تاريخ الميلاد]])+60,MONTH(Table1[[#This Row],[تاريخ الميلاد]]),DAY(Table1[[#This Row],[تاريخ الميلاد]]))</f>
        <v>56041</v>
      </c>
      <c r="AD353" s="14">
        <f>DATE(YEAR(Table1[[#This Row],[معاش 01/01]])-1,MONTH(Table1[[#This Row],[تاريخ بلوغ 60 ]]),DAY(Table1[[#This Row],[تاريخ بلوغ 60 ]]))</f>
        <v>56041</v>
      </c>
      <c r="AE35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56406</v>
      </c>
      <c r="AF353" s="10" t="str">
        <f>IFERROR(IF(ISODD(MID(Table1[[#This Row],[الرقم القومي]],13,1)),"ذكر","انثي"),"")</f>
        <v>انثي</v>
      </c>
      <c r="AG353" s="70" t="s">
        <v>2606</v>
      </c>
      <c r="AH353" s="3">
        <f>IF(MONTH(Table1[[#This Row],[تاريخ بلوغ 60 ]])&lt;&gt;1,1,0)</f>
        <v>1</v>
      </c>
      <c r="AI353" s="3">
        <f>IF(DAY(Table1[[#This Row],[تاريخ بلوغ 60 ]])&lt;&gt;1,1,0)</f>
        <v>1</v>
      </c>
      <c r="AJ353" s="4" t="s">
        <v>465</v>
      </c>
      <c r="AK353" s="4" t="s">
        <v>2689</v>
      </c>
      <c r="AL353" s="62" t="s">
        <v>2264</v>
      </c>
      <c r="AM353" s="62" t="s">
        <v>3002</v>
      </c>
      <c r="AN353" s="2">
        <v>3</v>
      </c>
      <c r="AO353" s="4" t="s">
        <v>2641</v>
      </c>
      <c r="AP353" s="74">
        <v>401.71</v>
      </c>
      <c r="AQ353" s="4">
        <v>18.75</v>
      </c>
      <c r="AR353" s="4">
        <v>1</v>
      </c>
      <c r="AS353" s="4" t="s">
        <v>2635</v>
      </c>
      <c r="AT353" s="72">
        <v>2</v>
      </c>
      <c r="AU353" s="2">
        <v>8</v>
      </c>
      <c r="AV353" s="4"/>
      <c r="AW353" s="4"/>
      <c r="AX353" s="4"/>
    </row>
    <row r="354" spans="1:50" ht="15" x14ac:dyDescent="0.2">
      <c r="A354" s="3">
        <v>34093</v>
      </c>
      <c r="B354" s="1" t="s">
        <v>468</v>
      </c>
      <c r="C354" s="3">
        <v>1</v>
      </c>
      <c r="D354" s="3" t="s">
        <v>465</v>
      </c>
      <c r="E354" s="3">
        <v>3</v>
      </c>
      <c r="F354" s="3" t="s">
        <v>472</v>
      </c>
      <c r="G354" s="7" t="s">
        <v>295</v>
      </c>
      <c r="H354" s="3">
        <v>104</v>
      </c>
      <c r="I354" s="3" t="s">
        <v>1083</v>
      </c>
      <c r="J354" s="3">
        <v>18</v>
      </c>
      <c r="K354" s="3" t="s">
        <v>1529</v>
      </c>
      <c r="L354" s="3">
        <v>8</v>
      </c>
      <c r="M354" s="3" t="s">
        <v>506</v>
      </c>
      <c r="N354" s="3" t="s">
        <v>1090</v>
      </c>
      <c r="O354" s="10">
        <v>32763</v>
      </c>
      <c r="P354" s="10">
        <v>44743</v>
      </c>
      <c r="Q354" s="10"/>
      <c r="R354" s="10">
        <v>44743</v>
      </c>
      <c r="S354" s="23">
        <v>2282.4499999999998</v>
      </c>
      <c r="T354" s="3">
        <v>29789313</v>
      </c>
      <c r="U354" s="3">
        <v>28909120300141</v>
      </c>
      <c r="V354" s="4" t="s">
        <v>2267</v>
      </c>
      <c r="W354" s="4">
        <v>72515</v>
      </c>
      <c r="X354" s="4" t="s">
        <v>1583</v>
      </c>
      <c r="Y354" s="4">
        <v>2006</v>
      </c>
      <c r="Z354" s="3">
        <f ca="1">DATEDIF(Table1[[#This Row],[تاريخ الميلاد]],TODAY(),"y")</f>
        <v>36</v>
      </c>
      <c r="AA35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36 عام 11  شهر  8  يوم </v>
      </c>
      <c r="AB35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54" s="10">
        <f>DATE(YEAR(Table1[[#This Row],[تاريخ الميلاد]])+60,MONTH(Table1[[#This Row],[تاريخ الميلاد]]),DAY(Table1[[#This Row],[تاريخ الميلاد]]))</f>
        <v>54678</v>
      </c>
      <c r="AD354" s="14">
        <f>DATE(YEAR(Table1[[#This Row],[معاش 01/01]])-1,MONTH(Table1[[#This Row],[تاريخ بلوغ 60 ]]),DAY(Table1[[#This Row],[تاريخ بلوغ 60 ]]))</f>
        <v>54678</v>
      </c>
      <c r="AE35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55043</v>
      </c>
      <c r="AF354" s="10" t="str">
        <f>IFERROR(IF(ISODD(MID(Table1[[#This Row],[الرقم القومي]],13,1)),"ذكر","انثي"),"")</f>
        <v>انثي</v>
      </c>
      <c r="AG354" s="70" t="s">
        <v>2606</v>
      </c>
      <c r="AH354" s="3">
        <f>IF(MONTH(Table1[[#This Row],[تاريخ بلوغ 60 ]])&lt;&gt;1,1,0)</f>
        <v>1</v>
      </c>
      <c r="AI354" s="3">
        <f>IF(DAY(Table1[[#This Row],[تاريخ بلوغ 60 ]])&lt;&gt;1,1,0)</f>
        <v>1</v>
      </c>
      <c r="AJ354" s="4" t="s">
        <v>465</v>
      </c>
      <c r="AK354" s="4" t="s">
        <v>2636</v>
      </c>
      <c r="AL354" s="62" t="s">
        <v>2266</v>
      </c>
      <c r="AM354" s="62" t="s">
        <v>3003</v>
      </c>
      <c r="AN354" s="2">
        <v>3</v>
      </c>
      <c r="AO354" s="4" t="s">
        <v>2641</v>
      </c>
      <c r="AP354" s="74">
        <v>401.71</v>
      </c>
      <c r="AQ354" s="4">
        <v>18.75</v>
      </c>
      <c r="AR354" s="4">
        <v>1</v>
      </c>
      <c r="AS354" s="4" t="s">
        <v>2635</v>
      </c>
      <c r="AT354" s="72">
        <v>2</v>
      </c>
      <c r="AU354" s="2">
        <v>8</v>
      </c>
      <c r="AV354" s="4"/>
      <c r="AW354" s="4"/>
      <c r="AX354" s="4"/>
    </row>
    <row r="355" spans="1:50" ht="15" x14ac:dyDescent="0.2">
      <c r="A355" s="3">
        <v>34094</v>
      </c>
      <c r="B355" s="1" t="s">
        <v>468</v>
      </c>
      <c r="C355" s="3">
        <v>1</v>
      </c>
      <c r="D355" s="3" t="s">
        <v>465</v>
      </c>
      <c r="E355" s="3">
        <v>3</v>
      </c>
      <c r="F355" s="3" t="s">
        <v>472</v>
      </c>
      <c r="G355" s="7" t="s">
        <v>296</v>
      </c>
      <c r="H355" s="3">
        <v>104</v>
      </c>
      <c r="I355" s="3" t="s">
        <v>1083</v>
      </c>
      <c r="J355" s="3">
        <v>18</v>
      </c>
      <c r="K355" s="3" t="s">
        <v>1529</v>
      </c>
      <c r="L355" s="3">
        <v>8</v>
      </c>
      <c r="M355" s="3" t="s">
        <v>506</v>
      </c>
      <c r="N355" s="3" t="s">
        <v>1090</v>
      </c>
      <c r="O355" s="10">
        <v>32423</v>
      </c>
      <c r="P355" s="10">
        <v>44743</v>
      </c>
      <c r="Q355" s="10"/>
      <c r="R355" s="10">
        <v>44743</v>
      </c>
      <c r="S355" s="23">
        <v>2282.4499999999998</v>
      </c>
      <c r="T355" s="3">
        <v>50035446</v>
      </c>
      <c r="U355" s="3">
        <v>28810070300289</v>
      </c>
      <c r="V355" s="4" t="s">
        <v>2269</v>
      </c>
      <c r="W355" s="4">
        <v>72516</v>
      </c>
      <c r="X355" s="4" t="s">
        <v>1583</v>
      </c>
      <c r="Y355" s="4">
        <v>2007</v>
      </c>
      <c r="Z355" s="3">
        <f ca="1">DATEDIF(Table1[[#This Row],[تاريخ الميلاد]],TODAY(),"y")</f>
        <v>37</v>
      </c>
      <c r="AA35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10  شهر  13  يوم </v>
      </c>
      <c r="AB35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55" s="10">
        <f>DATE(YEAR(Table1[[#This Row],[تاريخ الميلاد]])+60,MONTH(Table1[[#This Row],[تاريخ الميلاد]]),DAY(Table1[[#This Row],[تاريخ الميلاد]]))</f>
        <v>54338</v>
      </c>
      <c r="AD355" s="14">
        <f>DATE(YEAR(Table1[[#This Row],[معاش 01/01]])-1,MONTH(Table1[[#This Row],[تاريخ بلوغ 60 ]]),DAY(Table1[[#This Row],[تاريخ بلوغ 60 ]]))</f>
        <v>54338</v>
      </c>
      <c r="AE35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54703</v>
      </c>
      <c r="AF355" s="10" t="str">
        <f>IFERROR(IF(ISODD(MID(Table1[[#This Row],[الرقم القومي]],13,1)),"ذكر","انثي"),"")</f>
        <v>انثي</v>
      </c>
      <c r="AG355" s="70" t="s">
        <v>2606</v>
      </c>
      <c r="AH355" s="3">
        <f>IF(MONTH(Table1[[#This Row],[تاريخ بلوغ 60 ]])&lt;&gt;1,1,0)</f>
        <v>1</v>
      </c>
      <c r="AI355" s="3">
        <f>IF(DAY(Table1[[#This Row],[تاريخ بلوغ 60 ]])&lt;&gt;1,1,0)</f>
        <v>1</v>
      </c>
      <c r="AJ355" s="4" t="s">
        <v>465</v>
      </c>
      <c r="AK355" s="4" t="s">
        <v>2689</v>
      </c>
      <c r="AL355" s="62" t="s">
        <v>2268</v>
      </c>
      <c r="AM355" s="62" t="s">
        <v>3004</v>
      </c>
      <c r="AN355" s="2">
        <v>3</v>
      </c>
      <c r="AO355" s="4" t="s">
        <v>2641</v>
      </c>
      <c r="AP355" s="74">
        <v>401.71</v>
      </c>
      <c r="AQ355" s="4">
        <v>18.75</v>
      </c>
      <c r="AR355" s="4">
        <v>1</v>
      </c>
      <c r="AS355" s="4" t="s">
        <v>2635</v>
      </c>
      <c r="AT355" s="72">
        <v>2</v>
      </c>
      <c r="AU355" s="2">
        <v>8</v>
      </c>
      <c r="AV355" s="4"/>
      <c r="AW355" s="4"/>
      <c r="AX355" s="4"/>
    </row>
    <row r="356" spans="1:50" ht="15" x14ac:dyDescent="0.2">
      <c r="A356" s="3">
        <v>34098</v>
      </c>
      <c r="B356" s="1" t="s">
        <v>468</v>
      </c>
      <c r="C356" s="3">
        <v>1</v>
      </c>
      <c r="D356" s="3" t="s">
        <v>465</v>
      </c>
      <c r="E356" s="3">
        <v>3</v>
      </c>
      <c r="F356" s="3" t="s">
        <v>472</v>
      </c>
      <c r="G356" s="7" t="s">
        <v>297</v>
      </c>
      <c r="H356" s="3">
        <v>104</v>
      </c>
      <c r="I356" s="3" t="s">
        <v>1083</v>
      </c>
      <c r="J356" s="3">
        <v>18</v>
      </c>
      <c r="K356" s="3" t="s">
        <v>1529</v>
      </c>
      <c r="L356" s="3">
        <v>8</v>
      </c>
      <c r="M356" s="3" t="s">
        <v>506</v>
      </c>
      <c r="N356" s="3" t="s">
        <v>1090</v>
      </c>
      <c r="O356" s="10">
        <v>30621</v>
      </c>
      <c r="P356" s="10">
        <v>44743</v>
      </c>
      <c r="Q356" s="10"/>
      <c r="R356" s="10">
        <v>44743</v>
      </c>
      <c r="S356" s="23">
        <v>2331.7600000000002</v>
      </c>
      <c r="T356" s="3">
        <v>60417431</v>
      </c>
      <c r="U356" s="3">
        <v>28311010101388</v>
      </c>
      <c r="V356" s="4" t="s">
        <v>2271</v>
      </c>
      <c r="W356" s="4">
        <v>72520</v>
      </c>
      <c r="X356" s="4" t="s">
        <v>1583</v>
      </c>
      <c r="Y356" s="4">
        <v>2003</v>
      </c>
      <c r="Z356" s="3">
        <f ca="1">DATEDIF(Table1[[#This Row],[تاريخ الميلاد]],TODAY(),"y")</f>
        <v>42</v>
      </c>
      <c r="AA35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42 عام 9  شهر  19  يوم </v>
      </c>
      <c r="AB35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56" s="10">
        <f>DATE(YEAR(Table1[[#This Row],[تاريخ الميلاد]])+60,MONTH(Table1[[#This Row],[تاريخ الميلاد]]),DAY(Table1[[#This Row],[تاريخ الميلاد]]))</f>
        <v>52536</v>
      </c>
      <c r="AD356" s="14">
        <f>DATE(YEAR(Table1[[#This Row],[معاش 01/01]])-1,MONTH(Table1[[#This Row],[تاريخ بلوغ 60 ]]),DAY(Table1[[#This Row],[تاريخ بلوغ 60 ]]))</f>
        <v>52536</v>
      </c>
      <c r="AE35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52902</v>
      </c>
      <c r="AF356" s="10" t="str">
        <f>IFERROR(IF(ISODD(MID(Table1[[#This Row],[الرقم القومي]],13,1)),"ذكر","انثي"),"")</f>
        <v>انثي</v>
      </c>
      <c r="AG356" s="70" t="s">
        <v>1667</v>
      </c>
      <c r="AH356" s="3">
        <f>IF(MONTH(Table1[[#This Row],[تاريخ بلوغ 60 ]])&lt;&gt;1,1,0)</f>
        <v>1</v>
      </c>
      <c r="AI356" s="3">
        <f>IF(DAY(Table1[[#This Row],[تاريخ بلوغ 60 ]])&lt;&gt;1,1,0)</f>
        <v>0</v>
      </c>
      <c r="AJ356" s="4" t="s">
        <v>465</v>
      </c>
      <c r="AK356" s="4" t="s">
        <v>2689</v>
      </c>
      <c r="AL356" s="62" t="s">
        <v>2270</v>
      </c>
      <c r="AM356" s="62" t="s">
        <v>3005</v>
      </c>
      <c r="AN356" s="2">
        <v>3</v>
      </c>
      <c r="AO356" s="4" t="s">
        <v>2641</v>
      </c>
      <c r="AP356" s="74">
        <v>410.96</v>
      </c>
      <c r="AQ356" s="4">
        <v>18.75</v>
      </c>
      <c r="AR356" s="4">
        <v>1</v>
      </c>
      <c r="AS356" s="4" t="s">
        <v>2635</v>
      </c>
      <c r="AT356" s="72">
        <v>2</v>
      </c>
      <c r="AU356" s="2">
        <v>8</v>
      </c>
      <c r="AV356" s="4"/>
      <c r="AW356" s="4"/>
      <c r="AX356" s="4"/>
    </row>
    <row r="357" spans="1:50" ht="15" x14ac:dyDescent="0.2">
      <c r="A357" s="3">
        <v>34112</v>
      </c>
      <c r="B357" s="1" t="s">
        <v>468</v>
      </c>
      <c r="C357" s="3">
        <v>1</v>
      </c>
      <c r="D357" s="3" t="s">
        <v>465</v>
      </c>
      <c r="E357" s="3">
        <v>3</v>
      </c>
      <c r="F357" s="3" t="s">
        <v>472</v>
      </c>
      <c r="G357" s="7" t="s">
        <v>2272</v>
      </c>
      <c r="H357" s="3">
        <v>104</v>
      </c>
      <c r="I357" s="3" t="s">
        <v>1083</v>
      </c>
      <c r="J357" s="3">
        <v>18</v>
      </c>
      <c r="K357" s="3" t="s">
        <v>1529</v>
      </c>
      <c r="L357" s="3">
        <v>8</v>
      </c>
      <c r="M357" s="3" t="s">
        <v>506</v>
      </c>
      <c r="N357" s="3" t="s">
        <v>1090</v>
      </c>
      <c r="O357" s="10">
        <v>34422</v>
      </c>
      <c r="P357" s="10">
        <v>44743</v>
      </c>
      <c r="Q357" s="10"/>
      <c r="R357" s="10">
        <v>44743</v>
      </c>
      <c r="S357" s="23">
        <v>2282.4499999999998</v>
      </c>
      <c r="T357" s="3">
        <v>70852619</v>
      </c>
      <c r="U357" s="3">
        <v>29403290300068</v>
      </c>
      <c r="V357" s="4" t="s">
        <v>2274</v>
      </c>
      <c r="W357" s="4">
        <v>72533</v>
      </c>
      <c r="X357" s="4" t="s">
        <v>1583</v>
      </c>
      <c r="Y357" s="4">
        <v>2014</v>
      </c>
      <c r="Z357" s="3">
        <f ca="1">DATEDIF(Table1[[#This Row],[تاريخ الميلاد]],TODAY(),"y")</f>
        <v>32</v>
      </c>
      <c r="AA35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32 عام 4  شهر  22  يوم </v>
      </c>
      <c r="AB35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57" s="10">
        <f>DATE(YEAR(Table1[[#This Row],[تاريخ الميلاد]])+60,MONTH(Table1[[#This Row],[تاريخ الميلاد]]),DAY(Table1[[#This Row],[تاريخ الميلاد]]))</f>
        <v>56337</v>
      </c>
      <c r="AD357" s="14">
        <f>DATE(YEAR(Table1[[#This Row],[معاش 01/01]])-1,MONTH(Table1[[#This Row],[تاريخ بلوغ 60 ]]),DAY(Table1[[#This Row],[تاريخ بلوغ 60 ]]))</f>
        <v>56337</v>
      </c>
      <c r="AE35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56702</v>
      </c>
      <c r="AF357" s="10" t="str">
        <f>IFERROR(IF(ISODD(MID(Table1[[#This Row],[الرقم القومي]],13,1)),"ذكر","انثي"),"")</f>
        <v>انثي</v>
      </c>
      <c r="AG357" s="70" t="s">
        <v>2606</v>
      </c>
      <c r="AH357" s="3">
        <f>IF(MONTH(Table1[[#This Row],[تاريخ بلوغ 60 ]])&lt;&gt;1,1,0)</f>
        <v>1</v>
      </c>
      <c r="AI357" s="3">
        <f>IF(DAY(Table1[[#This Row],[تاريخ بلوغ 60 ]])&lt;&gt;1,1,0)</f>
        <v>1</v>
      </c>
      <c r="AJ357" s="4" t="s">
        <v>465</v>
      </c>
      <c r="AK357" s="4" t="s">
        <v>2689</v>
      </c>
      <c r="AL357" s="62" t="s">
        <v>2273</v>
      </c>
      <c r="AM357" s="62" t="s">
        <v>3006</v>
      </c>
      <c r="AN357" s="2">
        <v>3</v>
      </c>
      <c r="AO357" s="4" t="s">
        <v>2641</v>
      </c>
      <c r="AP357" s="74">
        <v>401.71</v>
      </c>
      <c r="AQ357" s="4">
        <v>18.75</v>
      </c>
      <c r="AR357" s="4">
        <v>7</v>
      </c>
      <c r="AS357" s="4" t="s">
        <v>2642</v>
      </c>
      <c r="AT357" s="72">
        <v>0</v>
      </c>
      <c r="AU357" s="2">
        <v>8</v>
      </c>
      <c r="AV357" s="4"/>
      <c r="AW357" s="4"/>
      <c r="AX357" s="4"/>
    </row>
    <row r="358" spans="1:50" ht="15" x14ac:dyDescent="0.2">
      <c r="A358" s="3">
        <v>34115</v>
      </c>
      <c r="B358" s="1" t="s">
        <v>468</v>
      </c>
      <c r="C358" s="3">
        <v>1</v>
      </c>
      <c r="D358" s="3" t="s">
        <v>465</v>
      </c>
      <c r="E358" s="3">
        <v>3</v>
      </c>
      <c r="F358" s="3" t="s">
        <v>472</v>
      </c>
      <c r="G358" s="7" t="s">
        <v>298</v>
      </c>
      <c r="H358" s="3">
        <v>104</v>
      </c>
      <c r="I358" s="3" t="s">
        <v>1083</v>
      </c>
      <c r="J358" s="3">
        <v>18</v>
      </c>
      <c r="K358" s="3" t="s">
        <v>1529</v>
      </c>
      <c r="L358" s="3">
        <v>8</v>
      </c>
      <c r="M358" s="3" t="s">
        <v>506</v>
      </c>
      <c r="N358" s="3" t="s">
        <v>1090</v>
      </c>
      <c r="O358" s="10">
        <v>31826</v>
      </c>
      <c r="P358" s="10">
        <v>44743</v>
      </c>
      <c r="Q358" s="10"/>
      <c r="R358" s="10">
        <v>44743</v>
      </c>
      <c r="S358" s="23">
        <v>2282.4499999999998</v>
      </c>
      <c r="T358" s="3">
        <v>17491834</v>
      </c>
      <c r="U358" s="3">
        <v>28702180300228</v>
      </c>
      <c r="V358" s="4" t="s">
        <v>2276</v>
      </c>
      <c r="W358" s="4">
        <v>72535</v>
      </c>
      <c r="X358" s="4" t="s">
        <v>1583</v>
      </c>
      <c r="Y358" s="4">
        <v>2004</v>
      </c>
      <c r="Z358" s="3">
        <f ca="1">DATEDIF(Table1[[#This Row],[تاريخ الميلاد]],TODAY(),"y")</f>
        <v>39</v>
      </c>
      <c r="AA35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39 عام 6  شهر  2  يوم </v>
      </c>
      <c r="AB35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58" s="10">
        <f>DATE(YEAR(Table1[[#This Row],[تاريخ الميلاد]])+60,MONTH(Table1[[#This Row],[تاريخ الميلاد]]),DAY(Table1[[#This Row],[تاريخ الميلاد]]))</f>
        <v>53741</v>
      </c>
      <c r="AD358" s="14">
        <f>DATE(YEAR(Table1[[#This Row],[معاش 01/01]])-1,MONTH(Table1[[#This Row],[تاريخ بلوغ 60 ]]),DAY(Table1[[#This Row],[تاريخ بلوغ 60 ]]))</f>
        <v>53741</v>
      </c>
      <c r="AE35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54106</v>
      </c>
      <c r="AF358" s="10" t="str">
        <f>IFERROR(IF(ISODD(MID(Table1[[#This Row],[الرقم القومي]],13,1)),"ذكر","انثي"),"")</f>
        <v>انثي</v>
      </c>
      <c r="AG358" s="70" t="s">
        <v>2606</v>
      </c>
      <c r="AH358" s="3">
        <f>IF(MONTH(Table1[[#This Row],[تاريخ بلوغ 60 ]])&lt;&gt;1,1,0)</f>
        <v>1</v>
      </c>
      <c r="AI358" s="3">
        <f>IF(DAY(Table1[[#This Row],[تاريخ بلوغ 60 ]])&lt;&gt;1,1,0)</f>
        <v>1</v>
      </c>
      <c r="AJ358" s="4" t="s">
        <v>465</v>
      </c>
      <c r="AK358" s="4">
        <v>0</v>
      </c>
      <c r="AL358" s="62" t="s">
        <v>2275</v>
      </c>
      <c r="AM358" s="62" t="s">
        <v>3007</v>
      </c>
      <c r="AN358" s="2">
        <v>3</v>
      </c>
      <c r="AO358" s="4" t="s">
        <v>2641</v>
      </c>
      <c r="AP358" s="74">
        <v>401.71</v>
      </c>
      <c r="AQ358" s="4">
        <v>18.75</v>
      </c>
      <c r="AR358" s="4">
        <v>1</v>
      </c>
      <c r="AS358" s="4" t="s">
        <v>2635</v>
      </c>
      <c r="AT358" s="72">
        <v>2</v>
      </c>
      <c r="AU358" s="2">
        <v>8</v>
      </c>
      <c r="AV358" s="4"/>
      <c r="AW358" s="4"/>
      <c r="AX358" s="4"/>
    </row>
    <row r="359" spans="1:50" ht="15" x14ac:dyDescent="0.2">
      <c r="A359" s="3">
        <v>34116</v>
      </c>
      <c r="B359" s="1" t="s">
        <v>468</v>
      </c>
      <c r="C359" s="3">
        <v>1</v>
      </c>
      <c r="D359" s="3" t="s">
        <v>465</v>
      </c>
      <c r="E359" s="3">
        <v>3</v>
      </c>
      <c r="F359" s="3" t="s">
        <v>472</v>
      </c>
      <c r="G359" s="7" t="s">
        <v>299</v>
      </c>
      <c r="H359" s="3">
        <v>104</v>
      </c>
      <c r="I359" s="3" t="s">
        <v>1083</v>
      </c>
      <c r="J359" s="3">
        <v>18</v>
      </c>
      <c r="K359" s="3" t="s">
        <v>1529</v>
      </c>
      <c r="L359" s="3">
        <v>8</v>
      </c>
      <c r="M359" s="3" t="s">
        <v>506</v>
      </c>
      <c r="N359" s="3" t="s">
        <v>1090</v>
      </c>
      <c r="O359" s="10">
        <v>33149</v>
      </c>
      <c r="P359" s="10">
        <v>44743</v>
      </c>
      <c r="Q359" s="10"/>
      <c r="R359" s="10">
        <v>44743</v>
      </c>
      <c r="S359" s="23">
        <v>2282.4499999999998</v>
      </c>
      <c r="T359" s="3">
        <v>64964195</v>
      </c>
      <c r="U359" s="3">
        <v>29010030300267</v>
      </c>
      <c r="V359" s="4" t="s">
        <v>2278</v>
      </c>
      <c r="W359" s="4">
        <v>72536</v>
      </c>
      <c r="X359" s="4" t="s">
        <v>1583</v>
      </c>
      <c r="Y359" s="4">
        <v>2009</v>
      </c>
      <c r="Z359" s="3">
        <f ca="1">DATEDIF(Table1[[#This Row],[تاريخ الميلاد]],TODAY(),"y")</f>
        <v>35</v>
      </c>
      <c r="AA35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35 عام 10  شهر  17  يوم </v>
      </c>
      <c r="AB35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59" s="10">
        <f>DATE(YEAR(Table1[[#This Row],[تاريخ الميلاد]])+60,MONTH(Table1[[#This Row],[تاريخ الميلاد]]),DAY(Table1[[#This Row],[تاريخ الميلاد]]))</f>
        <v>55064</v>
      </c>
      <c r="AD359" s="14">
        <f>DATE(YEAR(Table1[[#This Row],[معاش 01/01]])-1,MONTH(Table1[[#This Row],[تاريخ بلوغ 60 ]]),DAY(Table1[[#This Row],[تاريخ بلوغ 60 ]]))</f>
        <v>55064</v>
      </c>
      <c r="AE35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55429</v>
      </c>
      <c r="AF359" s="10" t="str">
        <f>IFERROR(IF(ISODD(MID(Table1[[#This Row],[الرقم القومي]],13,1)),"ذكر","انثي"),"")</f>
        <v>انثي</v>
      </c>
      <c r="AG359" s="70" t="s">
        <v>2606</v>
      </c>
      <c r="AH359" s="3">
        <f>IF(MONTH(Table1[[#This Row],[تاريخ بلوغ 60 ]])&lt;&gt;1,1,0)</f>
        <v>1</v>
      </c>
      <c r="AI359" s="3">
        <f>IF(DAY(Table1[[#This Row],[تاريخ بلوغ 60 ]])&lt;&gt;1,1,0)</f>
        <v>1</v>
      </c>
      <c r="AJ359" s="4" t="s">
        <v>465</v>
      </c>
      <c r="AK359" s="4" t="s">
        <v>2666</v>
      </c>
      <c r="AL359" s="62" t="s">
        <v>2277</v>
      </c>
      <c r="AM359" s="62" t="s">
        <v>3008</v>
      </c>
      <c r="AN359" s="2">
        <v>3</v>
      </c>
      <c r="AO359" s="4" t="s">
        <v>2641</v>
      </c>
      <c r="AP359" s="74">
        <v>401.71</v>
      </c>
      <c r="AQ359" s="4">
        <v>18.75</v>
      </c>
      <c r="AR359" s="4">
        <v>1</v>
      </c>
      <c r="AS359" s="4" t="s">
        <v>2635</v>
      </c>
      <c r="AT359" s="72">
        <v>2</v>
      </c>
      <c r="AU359" s="2">
        <v>8</v>
      </c>
      <c r="AV359" s="4"/>
      <c r="AW359" s="4"/>
      <c r="AX359" s="4"/>
    </row>
    <row r="360" spans="1:50" ht="15" x14ac:dyDescent="0.2">
      <c r="A360" s="3">
        <v>34132</v>
      </c>
      <c r="B360" s="1" t="s">
        <v>468</v>
      </c>
      <c r="C360" s="3">
        <v>1</v>
      </c>
      <c r="D360" s="3" t="s">
        <v>465</v>
      </c>
      <c r="E360" s="3">
        <v>3</v>
      </c>
      <c r="F360" s="3" t="s">
        <v>472</v>
      </c>
      <c r="G360" s="7" t="s">
        <v>300</v>
      </c>
      <c r="H360" s="3">
        <v>104</v>
      </c>
      <c r="I360" s="3" t="s">
        <v>1083</v>
      </c>
      <c r="J360" s="3">
        <v>18</v>
      </c>
      <c r="K360" s="3" t="s">
        <v>1529</v>
      </c>
      <c r="L360" s="3">
        <v>8</v>
      </c>
      <c r="M360" s="3" t="s">
        <v>506</v>
      </c>
      <c r="N360" s="3" t="s">
        <v>1090</v>
      </c>
      <c r="O360" s="10">
        <v>33224</v>
      </c>
      <c r="P360" s="10">
        <v>44743</v>
      </c>
      <c r="Q360" s="10"/>
      <c r="R360" s="10">
        <v>44743</v>
      </c>
      <c r="S360" s="23">
        <v>2282.4499999999998</v>
      </c>
      <c r="T360" s="3">
        <v>66305086</v>
      </c>
      <c r="U360" s="3">
        <v>29012170300227</v>
      </c>
      <c r="V360" s="4" t="s">
        <v>2280</v>
      </c>
      <c r="W360" s="4">
        <v>72547</v>
      </c>
      <c r="X360" s="4" t="s">
        <v>1583</v>
      </c>
      <c r="Y360" s="4">
        <v>2008</v>
      </c>
      <c r="Z360" s="3">
        <f ca="1">DATEDIF(Table1[[#This Row],[تاريخ الميلاد]],TODAY(),"y")</f>
        <v>35</v>
      </c>
      <c r="AA36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35 عام 8  شهر  3  يوم </v>
      </c>
      <c r="AB36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60" s="10">
        <f>DATE(YEAR(Table1[[#This Row],[تاريخ الميلاد]])+60,MONTH(Table1[[#This Row],[تاريخ الميلاد]]),DAY(Table1[[#This Row],[تاريخ الميلاد]]))</f>
        <v>55139</v>
      </c>
      <c r="AD360" s="14">
        <f>DATE(YEAR(Table1[[#This Row],[معاش 01/01]])-1,MONTH(Table1[[#This Row],[تاريخ بلوغ 60 ]]),DAY(Table1[[#This Row],[تاريخ بلوغ 60 ]]))</f>
        <v>55139</v>
      </c>
      <c r="AE36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55504</v>
      </c>
      <c r="AF360" s="10" t="str">
        <f>IFERROR(IF(ISODD(MID(Table1[[#This Row],[الرقم القومي]],13,1)),"ذكر","انثي"),"")</f>
        <v>انثي</v>
      </c>
      <c r="AG360" s="70" t="s">
        <v>2606</v>
      </c>
      <c r="AH360" s="3">
        <f>IF(MONTH(Table1[[#This Row],[تاريخ بلوغ 60 ]])&lt;&gt;1,1,0)</f>
        <v>1</v>
      </c>
      <c r="AI360" s="3">
        <f>IF(DAY(Table1[[#This Row],[تاريخ بلوغ 60 ]])&lt;&gt;1,1,0)</f>
        <v>1</v>
      </c>
      <c r="AJ360" s="4" t="s">
        <v>465</v>
      </c>
      <c r="AK360" s="4">
        <v>0</v>
      </c>
      <c r="AL360" s="62" t="s">
        <v>2279</v>
      </c>
      <c r="AM360" s="62" t="s">
        <v>3009</v>
      </c>
      <c r="AN360" s="2">
        <v>3</v>
      </c>
      <c r="AO360" s="4" t="s">
        <v>2641</v>
      </c>
      <c r="AP360" s="74">
        <v>401.71</v>
      </c>
      <c r="AQ360" s="4">
        <v>18.75</v>
      </c>
      <c r="AR360" s="4">
        <v>1</v>
      </c>
      <c r="AS360" s="4" t="s">
        <v>2635</v>
      </c>
      <c r="AT360" s="72">
        <v>2</v>
      </c>
      <c r="AU360" s="2">
        <v>8</v>
      </c>
      <c r="AV360" s="4"/>
      <c r="AW360" s="4"/>
      <c r="AX360" s="4"/>
    </row>
    <row r="361" spans="1:50" ht="15" x14ac:dyDescent="0.2">
      <c r="A361" s="3">
        <v>34135</v>
      </c>
      <c r="B361" s="1" t="s">
        <v>468</v>
      </c>
      <c r="C361" s="3">
        <v>1</v>
      </c>
      <c r="D361" s="3" t="s">
        <v>465</v>
      </c>
      <c r="E361" s="3">
        <v>3</v>
      </c>
      <c r="F361" s="3" t="s">
        <v>472</v>
      </c>
      <c r="G361" s="7" t="s">
        <v>301</v>
      </c>
      <c r="H361" s="3">
        <v>104</v>
      </c>
      <c r="I361" s="3" t="s">
        <v>1083</v>
      </c>
      <c r="J361" s="3">
        <v>18</v>
      </c>
      <c r="K361" s="3" t="s">
        <v>1529</v>
      </c>
      <c r="L361" s="3">
        <v>8</v>
      </c>
      <c r="M361" s="3" t="s">
        <v>506</v>
      </c>
      <c r="N361" s="3" t="s">
        <v>1090</v>
      </c>
      <c r="O361" s="10">
        <v>33103</v>
      </c>
      <c r="P361" s="10">
        <v>44743</v>
      </c>
      <c r="Q361" s="10"/>
      <c r="R361" s="10">
        <v>44743</v>
      </c>
      <c r="S361" s="23">
        <v>2282.4499999999998</v>
      </c>
      <c r="T361" s="3">
        <v>61398089</v>
      </c>
      <c r="U361" s="3">
        <v>29008180300228</v>
      </c>
      <c r="V361" s="4" t="s">
        <v>2282</v>
      </c>
      <c r="W361" s="4">
        <v>72550</v>
      </c>
      <c r="X361" s="4" t="s">
        <v>1583</v>
      </c>
      <c r="Y361" s="4">
        <v>2007</v>
      </c>
      <c r="Z361" s="3">
        <f ca="1">DATEDIF(Table1[[#This Row],[تاريخ الميلاد]],TODAY(),"y")</f>
        <v>36</v>
      </c>
      <c r="AA36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36 عام 0  شهر  2  يوم </v>
      </c>
      <c r="AB36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61" s="10">
        <f>DATE(YEAR(Table1[[#This Row],[تاريخ الميلاد]])+60,MONTH(Table1[[#This Row],[تاريخ الميلاد]]),DAY(Table1[[#This Row],[تاريخ الميلاد]]))</f>
        <v>55018</v>
      </c>
      <c r="AD361" s="14">
        <f>DATE(YEAR(Table1[[#This Row],[معاش 01/01]])-1,MONTH(Table1[[#This Row],[تاريخ بلوغ 60 ]]),DAY(Table1[[#This Row],[تاريخ بلوغ 60 ]]))</f>
        <v>55018</v>
      </c>
      <c r="AE36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55383</v>
      </c>
      <c r="AF361" s="10" t="str">
        <f>IFERROR(IF(ISODD(MID(Table1[[#This Row],[الرقم القومي]],13,1)),"ذكر","انثي"),"")</f>
        <v>انثي</v>
      </c>
      <c r="AG361" s="70" t="s">
        <v>2606</v>
      </c>
      <c r="AH361" s="3">
        <f>IF(MONTH(Table1[[#This Row],[تاريخ بلوغ 60 ]])&lt;&gt;1,1,0)</f>
        <v>1</v>
      </c>
      <c r="AI361" s="3">
        <f>IF(DAY(Table1[[#This Row],[تاريخ بلوغ 60 ]])&lt;&gt;1,1,0)</f>
        <v>1</v>
      </c>
      <c r="AJ361" s="4" t="s">
        <v>465</v>
      </c>
      <c r="AK361" s="4" t="s">
        <v>2689</v>
      </c>
      <c r="AL361" s="62" t="s">
        <v>2281</v>
      </c>
      <c r="AM361" s="62" t="s">
        <v>3010</v>
      </c>
      <c r="AN361" s="2">
        <v>3</v>
      </c>
      <c r="AO361" s="4" t="s">
        <v>2641</v>
      </c>
      <c r="AP361" s="74">
        <v>401.71</v>
      </c>
      <c r="AQ361" s="4">
        <v>18.75</v>
      </c>
      <c r="AR361" s="4">
        <v>1</v>
      </c>
      <c r="AS361" s="4" t="s">
        <v>2635</v>
      </c>
      <c r="AT361" s="72">
        <v>2</v>
      </c>
      <c r="AU361" s="2">
        <v>8</v>
      </c>
      <c r="AV361" s="4"/>
      <c r="AW361" s="4"/>
      <c r="AX361" s="4"/>
    </row>
    <row r="362" spans="1:50" ht="15" x14ac:dyDescent="0.2">
      <c r="A362" s="3">
        <v>34136</v>
      </c>
      <c r="B362" s="1" t="s">
        <v>468</v>
      </c>
      <c r="C362" s="3">
        <v>1</v>
      </c>
      <c r="D362" s="3" t="s">
        <v>465</v>
      </c>
      <c r="E362" s="3">
        <v>3</v>
      </c>
      <c r="F362" s="3" t="s">
        <v>472</v>
      </c>
      <c r="G362" s="7" t="s">
        <v>2283</v>
      </c>
      <c r="H362" s="3">
        <v>104</v>
      </c>
      <c r="I362" s="3" t="s">
        <v>1083</v>
      </c>
      <c r="J362" s="3">
        <v>18</v>
      </c>
      <c r="K362" s="3" t="s">
        <v>1529</v>
      </c>
      <c r="L362" s="3">
        <v>8</v>
      </c>
      <c r="M362" s="3" t="s">
        <v>506</v>
      </c>
      <c r="N362" s="3" t="s">
        <v>1090</v>
      </c>
      <c r="O362" s="10">
        <v>29616</v>
      </c>
      <c r="P362" s="10">
        <v>44743</v>
      </c>
      <c r="Q362" s="10"/>
      <c r="R362" s="10">
        <v>44743</v>
      </c>
      <c r="S362" s="23">
        <v>2282.4499999999998</v>
      </c>
      <c r="T362" s="3">
        <v>52698942</v>
      </c>
      <c r="U362" s="3">
        <v>28101300300045</v>
      </c>
      <c r="V362" s="4" t="s">
        <v>2285</v>
      </c>
      <c r="W362" s="4">
        <v>72551</v>
      </c>
      <c r="X362" s="4" t="s">
        <v>1583</v>
      </c>
      <c r="Y362" s="4">
        <v>1998</v>
      </c>
      <c r="Z362" s="3">
        <f ca="1">DATEDIF(Table1[[#This Row],[تاريخ الميلاد]],TODAY(),"y")</f>
        <v>45</v>
      </c>
      <c r="AA36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45 عام 6  شهر  21  يوم </v>
      </c>
      <c r="AB36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62" s="10">
        <f>DATE(YEAR(Table1[[#This Row],[تاريخ الميلاد]])+60,MONTH(Table1[[#This Row],[تاريخ الميلاد]]),DAY(Table1[[#This Row],[تاريخ الميلاد]]))</f>
        <v>51531</v>
      </c>
      <c r="AD362" s="14">
        <f>DATE(YEAR(Table1[[#This Row],[معاش 01/01]])-1,MONTH(Table1[[#This Row],[تاريخ بلوغ 60 ]]),DAY(Table1[[#This Row],[تاريخ بلوغ 60 ]]))</f>
        <v>51531</v>
      </c>
      <c r="AE36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51896</v>
      </c>
      <c r="AF362" s="10" t="str">
        <f>IFERROR(IF(ISODD(MID(Table1[[#This Row],[الرقم القومي]],13,1)),"ذكر","انثي"),"")</f>
        <v>انثي</v>
      </c>
      <c r="AG362" s="70" t="s">
        <v>2606</v>
      </c>
      <c r="AH362" s="3">
        <f>IF(MONTH(Table1[[#This Row],[تاريخ بلوغ 60 ]])&lt;&gt;1,1,0)</f>
        <v>0</v>
      </c>
      <c r="AI362" s="3">
        <f>IF(DAY(Table1[[#This Row],[تاريخ بلوغ 60 ]])&lt;&gt;1,1,0)</f>
        <v>1</v>
      </c>
      <c r="AJ362" s="4" t="s">
        <v>465</v>
      </c>
      <c r="AK362" s="4" t="s">
        <v>2689</v>
      </c>
      <c r="AL362" s="62" t="s">
        <v>2284</v>
      </c>
      <c r="AM362" s="62" t="s">
        <v>3011</v>
      </c>
      <c r="AN362" s="2">
        <v>3</v>
      </c>
      <c r="AO362" s="4" t="s">
        <v>2641</v>
      </c>
      <c r="AP362" s="74">
        <v>401.71</v>
      </c>
      <c r="AQ362" s="4">
        <v>18.75</v>
      </c>
      <c r="AR362" s="4">
        <v>1</v>
      </c>
      <c r="AS362" s="4" t="s">
        <v>2635</v>
      </c>
      <c r="AT362" s="72">
        <v>2</v>
      </c>
      <c r="AU362" s="2">
        <v>8</v>
      </c>
      <c r="AV362" s="4"/>
      <c r="AW362" s="4"/>
      <c r="AX362" s="4"/>
    </row>
    <row r="363" spans="1:50" ht="15" x14ac:dyDescent="0.2">
      <c r="A363" s="3">
        <v>34137</v>
      </c>
      <c r="B363" s="1" t="s">
        <v>468</v>
      </c>
      <c r="C363" s="3">
        <v>1</v>
      </c>
      <c r="D363" s="3" t="s">
        <v>465</v>
      </c>
      <c r="E363" s="3">
        <v>3</v>
      </c>
      <c r="F363" s="3" t="s">
        <v>472</v>
      </c>
      <c r="G363" s="7" t="s">
        <v>302</v>
      </c>
      <c r="H363" s="3">
        <v>104</v>
      </c>
      <c r="I363" s="3" t="s">
        <v>1083</v>
      </c>
      <c r="J363" s="3">
        <v>18</v>
      </c>
      <c r="K363" s="3" t="s">
        <v>1529</v>
      </c>
      <c r="L363" s="3">
        <v>8</v>
      </c>
      <c r="M363" s="3" t="s">
        <v>506</v>
      </c>
      <c r="N363" s="3" t="s">
        <v>1090</v>
      </c>
      <c r="O363" s="10">
        <v>32152</v>
      </c>
      <c r="P363" s="10">
        <v>44743</v>
      </c>
      <c r="Q363" s="10"/>
      <c r="R363" s="10">
        <v>44743</v>
      </c>
      <c r="S363" s="23">
        <v>2282.4499999999998</v>
      </c>
      <c r="T363" s="3">
        <v>20901836</v>
      </c>
      <c r="U363" s="3">
        <v>28801100300247</v>
      </c>
      <c r="V363" s="4" t="s">
        <v>2287</v>
      </c>
      <c r="W363" s="4">
        <v>72553</v>
      </c>
      <c r="X363" s="4" t="s">
        <v>1583</v>
      </c>
      <c r="Y363" s="4">
        <v>2006</v>
      </c>
      <c r="Z363" s="3">
        <f ca="1">DATEDIF(Table1[[#This Row],[تاريخ الميلاد]],TODAY(),"y")</f>
        <v>38</v>
      </c>
      <c r="AA36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7  شهر  10  يوم </v>
      </c>
      <c r="AB36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63" s="10">
        <f>DATE(YEAR(Table1[[#This Row],[تاريخ الميلاد]])+60,MONTH(Table1[[#This Row],[تاريخ الميلاد]]),DAY(Table1[[#This Row],[تاريخ الميلاد]]))</f>
        <v>54067</v>
      </c>
      <c r="AD363" s="14">
        <f>DATE(YEAR(Table1[[#This Row],[معاش 01/01]])-1,MONTH(Table1[[#This Row],[تاريخ بلوغ 60 ]]),DAY(Table1[[#This Row],[تاريخ بلوغ 60 ]]))</f>
        <v>54067</v>
      </c>
      <c r="AE36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54433</v>
      </c>
      <c r="AF363" s="10" t="str">
        <f>IFERROR(IF(ISODD(MID(Table1[[#This Row],[الرقم القومي]],13,1)),"ذكر","انثي"),"")</f>
        <v>انثي</v>
      </c>
      <c r="AG363" s="70" t="s">
        <v>2606</v>
      </c>
      <c r="AH363" s="3">
        <f>IF(MONTH(Table1[[#This Row],[تاريخ بلوغ 60 ]])&lt;&gt;1,1,0)</f>
        <v>0</v>
      </c>
      <c r="AI363" s="3">
        <f>IF(DAY(Table1[[#This Row],[تاريخ بلوغ 60 ]])&lt;&gt;1,1,0)</f>
        <v>1</v>
      </c>
      <c r="AJ363" s="4" t="s">
        <v>465</v>
      </c>
      <c r="AK363" s="4">
        <v>0</v>
      </c>
      <c r="AL363" s="62" t="s">
        <v>2286</v>
      </c>
      <c r="AM363" s="62" t="s">
        <v>3012</v>
      </c>
      <c r="AN363" s="2">
        <v>3</v>
      </c>
      <c r="AO363" s="4" t="s">
        <v>2641</v>
      </c>
      <c r="AP363" s="74">
        <v>0</v>
      </c>
      <c r="AQ363" s="4">
        <v>18.75</v>
      </c>
      <c r="AR363" s="4">
        <v>1</v>
      </c>
      <c r="AS363" s="4" t="s">
        <v>2635</v>
      </c>
      <c r="AT363" s="72">
        <v>2</v>
      </c>
      <c r="AU363" s="2">
        <v>8</v>
      </c>
      <c r="AV363" s="4"/>
      <c r="AW363" s="4"/>
      <c r="AX363" s="4"/>
    </row>
    <row r="364" spans="1:50" ht="15" x14ac:dyDescent="0.2">
      <c r="A364" s="3">
        <v>34142</v>
      </c>
      <c r="B364" s="1" t="s">
        <v>468</v>
      </c>
      <c r="C364" s="3">
        <v>1</v>
      </c>
      <c r="D364" s="3" t="s">
        <v>465</v>
      </c>
      <c r="E364" s="3">
        <v>3</v>
      </c>
      <c r="F364" s="3" t="s">
        <v>472</v>
      </c>
      <c r="G364" s="7" t="s">
        <v>303</v>
      </c>
      <c r="H364" s="3">
        <v>104</v>
      </c>
      <c r="I364" s="3" t="s">
        <v>1083</v>
      </c>
      <c r="J364" s="3">
        <v>18</v>
      </c>
      <c r="K364" s="3" t="s">
        <v>1529</v>
      </c>
      <c r="L364" s="3">
        <v>8</v>
      </c>
      <c r="M364" s="3" t="s">
        <v>506</v>
      </c>
      <c r="N364" s="3" t="s">
        <v>1090</v>
      </c>
      <c r="O364" s="10">
        <v>32189</v>
      </c>
      <c r="P364" s="10">
        <v>44743</v>
      </c>
      <c r="Q364" s="10"/>
      <c r="R364" s="10">
        <v>44743</v>
      </c>
      <c r="S364" s="23">
        <v>2282.4499999999998</v>
      </c>
      <c r="T364" s="3">
        <v>52098170</v>
      </c>
      <c r="U364" s="3">
        <v>28802160300188</v>
      </c>
      <c r="V364" s="4" t="s">
        <v>2289</v>
      </c>
      <c r="W364" s="4">
        <v>72558</v>
      </c>
      <c r="X364" s="4" t="s">
        <v>1583</v>
      </c>
      <c r="Y364" s="4">
        <v>2005</v>
      </c>
      <c r="Z364" s="3">
        <f ca="1">DATEDIF(Table1[[#This Row],[تاريخ الميلاد]],TODAY(),"y")</f>
        <v>38</v>
      </c>
      <c r="AA36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6  شهر  4  يوم </v>
      </c>
      <c r="AB36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64" s="10">
        <f>DATE(YEAR(Table1[[#This Row],[تاريخ الميلاد]])+60,MONTH(Table1[[#This Row],[تاريخ الميلاد]]),DAY(Table1[[#This Row],[تاريخ الميلاد]]))</f>
        <v>54104</v>
      </c>
      <c r="AD364" s="14">
        <f>DATE(YEAR(Table1[[#This Row],[معاش 01/01]])-1,MONTH(Table1[[#This Row],[تاريخ بلوغ 60 ]]),DAY(Table1[[#This Row],[تاريخ بلوغ 60 ]]))</f>
        <v>54104</v>
      </c>
      <c r="AE36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54470</v>
      </c>
      <c r="AF364" s="10" t="str">
        <f>IFERROR(IF(ISODD(MID(Table1[[#This Row],[الرقم القومي]],13,1)),"ذكر","انثي"),"")</f>
        <v>انثي</v>
      </c>
      <c r="AG364" s="70" t="s">
        <v>2606</v>
      </c>
      <c r="AH364" s="3">
        <f>IF(MONTH(Table1[[#This Row],[تاريخ بلوغ 60 ]])&lt;&gt;1,1,0)</f>
        <v>1</v>
      </c>
      <c r="AI364" s="3">
        <f>IF(DAY(Table1[[#This Row],[تاريخ بلوغ 60 ]])&lt;&gt;1,1,0)</f>
        <v>1</v>
      </c>
      <c r="AJ364" s="4" t="s">
        <v>465</v>
      </c>
      <c r="AK364" s="4">
        <v>0</v>
      </c>
      <c r="AL364" s="62" t="s">
        <v>2288</v>
      </c>
      <c r="AM364" s="62" t="s">
        <v>3013</v>
      </c>
      <c r="AN364" s="2">
        <v>3</v>
      </c>
      <c r="AO364" s="4" t="s">
        <v>2641</v>
      </c>
      <c r="AP364" s="74">
        <v>401.71</v>
      </c>
      <c r="AQ364" s="4">
        <v>18.75</v>
      </c>
      <c r="AR364" s="4">
        <v>1</v>
      </c>
      <c r="AS364" s="4" t="s">
        <v>2635</v>
      </c>
      <c r="AT364" s="72">
        <v>2</v>
      </c>
      <c r="AU364" s="2">
        <v>8</v>
      </c>
      <c r="AV364" s="4"/>
      <c r="AW364" s="4"/>
      <c r="AX364" s="4"/>
    </row>
    <row r="365" spans="1:50" ht="15" x14ac:dyDescent="0.2">
      <c r="A365" s="3">
        <v>34143</v>
      </c>
      <c r="B365" s="1" t="s">
        <v>468</v>
      </c>
      <c r="C365" s="3">
        <v>1</v>
      </c>
      <c r="D365" s="3" t="s">
        <v>465</v>
      </c>
      <c r="E365" s="3">
        <v>3</v>
      </c>
      <c r="F365" s="3" t="s">
        <v>472</v>
      </c>
      <c r="G365" s="7" t="s">
        <v>2290</v>
      </c>
      <c r="H365" s="3">
        <v>104</v>
      </c>
      <c r="I365" s="3" t="s">
        <v>1083</v>
      </c>
      <c r="J365" s="3">
        <v>18</v>
      </c>
      <c r="K365" s="3" t="s">
        <v>1529</v>
      </c>
      <c r="L365" s="3">
        <v>8</v>
      </c>
      <c r="M365" s="3" t="s">
        <v>506</v>
      </c>
      <c r="N365" s="3" t="s">
        <v>1090</v>
      </c>
      <c r="O365" s="10">
        <v>33166</v>
      </c>
      <c r="P365" s="10">
        <v>44743</v>
      </c>
      <c r="Q365" s="10"/>
      <c r="R365" s="10">
        <v>44743</v>
      </c>
      <c r="S365" s="23">
        <v>2282.4499999999998</v>
      </c>
      <c r="T365" s="3">
        <v>61360368</v>
      </c>
      <c r="U365" s="3">
        <v>29010200300321</v>
      </c>
      <c r="V365" s="4" t="s">
        <v>2292</v>
      </c>
      <c r="W365" s="4">
        <v>72559</v>
      </c>
      <c r="X365" s="4" t="s">
        <v>1583</v>
      </c>
      <c r="Y365" s="4">
        <v>2007</v>
      </c>
      <c r="Z365" s="3">
        <f ca="1">DATEDIF(Table1[[#This Row],[تاريخ الميلاد]],TODAY(),"y")</f>
        <v>35</v>
      </c>
      <c r="AA36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35 عام 10  شهر  0  يوم </v>
      </c>
      <c r="AB36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65" s="10">
        <f>DATE(YEAR(Table1[[#This Row],[تاريخ الميلاد]])+60,MONTH(Table1[[#This Row],[تاريخ الميلاد]]),DAY(Table1[[#This Row],[تاريخ الميلاد]]))</f>
        <v>55081</v>
      </c>
      <c r="AD365" s="14">
        <f>DATE(YEAR(Table1[[#This Row],[معاش 01/01]])-1,MONTH(Table1[[#This Row],[تاريخ بلوغ 60 ]]),DAY(Table1[[#This Row],[تاريخ بلوغ 60 ]]))</f>
        <v>55081</v>
      </c>
      <c r="AE36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55446</v>
      </c>
      <c r="AF365" s="10" t="str">
        <f>IFERROR(IF(ISODD(MID(Table1[[#This Row],[الرقم القومي]],13,1)),"ذكر","انثي"),"")</f>
        <v>انثي</v>
      </c>
      <c r="AG365" s="70" t="s">
        <v>2606</v>
      </c>
      <c r="AH365" s="3">
        <f>IF(MONTH(Table1[[#This Row],[تاريخ بلوغ 60 ]])&lt;&gt;1,1,0)</f>
        <v>1</v>
      </c>
      <c r="AI365" s="3">
        <f>IF(DAY(Table1[[#This Row],[تاريخ بلوغ 60 ]])&lt;&gt;1,1,0)</f>
        <v>1</v>
      </c>
      <c r="AJ365" s="4" t="s">
        <v>465</v>
      </c>
      <c r="AK365" s="4">
        <v>0</v>
      </c>
      <c r="AL365" s="62" t="s">
        <v>2291</v>
      </c>
      <c r="AM365" s="62" t="s">
        <v>3014</v>
      </c>
      <c r="AN365" s="2">
        <v>3</v>
      </c>
      <c r="AO365" s="4" t="s">
        <v>2641</v>
      </c>
      <c r="AP365" s="74">
        <v>401.71</v>
      </c>
      <c r="AQ365" s="4">
        <v>18.75</v>
      </c>
      <c r="AR365" s="4">
        <v>7</v>
      </c>
      <c r="AS365" s="4" t="s">
        <v>2642</v>
      </c>
      <c r="AT365" s="72">
        <v>0</v>
      </c>
      <c r="AU365" s="2">
        <v>8</v>
      </c>
      <c r="AV365" s="4"/>
      <c r="AW365" s="4"/>
      <c r="AX365" s="4"/>
    </row>
    <row r="366" spans="1:50" ht="15" x14ac:dyDescent="0.2">
      <c r="A366" s="3">
        <v>34144</v>
      </c>
      <c r="B366" s="1" t="s">
        <v>468</v>
      </c>
      <c r="C366" s="3">
        <v>1</v>
      </c>
      <c r="D366" s="3" t="s">
        <v>465</v>
      </c>
      <c r="E366" s="3">
        <v>3</v>
      </c>
      <c r="F366" s="3" t="s">
        <v>472</v>
      </c>
      <c r="G366" s="7" t="s">
        <v>304</v>
      </c>
      <c r="H366" s="3">
        <v>104</v>
      </c>
      <c r="I366" s="3" t="s">
        <v>1083</v>
      </c>
      <c r="J366" s="3">
        <v>18</v>
      </c>
      <c r="K366" s="3" t="s">
        <v>1529</v>
      </c>
      <c r="L366" s="3">
        <v>8</v>
      </c>
      <c r="M366" s="3" t="s">
        <v>506</v>
      </c>
      <c r="N366" s="3" t="s">
        <v>1090</v>
      </c>
      <c r="O366" s="10">
        <v>31676</v>
      </c>
      <c r="P366" s="10">
        <v>44743</v>
      </c>
      <c r="Q366" s="10"/>
      <c r="R366" s="10">
        <v>44743</v>
      </c>
      <c r="S366" s="23">
        <v>2282.4499999999998</v>
      </c>
      <c r="T366" s="3">
        <v>2989643</v>
      </c>
      <c r="U366" s="3">
        <v>28609211401648</v>
      </c>
      <c r="V366" s="4" t="s">
        <v>2294</v>
      </c>
      <c r="W366" s="4">
        <v>72560</v>
      </c>
      <c r="X366" s="4" t="s">
        <v>1583</v>
      </c>
      <c r="Y366" s="4">
        <v>2003</v>
      </c>
      <c r="Z366" s="3">
        <f ca="1">DATEDIF(Table1[[#This Row],[تاريخ الميلاد]],TODAY(),"y")</f>
        <v>39</v>
      </c>
      <c r="AA36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39 عام 10  شهر  30  يوم </v>
      </c>
      <c r="AB36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66" s="10">
        <f>DATE(YEAR(Table1[[#This Row],[تاريخ الميلاد]])+60,MONTH(Table1[[#This Row],[تاريخ الميلاد]]),DAY(Table1[[#This Row],[تاريخ الميلاد]]))</f>
        <v>53591</v>
      </c>
      <c r="AD366" s="14">
        <f>DATE(YEAR(Table1[[#This Row],[معاش 01/01]])-1,MONTH(Table1[[#This Row],[تاريخ بلوغ 60 ]]),DAY(Table1[[#This Row],[تاريخ بلوغ 60 ]]))</f>
        <v>53591</v>
      </c>
      <c r="AE36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53956</v>
      </c>
      <c r="AF366" s="10" t="str">
        <f>IFERROR(IF(ISODD(MID(Table1[[#This Row],[الرقم القومي]],13,1)),"ذكر","انثي"),"")</f>
        <v>انثي</v>
      </c>
      <c r="AG366" s="70" t="s">
        <v>2611</v>
      </c>
      <c r="AH366" s="3">
        <f>IF(MONTH(Table1[[#This Row],[تاريخ بلوغ 60 ]])&lt;&gt;1,1,0)</f>
        <v>1</v>
      </c>
      <c r="AI366" s="3">
        <f>IF(DAY(Table1[[#This Row],[تاريخ بلوغ 60 ]])&lt;&gt;1,1,0)</f>
        <v>1</v>
      </c>
      <c r="AJ366" s="4" t="s">
        <v>465</v>
      </c>
      <c r="AK366" s="4">
        <v>0</v>
      </c>
      <c r="AL366" s="62" t="s">
        <v>2293</v>
      </c>
      <c r="AM366" s="62" t="s">
        <v>3015</v>
      </c>
      <c r="AN366" s="2">
        <v>3</v>
      </c>
      <c r="AO366" s="4" t="s">
        <v>2641</v>
      </c>
      <c r="AP366" s="74">
        <v>401.71</v>
      </c>
      <c r="AQ366" s="4">
        <v>18.75</v>
      </c>
      <c r="AR366" s="4">
        <v>1</v>
      </c>
      <c r="AS366" s="4" t="s">
        <v>2635</v>
      </c>
      <c r="AT366" s="72">
        <v>2</v>
      </c>
      <c r="AU366" s="2">
        <v>8</v>
      </c>
      <c r="AV366" s="4"/>
      <c r="AW366" s="4"/>
      <c r="AX366" s="4"/>
    </row>
    <row r="367" spans="1:50" ht="15" x14ac:dyDescent="0.2">
      <c r="A367" s="3">
        <v>34153</v>
      </c>
      <c r="B367" s="1" t="s">
        <v>468</v>
      </c>
      <c r="C367" s="3">
        <v>1</v>
      </c>
      <c r="D367" s="3" t="s">
        <v>465</v>
      </c>
      <c r="E367" s="3">
        <v>3</v>
      </c>
      <c r="F367" s="3" t="s">
        <v>472</v>
      </c>
      <c r="G367" s="7" t="s">
        <v>305</v>
      </c>
      <c r="H367" s="3">
        <v>104</v>
      </c>
      <c r="I367" s="3" t="s">
        <v>1083</v>
      </c>
      <c r="J367" s="3">
        <v>18</v>
      </c>
      <c r="K367" s="3" t="s">
        <v>1529</v>
      </c>
      <c r="L367" s="3">
        <v>8</v>
      </c>
      <c r="M367" s="3" t="s">
        <v>506</v>
      </c>
      <c r="N367" s="3" t="s">
        <v>1090</v>
      </c>
      <c r="O367" s="10">
        <v>33561</v>
      </c>
      <c r="P367" s="10">
        <v>44743</v>
      </c>
      <c r="Q367" s="10"/>
      <c r="R367" s="10">
        <v>44743</v>
      </c>
      <c r="S367" s="23">
        <v>2322.6999999999998</v>
      </c>
      <c r="T367" s="3">
        <v>67944363</v>
      </c>
      <c r="U367" s="3">
        <v>29111190300141</v>
      </c>
      <c r="V367" s="4" t="s">
        <v>2296</v>
      </c>
      <c r="W367" s="4">
        <v>72569</v>
      </c>
      <c r="X367" s="4" t="s">
        <v>1583</v>
      </c>
      <c r="Y367" s="4">
        <v>2011</v>
      </c>
      <c r="Z367" s="3">
        <f ca="1">DATEDIF(Table1[[#This Row],[تاريخ الميلاد]],TODAY(),"y")</f>
        <v>34</v>
      </c>
      <c r="AA36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34 عام 9  شهر  1  يوم </v>
      </c>
      <c r="AB36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67" s="10">
        <f>DATE(YEAR(Table1[[#This Row],[تاريخ الميلاد]])+60,MONTH(Table1[[#This Row],[تاريخ الميلاد]]),DAY(Table1[[#This Row],[تاريخ الميلاد]]))</f>
        <v>55476</v>
      </c>
      <c r="AD367" s="14">
        <f>DATE(YEAR(Table1[[#This Row],[معاش 01/01]])-1,MONTH(Table1[[#This Row],[تاريخ بلوغ 60 ]]),DAY(Table1[[#This Row],[تاريخ بلوغ 60 ]]))</f>
        <v>55476</v>
      </c>
      <c r="AE36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55842</v>
      </c>
      <c r="AF367" s="10" t="str">
        <f>IFERROR(IF(ISODD(MID(Table1[[#This Row],[الرقم القومي]],13,1)),"ذكر","انثي"),"")</f>
        <v>انثي</v>
      </c>
      <c r="AG367" s="70" t="s">
        <v>2606</v>
      </c>
      <c r="AH367" s="3">
        <f>IF(MONTH(Table1[[#This Row],[تاريخ بلوغ 60 ]])&lt;&gt;1,1,0)</f>
        <v>1</v>
      </c>
      <c r="AI367" s="3">
        <f>IF(DAY(Table1[[#This Row],[تاريخ بلوغ 60 ]])&lt;&gt;1,1,0)</f>
        <v>1</v>
      </c>
      <c r="AJ367" s="4" t="s">
        <v>465</v>
      </c>
      <c r="AK367" s="4" t="s">
        <v>2689</v>
      </c>
      <c r="AL367" s="62" t="s">
        <v>2295</v>
      </c>
      <c r="AM367" s="62" t="s">
        <v>3016</v>
      </c>
      <c r="AN367" s="2">
        <v>3</v>
      </c>
      <c r="AO367" s="4" t="s">
        <v>2641</v>
      </c>
      <c r="AP367" s="74">
        <v>409.26</v>
      </c>
      <c r="AQ367" s="4">
        <v>18.75</v>
      </c>
      <c r="AR367" s="4">
        <v>7</v>
      </c>
      <c r="AS367" s="4" t="s">
        <v>2642</v>
      </c>
      <c r="AT367" s="72">
        <v>0</v>
      </c>
      <c r="AU367" s="2">
        <v>8</v>
      </c>
      <c r="AV367" s="4"/>
      <c r="AW367" s="4"/>
      <c r="AX367" s="4"/>
    </row>
    <row r="368" spans="1:50" ht="15" x14ac:dyDescent="0.2">
      <c r="A368" s="3">
        <v>34154</v>
      </c>
      <c r="B368" s="1" t="s">
        <v>468</v>
      </c>
      <c r="C368" s="3">
        <v>1</v>
      </c>
      <c r="D368" s="3" t="s">
        <v>465</v>
      </c>
      <c r="E368" s="3">
        <v>3</v>
      </c>
      <c r="F368" s="3" t="s">
        <v>472</v>
      </c>
      <c r="G368" s="7" t="s">
        <v>306</v>
      </c>
      <c r="H368" s="3">
        <v>104</v>
      </c>
      <c r="I368" s="3" t="s">
        <v>1083</v>
      </c>
      <c r="J368" s="3">
        <v>18</v>
      </c>
      <c r="K368" s="3" t="s">
        <v>1529</v>
      </c>
      <c r="L368" s="3">
        <v>8</v>
      </c>
      <c r="M368" s="3" t="s">
        <v>506</v>
      </c>
      <c r="N368" s="3" t="s">
        <v>1090</v>
      </c>
      <c r="O368" s="10">
        <v>32682</v>
      </c>
      <c r="P368" s="10">
        <v>44743</v>
      </c>
      <c r="Q368" s="10"/>
      <c r="R368" s="10">
        <v>44743</v>
      </c>
      <c r="S368" s="23">
        <v>2282.4499999999998</v>
      </c>
      <c r="T368" s="3">
        <v>56487181</v>
      </c>
      <c r="U368" s="3">
        <v>28906238800387</v>
      </c>
      <c r="V368" s="4" t="s">
        <v>2298</v>
      </c>
      <c r="W368" s="4">
        <v>72570</v>
      </c>
      <c r="X368" s="4" t="s">
        <v>1583</v>
      </c>
      <c r="Y368" s="4">
        <v>2005</v>
      </c>
      <c r="Z368" s="3">
        <f ca="1">DATEDIF(Table1[[#This Row],[تاريخ الميلاد]],TODAY(),"y")</f>
        <v>37</v>
      </c>
      <c r="AA36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1  شهر  28  يوم </v>
      </c>
      <c r="AB36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68" s="10">
        <f>DATE(YEAR(Table1[[#This Row],[تاريخ الميلاد]])+60,MONTH(Table1[[#This Row],[تاريخ الميلاد]]),DAY(Table1[[#This Row],[تاريخ الميلاد]]))</f>
        <v>54597</v>
      </c>
      <c r="AD368" s="14">
        <f>DATE(YEAR(Table1[[#This Row],[معاش 01/01]])-1,MONTH(Table1[[#This Row],[تاريخ بلوغ 60 ]]),DAY(Table1[[#This Row],[تاريخ بلوغ 60 ]]))</f>
        <v>54597</v>
      </c>
      <c r="AE36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54962</v>
      </c>
      <c r="AF368" s="10" t="str">
        <f>IFERROR(IF(ISODD(MID(Table1[[#This Row],[الرقم القومي]],13,1)),"ذكر","انثي"),"")</f>
        <v>انثي</v>
      </c>
      <c r="AG368" s="70"/>
      <c r="AH368" s="3">
        <f>IF(MONTH(Table1[[#This Row],[تاريخ بلوغ 60 ]])&lt;&gt;1,1,0)</f>
        <v>1</v>
      </c>
      <c r="AI368" s="3">
        <f>IF(DAY(Table1[[#This Row],[تاريخ بلوغ 60 ]])&lt;&gt;1,1,0)</f>
        <v>1</v>
      </c>
      <c r="AJ368" s="4" t="s">
        <v>465</v>
      </c>
      <c r="AK368" s="4">
        <v>0</v>
      </c>
      <c r="AL368" s="62" t="s">
        <v>2297</v>
      </c>
      <c r="AM368" s="62" t="s">
        <v>3017</v>
      </c>
      <c r="AN368" s="2">
        <v>3</v>
      </c>
      <c r="AO368" s="4" t="s">
        <v>2641</v>
      </c>
      <c r="AP368" s="74">
        <v>401.71</v>
      </c>
      <c r="AQ368" s="4">
        <v>18.75</v>
      </c>
      <c r="AR368" s="4">
        <v>1</v>
      </c>
      <c r="AS368" s="4" t="s">
        <v>2635</v>
      </c>
      <c r="AT368" s="72">
        <v>2</v>
      </c>
      <c r="AU368" s="2">
        <v>8</v>
      </c>
      <c r="AV368" s="4"/>
      <c r="AW368" s="4"/>
      <c r="AX368" s="4"/>
    </row>
    <row r="369" spans="1:50" ht="15" x14ac:dyDescent="0.2">
      <c r="A369" s="3">
        <v>34155</v>
      </c>
      <c r="B369" s="1" t="s">
        <v>468</v>
      </c>
      <c r="C369" s="3">
        <v>1</v>
      </c>
      <c r="D369" s="3" t="s">
        <v>465</v>
      </c>
      <c r="E369" s="3">
        <v>3</v>
      </c>
      <c r="F369" s="3" t="s">
        <v>472</v>
      </c>
      <c r="G369" s="7" t="s">
        <v>307</v>
      </c>
      <c r="H369" s="3">
        <v>104</v>
      </c>
      <c r="I369" s="3" t="s">
        <v>1083</v>
      </c>
      <c r="J369" s="3">
        <v>18</v>
      </c>
      <c r="K369" s="3" t="s">
        <v>1529</v>
      </c>
      <c r="L369" s="3">
        <v>8</v>
      </c>
      <c r="M369" s="3" t="s">
        <v>506</v>
      </c>
      <c r="N369" s="3" t="s">
        <v>1090</v>
      </c>
      <c r="O369" s="10">
        <v>31761</v>
      </c>
      <c r="P369" s="10">
        <v>44743</v>
      </c>
      <c r="Q369" s="10"/>
      <c r="R369" s="10">
        <v>44743</v>
      </c>
      <c r="S369" s="23">
        <v>2282.4499999999998</v>
      </c>
      <c r="T369" s="3">
        <v>58581192</v>
      </c>
      <c r="U369" s="3">
        <v>28612150300208</v>
      </c>
      <c r="V369" s="4" t="s">
        <v>2300</v>
      </c>
      <c r="W369" s="4">
        <v>72571</v>
      </c>
      <c r="X369" s="4" t="s">
        <v>1583</v>
      </c>
      <c r="Y369" s="4">
        <v>2004</v>
      </c>
      <c r="Z369" s="3">
        <f ca="1">DATEDIF(Table1[[#This Row],[تاريخ الميلاد]],TODAY(),"y")</f>
        <v>39</v>
      </c>
      <c r="AA36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39 عام 8  شهر  5  يوم </v>
      </c>
      <c r="AB36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69" s="10">
        <f>DATE(YEAR(Table1[[#This Row],[تاريخ الميلاد]])+60,MONTH(Table1[[#This Row],[تاريخ الميلاد]]),DAY(Table1[[#This Row],[تاريخ الميلاد]]))</f>
        <v>53676</v>
      </c>
      <c r="AD369" s="14">
        <f>DATE(YEAR(Table1[[#This Row],[معاش 01/01]])-1,MONTH(Table1[[#This Row],[تاريخ بلوغ 60 ]]),DAY(Table1[[#This Row],[تاريخ بلوغ 60 ]]))</f>
        <v>53676</v>
      </c>
      <c r="AE36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54041</v>
      </c>
      <c r="AF369" s="10" t="str">
        <f>IFERROR(IF(ISODD(MID(Table1[[#This Row],[الرقم القومي]],13,1)),"ذكر","انثي"),"")</f>
        <v>انثي</v>
      </c>
      <c r="AG369" s="70" t="s">
        <v>2606</v>
      </c>
      <c r="AH369" s="3">
        <f>IF(MONTH(Table1[[#This Row],[تاريخ بلوغ 60 ]])&lt;&gt;1,1,0)</f>
        <v>1</v>
      </c>
      <c r="AI369" s="3">
        <f>IF(DAY(Table1[[#This Row],[تاريخ بلوغ 60 ]])&lt;&gt;1,1,0)</f>
        <v>1</v>
      </c>
      <c r="AJ369" s="4" t="s">
        <v>465</v>
      </c>
      <c r="AK369" s="4">
        <v>0</v>
      </c>
      <c r="AL369" s="62" t="s">
        <v>2299</v>
      </c>
      <c r="AM369" s="62" t="s">
        <v>3018</v>
      </c>
      <c r="AN369" s="2">
        <v>3</v>
      </c>
      <c r="AO369" s="4" t="s">
        <v>2641</v>
      </c>
      <c r="AP369" s="74">
        <v>401.71</v>
      </c>
      <c r="AQ369" s="4">
        <v>18.75</v>
      </c>
      <c r="AR369" s="4">
        <v>1</v>
      </c>
      <c r="AS369" s="4" t="s">
        <v>2635</v>
      </c>
      <c r="AT369" s="72">
        <v>2</v>
      </c>
      <c r="AU369" s="2">
        <v>8</v>
      </c>
      <c r="AV369" s="4"/>
      <c r="AW369" s="4"/>
      <c r="AX369" s="4"/>
    </row>
    <row r="370" spans="1:50" ht="15" x14ac:dyDescent="0.2">
      <c r="A370" s="3">
        <v>34156</v>
      </c>
      <c r="B370" s="1" t="s">
        <v>468</v>
      </c>
      <c r="C370" s="3">
        <v>1</v>
      </c>
      <c r="D370" s="3" t="s">
        <v>465</v>
      </c>
      <c r="E370" s="3">
        <v>3</v>
      </c>
      <c r="F370" s="3" t="s">
        <v>472</v>
      </c>
      <c r="G370" s="7" t="s">
        <v>308</v>
      </c>
      <c r="H370" s="3">
        <v>104</v>
      </c>
      <c r="I370" s="3" t="s">
        <v>1083</v>
      </c>
      <c r="J370" s="3">
        <v>18</v>
      </c>
      <c r="K370" s="3" t="s">
        <v>1529</v>
      </c>
      <c r="L370" s="3">
        <v>8</v>
      </c>
      <c r="M370" s="3" t="s">
        <v>506</v>
      </c>
      <c r="N370" s="3" t="s">
        <v>1090</v>
      </c>
      <c r="O370" s="10">
        <v>34207</v>
      </c>
      <c r="P370" s="10">
        <v>44743</v>
      </c>
      <c r="Q370" s="10"/>
      <c r="R370" s="10">
        <v>44743</v>
      </c>
      <c r="S370" s="23">
        <v>2282.4499999999998</v>
      </c>
      <c r="T370" s="3">
        <v>71708418</v>
      </c>
      <c r="U370" s="3">
        <v>29308260300141</v>
      </c>
      <c r="V370" s="4" t="s">
        <v>2302</v>
      </c>
      <c r="W370" s="4">
        <v>72572</v>
      </c>
      <c r="X370" s="4" t="s">
        <v>1583</v>
      </c>
      <c r="Y370" s="4">
        <v>2013</v>
      </c>
      <c r="Z370" s="3">
        <f ca="1">DATEDIF(Table1[[#This Row],[تاريخ الميلاد]],TODAY(),"y")</f>
        <v>32</v>
      </c>
      <c r="AA37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32 عام 11  شهر  25  يوم </v>
      </c>
      <c r="AB37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70" s="10">
        <f>DATE(YEAR(Table1[[#This Row],[تاريخ الميلاد]])+60,MONTH(Table1[[#This Row],[تاريخ الميلاد]]),DAY(Table1[[#This Row],[تاريخ الميلاد]]))</f>
        <v>56122</v>
      </c>
      <c r="AD370" s="14">
        <f>DATE(YEAR(Table1[[#This Row],[معاش 01/01]])-1,MONTH(Table1[[#This Row],[تاريخ بلوغ 60 ]]),DAY(Table1[[#This Row],[تاريخ بلوغ 60 ]]))</f>
        <v>56122</v>
      </c>
      <c r="AE37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56487</v>
      </c>
      <c r="AF370" s="10" t="str">
        <f>IFERROR(IF(ISODD(MID(Table1[[#This Row],[الرقم القومي]],13,1)),"ذكر","انثي"),"")</f>
        <v>انثي</v>
      </c>
      <c r="AG370" s="70" t="s">
        <v>2606</v>
      </c>
      <c r="AH370" s="3">
        <f>IF(MONTH(Table1[[#This Row],[تاريخ بلوغ 60 ]])&lt;&gt;1,1,0)</f>
        <v>1</v>
      </c>
      <c r="AI370" s="3">
        <f>IF(DAY(Table1[[#This Row],[تاريخ بلوغ 60 ]])&lt;&gt;1,1,0)</f>
        <v>1</v>
      </c>
      <c r="AJ370" s="4" t="s">
        <v>465</v>
      </c>
      <c r="AK370" s="4">
        <v>0</v>
      </c>
      <c r="AL370" s="62" t="s">
        <v>2301</v>
      </c>
      <c r="AM370" s="62" t="s">
        <v>3019</v>
      </c>
      <c r="AN370" s="2">
        <v>3</v>
      </c>
      <c r="AO370" s="4" t="s">
        <v>2641</v>
      </c>
      <c r="AP370" s="74">
        <v>401.71</v>
      </c>
      <c r="AQ370" s="4">
        <v>18.75</v>
      </c>
      <c r="AR370" s="4">
        <v>1</v>
      </c>
      <c r="AS370" s="4" t="s">
        <v>2635</v>
      </c>
      <c r="AT370" s="72">
        <v>2</v>
      </c>
      <c r="AU370" s="2">
        <v>8</v>
      </c>
      <c r="AV370" s="4"/>
      <c r="AW370" s="4"/>
      <c r="AX370" s="4"/>
    </row>
    <row r="371" spans="1:50" ht="15" x14ac:dyDescent="0.2">
      <c r="A371" s="3">
        <v>34158</v>
      </c>
      <c r="B371" s="1" t="s">
        <v>468</v>
      </c>
      <c r="C371" s="3">
        <v>1</v>
      </c>
      <c r="D371" s="3" t="s">
        <v>465</v>
      </c>
      <c r="E371" s="3">
        <v>3</v>
      </c>
      <c r="F371" s="3" t="s">
        <v>472</v>
      </c>
      <c r="G371" s="7" t="s">
        <v>309</v>
      </c>
      <c r="H371" s="3">
        <v>104</v>
      </c>
      <c r="I371" s="3" t="s">
        <v>1083</v>
      </c>
      <c r="J371" s="3">
        <v>18</v>
      </c>
      <c r="K371" s="3" t="s">
        <v>1529</v>
      </c>
      <c r="L371" s="3">
        <v>8</v>
      </c>
      <c r="M371" s="3" t="s">
        <v>506</v>
      </c>
      <c r="N371" s="3" t="s">
        <v>1090</v>
      </c>
      <c r="O371" s="10">
        <v>33501</v>
      </c>
      <c r="P371" s="10">
        <v>44743</v>
      </c>
      <c r="Q371" s="10"/>
      <c r="R371" s="10">
        <v>44743</v>
      </c>
      <c r="S371" s="23">
        <v>2325.52</v>
      </c>
      <c r="T371" s="3">
        <v>65788226</v>
      </c>
      <c r="U371" s="3">
        <v>29109200300425</v>
      </c>
      <c r="V371" s="4" t="s">
        <v>2304</v>
      </c>
      <c r="W371" s="4">
        <v>72574</v>
      </c>
      <c r="X371" s="4" t="s">
        <v>1583</v>
      </c>
      <c r="Y371" s="4">
        <v>2010</v>
      </c>
      <c r="Z371" s="3">
        <f ca="1">DATEDIF(Table1[[#This Row],[تاريخ الميلاد]],TODAY(),"y")</f>
        <v>34</v>
      </c>
      <c r="AA37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34 عام 11  شهر  0  يوم </v>
      </c>
      <c r="AB37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71" s="10">
        <f>DATE(YEAR(Table1[[#This Row],[تاريخ الميلاد]])+60,MONTH(Table1[[#This Row],[تاريخ الميلاد]]),DAY(Table1[[#This Row],[تاريخ الميلاد]]))</f>
        <v>55416</v>
      </c>
      <c r="AD371" s="14">
        <f>DATE(YEAR(Table1[[#This Row],[معاش 01/01]])-1,MONTH(Table1[[#This Row],[تاريخ بلوغ 60 ]]),DAY(Table1[[#This Row],[تاريخ بلوغ 60 ]]))</f>
        <v>55416</v>
      </c>
      <c r="AE37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55782</v>
      </c>
      <c r="AF371" s="10" t="str">
        <f>IFERROR(IF(ISODD(MID(Table1[[#This Row],[الرقم القومي]],13,1)),"ذكر","انثي"),"")</f>
        <v>انثي</v>
      </c>
      <c r="AG371" s="70" t="s">
        <v>2606</v>
      </c>
      <c r="AH371" s="3">
        <f>IF(MONTH(Table1[[#This Row],[تاريخ بلوغ 60 ]])&lt;&gt;1,1,0)</f>
        <v>1</v>
      </c>
      <c r="AI371" s="3">
        <f>IF(DAY(Table1[[#This Row],[تاريخ بلوغ 60 ]])&lt;&gt;1,1,0)</f>
        <v>1</v>
      </c>
      <c r="AJ371" s="4" t="s">
        <v>465</v>
      </c>
      <c r="AK371" s="4">
        <v>0</v>
      </c>
      <c r="AL371" s="62" t="s">
        <v>2303</v>
      </c>
      <c r="AM371" s="62" t="s">
        <v>3020</v>
      </c>
      <c r="AN371" s="2">
        <v>3</v>
      </c>
      <c r="AO371" s="4" t="s">
        <v>2641</v>
      </c>
      <c r="AP371" s="74">
        <v>409.79</v>
      </c>
      <c r="AQ371" s="4">
        <v>18.75</v>
      </c>
      <c r="AR371" s="4">
        <v>1</v>
      </c>
      <c r="AS371" s="4" t="s">
        <v>2635</v>
      </c>
      <c r="AT371" s="72">
        <v>2</v>
      </c>
      <c r="AU371" s="2">
        <v>8</v>
      </c>
      <c r="AV371" s="4"/>
      <c r="AW371" s="4"/>
      <c r="AX371" s="4"/>
    </row>
    <row r="372" spans="1:50" ht="15" x14ac:dyDescent="0.2">
      <c r="A372" s="3">
        <v>34159</v>
      </c>
      <c r="B372" s="1" t="s">
        <v>468</v>
      </c>
      <c r="C372" s="3">
        <v>1</v>
      </c>
      <c r="D372" s="3" t="s">
        <v>465</v>
      </c>
      <c r="E372" s="3">
        <v>3</v>
      </c>
      <c r="F372" s="3" t="s">
        <v>472</v>
      </c>
      <c r="G372" s="7" t="s">
        <v>310</v>
      </c>
      <c r="H372" s="3">
        <v>104</v>
      </c>
      <c r="I372" s="3" t="s">
        <v>1083</v>
      </c>
      <c r="J372" s="3">
        <v>18</v>
      </c>
      <c r="K372" s="3" t="s">
        <v>1529</v>
      </c>
      <c r="L372" s="3">
        <v>8</v>
      </c>
      <c r="M372" s="3" t="s">
        <v>506</v>
      </c>
      <c r="N372" s="3" t="s">
        <v>1090</v>
      </c>
      <c r="O372" s="10">
        <v>33303</v>
      </c>
      <c r="P372" s="10">
        <v>44743</v>
      </c>
      <c r="Q372" s="10"/>
      <c r="R372" s="10">
        <v>44743</v>
      </c>
      <c r="S372" s="23">
        <v>2282.4499999999998</v>
      </c>
      <c r="T372" s="3">
        <v>65532567</v>
      </c>
      <c r="U372" s="3">
        <v>29103060300243</v>
      </c>
      <c r="V372" s="4" t="s">
        <v>2306</v>
      </c>
      <c r="W372" s="4">
        <v>72575</v>
      </c>
      <c r="X372" s="4" t="s">
        <v>1583</v>
      </c>
      <c r="Y372" s="4">
        <v>2010</v>
      </c>
      <c r="Z372" s="3">
        <f ca="1">DATEDIF(Table1[[#This Row],[تاريخ الميلاد]],TODAY(),"y")</f>
        <v>35</v>
      </c>
      <c r="AA37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35 عام 5  شهر  14  يوم </v>
      </c>
      <c r="AB37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72" s="10">
        <f>DATE(YEAR(Table1[[#This Row],[تاريخ الميلاد]])+60,MONTH(Table1[[#This Row],[تاريخ الميلاد]]),DAY(Table1[[#This Row],[تاريخ الميلاد]]))</f>
        <v>55218</v>
      </c>
      <c r="AD372" s="14">
        <f>DATE(YEAR(Table1[[#This Row],[معاش 01/01]])-1,MONTH(Table1[[#This Row],[تاريخ بلوغ 60 ]]),DAY(Table1[[#This Row],[تاريخ بلوغ 60 ]]))</f>
        <v>55218</v>
      </c>
      <c r="AE37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55584</v>
      </c>
      <c r="AF372" s="10" t="str">
        <f>IFERROR(IF(ISODD(MID(Table1[[#This Row],[الرقم القومي]],13,1)),"ذكر","انثي"),"")</f>
        <v>انثي</v>
      </c>
      <c r="AG372" s="70" t="s">
        <v>2606</v>
      </c>
      <c r="AH372" s="3">
        <f>IF(MONTH(Table1[[#This Row],[تاريخ بلوغ 60 ]])&lt;&gt;1,1,0)</f>
        <v>1</v>
      </c>
      <c r="AI372" s="3">
        <f>IF(DAY(Table1[[#This Row],[تاريخ بلوغ 60 ]])&lt;&gt;1,1,0)</f>
        <v>1</v>
      </c>
      <c r="AJ372" s="4" t="s">
        <v>465</v>
      </c>
      <c r="AK372" s="4">
        <v>0</v>
      </c>
      <c r="AL372" s="62" t="s">
        <v>2305</v>
      </c>
      <c r="AM372" s="62" t="s">
        <v>3021</v>
      </c>
      <c r="AN372" s="2">
        <v>3</v>
      </c>
      <c r="AO372" s="4" t="s">
        <v>2641</v>
      </c>
      <c r="AP372" s="74">
        <v>401.71</v>
      </c>
      <c r="AQ372" s="4">
        <v>18.75</v>
      </c>
      <c r="AR372" s="4">
        <v>1</v>
      </c>
      <c r="AS372" s="4" t="s">
        <v>2635</v>
      </c>
      <c r="AT372" s="72">
        <v>2</v>
      </c>
      <c r="AU372" s="2">
        <v>8</v>
      </c>
      <c r="AV372" s="4"/>
      <c r="AW372" s="4"/>
      <c r="AX372" s="4"/>
    </row>
    <row r="373" spans="1:50" ht="15" x14ac:dyDescent="0.2">
      <c r="A373" s="3">
        <v>34162</v>
      </c>
      <c r="B373" s="1" t="s">
        <v>468</v>
      </c>
      <c r="C373" s="3">
        <v>1</v>
      </c>
      <c r="D373" s="3" t="s">
        <v>465</v>
      </c>
      <c r="E373" s="3">
        <v>3</v>
      </c>
      <c r="F373" s="3" t="s">
        <v>472</v>
      </c>
      <c r="G373" s="7" t="s">
        <v>311</v>
      </c>
      <c r="H373" s="3">
        <v>104</v>
      </c>
      <c r="I373" s="3" t="s">
        <v>1083</v>
      </c>
      <c r="J373" s="3">
        <v>18</v>
      </c>
      <c r="K373" s="3" t="s">
        <v>1529</v>
      </c>
      <c r="L373" s="3">
        <v>8</v>
      </c>
      <c r="M373" s="3" t="s">
        <v>506</v>
      </c>
      <c r="N373" s="3" t="s">
        <v>1090</v>
      </c>
      <c r="O373" s="10">
        <v>32899</v>
      </c>
      <c r="P373" s="10">
        <v>44743</v>
      </c>
      <c r="Q373" s="10"/>
      <c r="R373" s="10">
        <v>44743</v>
      </c>
      <c r="S373" s="23">
        <v>2282.4499999999998</v>
      </c>
      <c r="T373" s="3">
        <v>63032891</v>
      </c>
      <c r="U373" s="3">
        <v>29001260300127</v>
      </c>
      <c r="V373" s="4" t="s">
        <v>2307</v>
      </c>
      <c r="W373" s="4">
        <v>72579</v>
      </c>
      <c r="X373" s="4" t="s">
        <v>1583</v>
      </c>
      <c r="Y373" s="4">
        <v>2008</v>
      </c>
      <c r="Z373" s="3">
        <f ca="1">DATEDIF(Table1[[#This Row],[تاريخ الميلاد]],TODAY(),"y")</f>
        <v>36</v>
      </c>
      <c r="AA37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36 عام 6  شهر  25  يوم </v>
      </c>
      <c r="AB37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73" s="10">
        <f>DATE(YEAR(Table1[[#This Row],[تاريخ الميلاد]])+60,MONTH(Table1[[#This Row],[تاريخ الميلاد]]),DAY(Table1[[#This Row],[تاريخ الميلاد]]))</f>
        <v>54814</v>
      </c>
      <c r="AD373" s="14">
        <f>DATE(YEAR(Table1[[#This Row],[معاش 01/01]])-1,MONTH(Table1[[#This Row],[تاريخ بلوغ 60 ]]),DAY(Table1[[#This Row],[تاريخ بلوغ 60 ]]))</f>
        <v>54814</v>
      </c>
      <c r="AE37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55179</v>
      </c>
      <c r="AF373" s="10" t="str">
        <f>IFERROR(IF(ISODD(MID(Table1[[#This Row],[الرقم القومي]],13,1)),"ذكر","انثي"),"")</f>
        <v>انثي</v>
      </c>
      <c r="AG373" s="70" t="s">
        <v>2606</v>
      </c>
      <c r="AH373" s="3">
        <f>IF(MONTH(Table1[[#This Row],[تاريخ بلوغ 60 ]])&lt;&gt;1,1,0)</f>
        <v>0</v>
      </c>
      <c r="AI373" s="3">
        <f>IF(DAY(Table1[[#This Row],[تاريخ بلوغ 60 ]])&lt;&gt;1,1,0)</f>
        <v>1</v>
      </c>
      <c r="AJ373" s="4" t="s">
        <v>465</v>
      </c>
      <c r="AK373" s="4" t="s">
        <v>2730</v>
      </c>
      <c r="AL373" s="62" t="s">
        <v>3023</v>
      </c>
      <c r="AM373" s="62" t="s">
        <v>3022</v>
      </c>
      <c r="AN373" s="2">
        <v>3</v>
      </c>
      <c r="AO373" s="4" t="s">
        <v>2641</v>
      </c>
      <c r="AP373" s="74">
        <v>401.71</v>
      </c>
      <c r="AQ373" s="4">
        <v>18.75</v>
      </c>
      <c r="AR373" s="4">
        <v>1</v>
      </c>
      <c r="AS373" s="4" t="s">
        <v>2635</v>
      </c>
      <c r="AT373" s="72">
        <v>2</v>
      </c>
      <c r="AU373" s="2">
        <v>8</v>
      </c>
      <c r="AV373" s="4"/>
      <c r="AW373" s="4"/>
      <c r="AX373" s="4"/>
    </row>
    <row r="374" spans="1:50" ht="15" x14ac:dyDescent="0.2">
      <c r="A374" s="3">
        <v>34164</v>
      </c>
      <c r="B374" s="1" t="s">
        <v>468</v>
      </c>
      <c r="C374" s="3">
        <v>1</v>
      </c>
      <c r="D374" s="3" t="s">
        <v>465</v>
      </c>
      <c r="E374" s="3">
        <v>3</v>
      </c>
      <c r="F374" s="3" t="s">
        <v>472</v>
      </c>
      <c r="G374" s="7" t="s">
        <v>312</v>
      </c>
      <c r="H374" s="3">
        <v>104</v>
      </c>
      <c r="I374" s="3" t="s">
        <v>1083</v>
      </c>
      <c r="J374" s="3">
        <v>18</v>
      </c>
      <c r="K374" s="3" t="s">
        <v>1529</v>
      </c>
      <c r="L374" s="3">
        <v>8</v>
      </c>
      <c r="M374" s="3" t="s">
        <v>506</v>
      </c>
      <c r="N374" s="3" t="s">
        <v>1090</v>
      </c>
      <c r="O374" s="10">
        <v>33426</v>
      </c>
      <c r="P374" s="10">
        <v>44743</v>
      </c>
      <c r="Q374" s="10"/>
      <c r="R374" s="10">
        <v>44743</v>
      </c>
      <c r="S374" s="23">
        <v>2322.6999999999998</v>
      </c>
      <c r="T374" s="3">
        <v>62755653</v>
      </c>
      <c r="U374" s="3">
        <v>29107071204021</v>
      </c>
      <c r="V374" s="4" t="s">
        <v>2309</v>
      </c>
      <c r="W374" s="4">
        <v>72580</v>
      </c>
      <c r="X374" s="4" t="s">
        <v>1583</v>
      </c>
      <c r="Y374" s="4">
        <v>2008</v>
      </c>
      <c r="Z374" s="3">
        <f ca="1">DATEDIF(Table1[[#This Row],[تاريخ الميلاد]],TODAY(),"y")</f>
        <v>35</v>
      </c>
      <c r="AA37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35 عام 1  شهر  13  يوم </v>
      </c>
      <c r="AB37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74" s="10">
        <f>DATE(YEAR(Table1[[#This Row],[تاريخ الميلاد]])+60,MONTH(Table1[[#This Row],[تاريخ الميلاد]]),DAY(Table1[[#This Row],[تاريخ الميلاد]]))</f>
        <v>55341</v>
      </c>
      <c r="AD374" s="14">
        <f>DATE(YEAR(Table1[[#This Row],[معاش 01/01]])-1,MONTH(Table1[[#This Row],[تاريخ بلوغ 60 ]]),DAY(Table1[[#This Row],[تاريخ بلوغ 60 ]]))</f>
        <v>55341</v>
      </c>
      <c r="AE37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55707</v>
      </c>
      <c r="AF374" s="10" t="str">
        <f>IFERROR(IF(ISODD(MID(Table1[[#This Row],[الرقم القومي]],13,1)),"ذكر","انثي"),"")</f>
        <v>انثي</v>
      </c>
      <c r="AG374" s="70" t="s">
        <v>1635</v>
      </c>
      <c r="AH374" s="3">
        <f>IF(MONTH(Table1[[#This Row],[تاريخ بلوغ 60 ]])&lt;&gt;1,1,0)</f>
        <v>1</v>
      </c>
      <c r="AI374" s="3">
        <f>IF(DAY(Table1[[#This Row],[تاريخ بلوغ 60 ]])&lt;&gt;1,1,0)</f>
        <v>1</v>
      </c>
      <c r="AJ374" s="4" t="s">
        <v>465</v>
      </c>
      <c r="AK374" s="4" t="s">
        <v>2689</v>
      </c>
      <c r="AL374" s="62" t="s">
        <v>2308</v>
      </c>
      <c r="AM374" s="62" t="s">
        <v>3024</v>
      </c>
      <c r="AN374" s="2">
        <v>3</v>
      </c>
      <c r="AO374" s="4" t="s">
        <v>2641</v>
      </c>
      <c r="AP374" s="74">
        <v>409.26</v>
      </c>
      <c r="AQ374" s="4">
        <v>18.75</v>
      </c>
      <c r="AR374" s="4">
        <v>7</v>
      </c>
      <c r="AS374" s="4" t="s">
        <v>2642</v>
      </c>
      <c r="AT374" s="72">
        <v>0</v>
      </c>
      <c r="AU374" s="2">
        <v>8</v>
      </c>
      <c r="AV374" s="4"/>
      <c r="AW374" s="4"/>
      <c r="AX374" s="4"/>
    </row>
    <row r="375" spans="1:50" ht="15" x14ac:dyDescent="0.2">
      <c r="A375" s="3">
        <v>34165</v>
      </c>
      <c r="B375" s="1" t="s">
        <v>468</v>
      </c>
      <c r="C375" s="3">
        <v>1</v>
      </c>
      <c r="D375" s="3" t="s">
        <v>465</v>
      </c>
      <c r="E375" s="3">
        <v>3</v>
      </c>
      <c r="F375" s="3" t="s">
        <v>472</v>
      </c>
      <c r="G375" s="7" t="s">
        <v>313</v>
      </c>
      <c r="H375" s="3">
        <v>104</v>
      </c>
      <c r="I375" s="3" t="s">
        <v>1083</v>
      </c>
      <c r="J375" s="3">
        <v>18</v>
      </c>
      <c r="K375" s="3" t="s">
        <v>1529</v>
      </c>
      <c r="L375" s="3">
        <v>8</v>
      </c>
      <c r="M375" s="3" t="s">
        <v>506</v>
      </c>
      <c r="N375" s="3" t="s">
        <v>1090</v>
      </c>
      <c r="O375" s="10">
        <v>32524</v>
      </c>
      <c r="P375" s="10">
        <v>44743</v>
      </c>
      <c r="Q375" s="10"/>
      <c r="R375" s="10">
        <v>44743</v>
      </c>
      <c r="S375" s="23">
        <v>2331.7600000000002</v>
      </c>
      <c r="T375" s="3">
        <v>27926415</v>
      </c>
      <c r="U375" s="3">
        <v>28901160300241</v>
      </c>
      <c r="V375" s="4" t="s">
        <v>2311</v>
      </c>
      <c r="W375" s="4">
        <v>72581</v>
      </c>
      <c r="X375" s="4" t="s">
        <v>1583</v>
      </c>
      <c r="Y375" s="4">
        <v>2009</v>
      </c>
      <c r="Z375" s="3">
        <f ca="1">DATEDIF(Table1[[#This Row],[تاريخ الميلاد]],TODAY(),"y")</f>
        <v>37</v>
      </c>
      <c r="AA37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7  شهر  4  يوم </v>
      </c>
      <c r="AB37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75" s="10">
        <f>DATE(YEAR(Table1[[#This Row],[تاريخ الميلاد]])+60,MONTH(Table1[[#This Row],[تاريخ الميلاد]]),DAY(Table1[[#This Row],[تاريخ الميلاد]]))</f>
        <v>54439</v>
      </c>
      <c r="AD375" s="14">
        <f>DATE(YEAR(Table1[[#This Row],[معاش 01/01]])-1,MONTH(Table1[[#This Row],[تاريخ بلوغ 60 ]]),DAY(Table1[[#This Row],[تاريخ بلوغ 60 ]]))</f>
        <v>54439</v>
      </c>
      <c r="AE37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54804</v>
      </c>
      <c r="AF375" s="10" t="str">
        <f>IFERROR(IF(ISODD(MID(Table1[[#This Row],[الرقم القومي]],13,1)),"ذكر","انثي"),"")</f>
        <v>انثي</v>
      </c>
      <c r="AG375" s="70" t="s">
        <v>2606</v>
      </c>
      <c r="AH375" s="3">
        <f>IF(MONTH(Table1[[#This Row],[تاريخ بلوغ 60 ]])&lt;&gt;1,1,0)</f>
        <v>0</v>
      </c>
      <c r="AI375" s="3">
        <f>IF(DAY(Table1[[#This Row],[تاريخ بلوغ 60 ]])&lt;&gt;1,1,0)</f>
        <v>1</v>
      </c>
      <c r="AJ375" s="4" t="s">
        <v>465</v>
      </c>
      <c r="AK375" s="4" t="s">
        <v>2689</v>
      </c>
      <c r="AL375" s="62" t="s">
        <v>2310</v>
      </c>
      <c r="AM375" s="62" t="s">
        <v>3025</v>
      </c>
      <c r="AN375" s="2">
        <v>3</v>
      </c>
      <c r="AO375" s="4" t="s">
        <v>2641</v>
      </c>
      <c r="AP375" s="74">
        <v>410.96</v>
      </c>
      <c r="AQ375" s="4">
        <v>18.75</v>
      </c>
      <c r="AR375" s="4">
        <v>1</v>
      </c>
      <c r="AS375" s="4" t="s">
        <v>2635</v>
      </c>
      <c r="AT375" s="72">
        <v>2</v>
      </c>
      <c r="AU375" s="2">
        <v>8</v>
      </c>
      <c r="AV375" s="4"/>
      <c r="AW375" s="4"/>
      <c r="AX375" s="4"/>
    </row>
    <row r="376" spans="1:50" ht="15" x14ac:dyDescent="0.2">
      <c r="A376" s="3">
        <v>34166</v>
      </c>
      <c r="B376" s="1" t="s">
        <v>468</v>
      </c>
      <c r="C376" s="3">
        <v>1</v>
      </c>
      <c r="D376" s="3" t="s">
        <v>465</v>
      </c>
      <c r="E376" s="3">
        <v>3</v>
      </c>
      <c r="F376" s="3" t="s">
        <v>472</v>
      </c>
      <c r="G376" s="7" t="s">
        <v>314</v>
      </c>
      <c r="H376" s="3">
        <v>104</v>
      </c>
      <c r="I376" s="3" t="s">
        <v>1083</v>
      </c>
      <c r="J376" s="3">
        <v>18</v>
      </c>
      <c r="K376" s="3" t="s">
        <v>1529</v>
      </c>
      <c r="L376" s="3">
        <v>8</v>
      </c>
      <c r="M376" s="3" t="s">
        <v>506</v>
      </c>
      <c r="N376" s="3" t="s">
        <v>1090</v>
      </c>
      <c r="O376" s="10">
        <v>33193</v>
      </c>
      <c r="P376" s="10">
        <v>44743</v>
      </c>
      <c r="Q376" s="10"/>
      <c r="R376" s="10">
        <v>44743</v>
      </c>
      <c r="S376" s="23">
        <v>2282.4499999999998</v>
      </c>
      <c r="T376" s="3">
        <v>61358849</v>
      </c>
      <c r="U376" s="3">
        <v>29011160300184</v>
      </c>
      <c r="V376" s="4" t="s">
        <v>2313</v>
      </c>
      <c r="W376" s="4">
        <v>72582</v>
      </c>
      <c r="X376" s="4" t="s">
        <v>1583</v>
      </c>
      <c r="Y376" s="4">
        <v>2007</v>
      </c>
      <c r="Z376" s="3">
        <f ca="1">DATEDIF(Table1[[#This Row],[تاريخ الميلاد]],TODAY(),"y")</f>
        <v>35</v>
      </c>
      <c r="AA37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35 عام 9  شهر  4  يوم </v>
      </c>
      <c r="AB37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76" s="10">
        <f>DATE(YEAR(Table1[[#This Row],[تاريخ الميلاد]])+60,MONTH(Table1[[#This Row],[تاريخ الميلاد]]),DAY(Table1[[#This Row],[تاريخ الميلاد]]))</f>
        <v>55108</v>
      </c>
      <c r="AD376" s="14">
        <f>DATE(YEAR(Table1[[#This Row],[معاش 01/01]])-1,MONTH(Table1[[#This Row],[تاريخ بلوغ 60 ]]),DAY(Table1[[#This Row],[تاريخ بلوغ 60 ]]))</f>
        <v>55108</v>
      </c>
      <c r="AE37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55473</v>
      </c>
      <c r="AF376" s="10" t="str">
        <f>IFERROR(IF(ISODD(MID(Table1[[#This Row],[الرقم القومي]],13,1)),"ذكر","انثي"),"")</f>
        <v>انثي</v>
      </c>
      <c r="AG376" s="70" t="s">
        <v>2606</v>
      </c>
      <c r="AH376" s="3">
        <f>IF(MONTH(Table1[[#This Row],[تاريخ بلوغ 60 ]])&lt;&gt;1,1,0)</f>
        <v>1</v>
      </c>
      <c r="AI376" s="3">
        <f>IF(DAY(Table1[[#This Row],[تاريخ بلوغ 60 ]])&lt;&gt;1,1,0)</f>
        <v>1</v>
      </c>
      <c r="AJ376" s="4" t="s">
        <v>465</v>
      </c>
      <c r="AK376" s="4" t="s">
        <v>2689</v>
      </c>
      <c r="AL376" s="62" t="s">
        <v>2312</v>
      </c>
      <c r="AM376" s="62" t="s">
        <v>3026</v>
      </c>
      <c r="AN376" s="2">
        <v>3</v>
      </c>
      <c r="AO376" s="4" t="s">
        <v>2641</v>
      </c>
      <c r="AP376" s="74">
        <v>401.71</v>
      </c>
      <c r="AQ376" s="4">
        <v>18.75</v>
      </c>
      <c r="AR376" s="4">
        <v>1</v>
      </c>
      <c r="AS376" s="4" t="s">
        <v>2635</v>
      </c>
      <c r="AT376" s="72">
        <v>2</v>
      </c>
      <c r="AU376" s="2">
        <v>8</v>
      </c>
      <c r="AV376" s="4"/>
      <c r="AW376" s="4"/>
      <c r="AX376" s="4"/>
    </row>
    <row r="377" spans="1:50" ht="15" x14ac:dyDescent="0.2">
      <c r="A377" s="3">
        <v>34171</v>
      </c>
      <c r="B377" s="1" t="s">
        <v>468</v>
      </c>
      <c r="C377" s="3">
        <v>1</v>
      </c>
      <c r="D377" s="3" t="s">
        <v>465</v>
      </c>
      <c r="E377" s="3">
        <v>3</v>
      </c>
      <c r="F377" s="3" t="s">
        <v>472</v>
      </c>
      <c r="G377" s="7" t="s">
        <v>315</v>
      </c>
      <c r="H377" s="3">
        <v>104</v>
      </c>
      <c r="I377" s="3" t="s">
        <v>1083</v>
      </c>
      <c r="J377" s="3">
        <v>18</v>
      </c>
      <c r="K377" s="3" t="s">
        <v>1529</v>
      </c>
      <c r="L377" s="3">
        <v>8</v>
      </c>
      <c r="M377" s="3" t="s">
        <v>506</v>
      </c>
      <c r="N377" s="3" t="s">
        <v>1090</v>
      </c>
      <c r="O377" s="10">
        <v>32502</v>
      </c>
      <c r="P377" s="10">
        <v>44743</v>
      </c>
      <c r="Q377" s="10"/>
      <c r="R377" s="10">
        <v>44743</v>
      </c>
      <c r="S377" s="23">
        <v>2282.4499999999998</v>
      </c>
      <c r="T377" s="3">
        <v>60394191</v>
      </c>
      <c r="U377" s="3">
        <v>28812250300204</v>
      </c>
      <c r="V377" s="4" t="s">
        <v>2315</v>
      </c>
      <c r="W377" s="4">
        <v>72586</v>
      </c>
      <c r="X377" s="4" t="s">
        <v>1583</v>
      </c>
      <c r="Y377" s="4">
        <v>2006</v>
      </c>
      <c r="Z377" s="3">
        <f ca="1">DATEDIF(Table1[[#This Row],[تاريخ الميلاد]],TODAY(),"y")</f>
        <v>37</v>
      </c>
      <c r="AA37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7  شهر  26  يوم </v>
      </c>
      <c r="AB37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77" s="10">
        <f>DATE(YEAR(Table1[[#This Row],[تاريخ الميلاد]])+60,MONTH(Table1[[#This Row],[تاريخ الميلاد]]),DAY(Table1[[#This Row],[تاريخ الميلاد]]))</f>
        <v>54417</v>
      </c>
      <c r="AD377" s="14">
        <f>DATE(YEAR(Table1[[#This Row],[معاش 01/01]])-1,MONTH(Table1[[#This Row],[تاريخ بلوغ 60 ]]),DAY(Table1[[#This Row],[تاريخ بلوغ 60 ]]))</f>
        <v>54417</v>
      </c>
      <c r="AE37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54782</v>
      </c>
      <c r="AF377" s="10" t="str">
        <f>IFERROR(IF(ISODD(MID(Table1[[#This Row],[الرقم القومي]],13,1)),"ذكر","انثي"),"")</f>
        <v>انثي</v>
      </c>
      <c r="AG377" s="70" t="s">
        <v>2606</v>
      </c>
      <c r="AH377" s="3">
        <f>IF(MONTH(Table1[[#This Row],[تاريخ بلوغ 60 ]])&lt;&gt;1,1,0)</f>
        <v>1</v>
      </c>
      <c r="AI377" s="3">
        <f>IF(DAY(Table1[[#This Row],[تاريخ بلوغ 60 ]])&lt;&gt;1,1,0)</f>
        <v>1</v>
      </c>
      <c r="AJ377" s="4" t="s">
        <v>465</v>
      </c>
      <c r="AK377" s="4">
        <v>0</v>
      </c>
      <c r="AL377" s="62" t="s">
        <v>2314</v>
      </c>
      <c r="AM377" s="62" t="s">
        <v>3027</v>
      </c>
      <c r="AN377" s="2">
        <v>3</v>
      </c>
      <c r="AO377" s="4" t="s">
        <v>2641</v>
      </c>
      <c r="AP377" s="74">
        <v>401.71</v>
      </c>
      <c r="AQ377" s="4">
        <v>18.75</v>
      </c>
      <c r="AR377" s="4">
        <v>1</v>
      </c>
      <c r="AS377" s="4" t="s">
        <v>2635</v>
      </c>
      <c r="AT377" s="72">
        <v>2</v>
      </c>
      <c r="AU377" s="2">
        <v>8</v>
      </c>
      <c r="AV377" s="4"/>
      <c r="AW377" s="4"/>
      <c r="AX377" s="4"/>
    </row>
    <row r="378" spans="1:50" ht="15" x14ac:dyDescent="0.2">
      <c r="A378" s="3">
        <v>34188</v>
      </c>
      <c r="B378" s="1" t="s">
        <v>468</v>
      </c>
      <c r="C378" s="3">
        <v>1</v>
      </c>
      <c r="D378" s="3" t="s">
        <v>465</v>
      </c>
      <c r="E378" s="3">
        <v>3</v>
      </c>
      <c r="F378" s="3" t="s">
        <v>472</v>
      </c>
      <c r="G378" s="7" t="s">
        <v>316</v>
      </c>
      <c r="H378" s="3">
        <v>208</v>
      </c>
      <c r="I378" s="3" t="s">
        <v>1503</v>
      </c>
      <c r="J378" s="3">
        <v>18</v>
      </c>
      <c r="K378" s="3" t="s">
        <v>1529</v>
      </c>
      <c r="L378" s="3">
        <v>8</v>
      </c>
      <c r="M378" s="3" t="s">
        <v>506</v>
      </c>
      <c r="N378" s="3" t="s">
        <v>1503</v>
      </c>
      <c r="O378" s="10">
        <v>31851</v>
      </c>
      <c r="P378" s="10">
        <v>44743</v>
      </c>
      <c r="Q378" s="10"/>
      <c r="R378" s="10">
        <v>44743</v>
      </c>
      <c r="S378" s="23">
        <v>2282.4499999999998</v>
      </c>
      <c r="T378" s="3">
        <v>15644987</v>
      </c>
      <c r="U378" s="3">
        <v>28703151202973</v>
      </c>
      <c r="V378" s="4" t="s">
        <v>2317</v>
      </c>
      <c r="W378" s="4">
        <v>72622</v>
      </c>
      <c r="X378" s="4" t="s">
        <v>1583</v>
      </c>
      <c r="Y378" s="4">
        <v>2008</v>
      </c>
      <c r="Z378" s="3">
        <f ca="1">DATEDIF(Table1[[#This Row],[تاريخ الميلاد]],TODAY(),"y")</f>
        <v>39</v>
      </c>
      <c r="AA37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39 عام 5  شهر  5  يوم </v>
      </c>
      <c r="AB37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78" s="10">
        <f>DATE(YEAR(Table1[[#This Row],[تاريخ الميلاد]])+60,MONTH(Table1[[#This Row],[تاريخ الميلاد]]),DAY(Table1[[#This Row],[تاريخ الميلاد]]))</f>
        <v>53766</v>
      </c>
      <c r="AD378" s="14">
        <f>DATE(YEAR(Table1[[#This Row],[معاش 01/01]])-1,MONTH(Table1[[#This Row],[تاريخ بلوغ 60 ]]),DAY(Table1[[#This Row],[تاريخ بلوغ 60 ]]))</f>
        <v>53766</v>
      </c>
      <c r="AE37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54132</v>
      </c>
      <c r="AF378" s="10" t="str">
        <f>IFERROR(IF(ISODD(MID(Table1[[#This Row],[الرقم القومي]],13,1)),"ذكر","انثي"),"")</f>
        <v>ذكر</v>
      </c>
      <c r="AG378" s="70" t="s">
        <v>1635</v>
      </c>
      <c r="AH378" s="3">
        <f>IF(MONTH(Table1[[#This Row],[تاريخ بلوغ 60 ]])&lt;&gt;1,1,0)</f>
        <v>1</v>
      </c>
      <c r="AI378" s="3">
        <f>IF(DAY(Table1[[#This Row],[تاريخ بلوغ 60 ]])&lt;&gt;1,1,0)</f>
        <v>1</v>
      </c>
      <c r="AJ378" s="4" t="s">
        <v>1635</v>
      </c>
      <c r="AK378" s="4">
        <v>0</v>
      </c>
      <c r="AL378" s="62" t="s">
        <v>2316</v>
      </c>
      <c r="AM378" s="62" t="s">
        <v>3028</v>
      </c>
      <c r="AN378" s="2">
        <v>3</v>
      </c>
      <c r="AO378" s="4" t="s">
        <v>2641</v>
      </c>
      <c r="AP378" s="74">
        <v>401.71</v>
      </c>
      <c r="AQ378" s="4">
        <v>18.75</v>
      </c>
      <c r="AR378" s="4">
        <v>3</v>
      </c>
      <c r="AS378" s="4" t="s">
        <v>2668</v>
      </c>
      <c r="AT378" s="72">
        <v>6</v>
      </c>
      <c r="AU378" s="2">
        <v>8</v>
      </c>
      <c r="AV378" s="4"/>
      <c r="AW378" s="4"/>
      <c r="AX378" s="4"/>
    </row>
    <row r="379" spans="1:50" ht="15" x14ac:dyDescent="0.2">
      <c r="A379" s="3">
        <v>34189</v>
      </c>
      <c r="B379" s="1" t="s">
        <v>468</v>
      </c>
      <c r="C379" s="3">
        <v>1</v>
      </c>
      <c r="D379" s="3" t="s">
        <v>465</v>
      </c>
      <c r="E379" s="3">
        <v>3</v>
      </c>
      <c r="F379" s="3" t="s">
        <v>472</v>
      </c>
      <c r="G379" s="7" t="s">
        <v>317</v>
      </c>
      <c r="H379" s="3">
        <v>208</v>
      </c>
      <c r="I379" s="3" t="s">
        <v>1503</v>
      </c>
      <c r="J379" s="3">
        <v>18</v>
      </c>
      <c r="K379" s="3" t="s">
        <v>1529</v>
      </c>
      <c r="L379" s="3">
        <v>8</v>
      </c>
      <c r="M379" s="3" t="s">
        <v>506</v>
      </c>
      <c r="N379" s="3" t="s">
        <v>1503</v>
      </c>
      <c r="O379" s="10">
        <v>31672</v>
      </c>
      <c r="P379" s="10">
        <v>44743</v>
      </c>
      <c r="Q379" s="10"/>
      <c r="R379" s="10">
        <v>44743</v>
      </c>
      <c r="S379" s="23">
        <v>2282.4499999999998</v>
      </c>
      <c r="T379" s="3">
        <v>50178158</v>
      </c>
      <c r="U379" s="3">
        <v>28609171303435</v>
      </c>
      <c r="V379" s="4" t="s">
        <v>2320</v>
      </c>
      <c r="W379" s="4">
        <v>72632</v>
      </c>
      <c r="X379" s="4" t="s">
        <v>1583</v>
      </c>
      <c r="Y379" s="4">
        <v>2008</v>
      </c>
      <c r="Z379" s="3">
        <f ca="1">DATEDIF(Table1[[#This Row],[تاريخ الميلاد]],TODAY(),"y")</f>
        <v>39</v>
      </c>
      <c r="AA37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39 عام 11  شهر  3  يوم </v>
      </c>
      <c r="AB37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79" s="10">
        <f>DATE(YEAR(Table1[[#This Row],[تاريخ الميلاد]])+60,MONTH(Table1[[#This Row],[تاريخ الميلاد]]),DAY(Table1[[#This Row],[تاريخ الميلاد]]))</f>
        <v>53587</v>
      </c>
      <c r="AD379" s="14">
        <f>DATE(YEAR(Table1[[#This Row],[معاش 01/01]])-1,MONTH(Table1[[#This Row],[تاريخ بلوغ 60 ]]),DAY(Table1[[#This Row],[تاريخ بلوغ 60 ]]))</f>
        <v>53587</v>
      </c>
      <c r="AE37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53952</v>
      </c>
      <c r="AF379" s="10" t="str">
        <f>IFERROR(IF(ISODD(MID(Table1[[#This Row],[الرقم القومي]],13,1)),"ذكر","انثي"),"")</f>
        <v>ذكر</v>
      </c>
      <c r="AG379" s="70" t="s">
        <v>2610</v>
      </c>
      <c r="AH379" s="3">
        <f>IF(MONTH(Table1[[#This Row],[تاريخ بلوغ 60 ]])&lt;&gt;1,1,0)</f>
        <v>1</v>
      </c>
      <c r="AI379" s="3">
        <f>IF(DAY(Table1[[#This Row],[تاريخ بلوغ 60 ]])&lt;&gt;1,1,0)</f>
        <v>1</v>
      </c>
      <c r="AJ379" s="4" t="s">
        <v>2318</v>
      </c>
      <c r="AK379" s="4">
        <v>0</v>
      </c>
      <c r="AL379" s="62" t="s">
        <v>2319</v>
      </c>
      <c r="AM379" s="62" t="s">
        <v>3029</v>
      </c>
      <c r="AN379" s="2">
        <v>3</v>
      </c>
      <c r="AO379" s="4" t="s">
        <v>2641</v>
      </c>
      <c r="AP379" s="74">
        <v>401.71</v>
      </c>
      <c r="AQ379" s="4">
        <v>18.75</v>
      </c>
      <c r="AR379" s="4">
        <v>3</v>
      </c>
      <c r="AS379" s="4" t="s">
        <v>2668</v>
      </c>
      <c r="AT379" s="72">
        <v>6</v>
      </c>
      <c r="AU379" s="2">
        <v>8</v>
      </c>
      <c r="AV379" s="4"/>
      <c r="AW379" s="4"/>
      <c r="AX379" s="4"/>
    </row>
    <row r="380" spans="1:50" ht="15" x14ac:dyDescent="0.2">
      <c r="A380" s="3">
        <v>34192</v>
      </c>
      <c r="B380" s="1" t="s">
        <v>468</v>
      </c>
      <c r="C380" s="3">
        <v>1</v>
      </c>
      <c r="D380" s="3" t="s">
        <v>465</v>
      </c>
      <c r="E380" s="3">
        <v>3</v>
      </c>
      <c r="F380" s="3" t="s">
        <v>472</v>
      </c>
      <c r="G380" s="7" t="s">
        <v>318</v>
      </c>
      <c r="H380" s="3">
        <v>208</v>
      </c>
      <c r="I380" s="3" t="s">
        <v>1503</v>
      </c>
      <c r="J380" s="3">
        <v>18</v>
      </c>
      <c r="K380" s="3" t="s">
        <v>1529</v>
      </c>
      <c r="L380" s="3">
        <v>8</v>
      </c>
      <c r="M380" s="3" t="s">
        <v>506</v>
      </c>
      <c r="N380" s="3" t="s">
        <v>1503</v>
      </c>
      <c r="O380" s="10">
        <v>32042</v>
      </c>
      <c r="P380" s="10">
        <v>44743</v>
      </c>
      <c r="Q380" s="10"/>
      <c r="R380" s="10">
        <v>44743</v>
      </c>
      <c r="S380" s="23">
        <v>2282.4499999999998</v>
      </c>
      <c r="T380" s="3">
        <v>60506813</v>
      </c>
      <c r="U380" s="3">
        <v>28709221303592</v>
      </c>
      <c r="V380" s="4" t="s">
        <v>2322</v>
      </c>
      <c r="W380" s="4">
        <v>72640</v>
      </c>
      <c r="X380" s="4" t="s">
        <v>1583</v>
      </c>
      <c r="Y380" s="4">
        <v>2006</v>
      </c>
      <c r="Z380" s="3">
        <f ca="1">DATEDIF(Table1[[#This Row],[تاريخ الميلاد]],TODAY(),"y")</f>
        <v>38</v>
      </c>
      <c r="AA38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10  شهر  29  يوم </v>
      </c>
      <c r="AB38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80" s="10">
        <f>DATE(YEAR(Table1[[#This Row],[تاريخ الميلاد]])+60,MONTH(Table1[[#This Row],[تاريخ الميلاد]]),DAY(Table1[[#This Row],[تاريخ الميلاد]]))</f>
        <v>53957</v>
      </c>
      <c r="AD380" s="14">
        <f>DATE(YEAR(Table1[[#This Row],[معاش 01/01]])-1,MONTH(Table1[[#This Row],[تاريخ بلوغ 60 ]]),DAY(Table1[[#This Row],[تاريخ بلوغ 60 ]]))</f>
        <v>53957</v>
      </c>
      <c r="AE38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54323</v>
      </c>
      <c r="AF380" s="10" t="str">
        <f>IFERROR(IF(ISODD(MID(Table1[[#This Row],[الرقم القومي]],13,1)),"ذكر","انثي"),"")</f>
        <v>ذكر</v>
      </c>
      <c r="AG380" s="70" t="s">
        <v>2610</v>
      </c>
      <c r="AH380" s="3">
        <f>IF(MONTH(Table1[[#This Row],[تاريخ بلوغ 60 ]])&lt;&gt;1,1,0)</f>
        <v>1</v>
      </c>
      <c r="AI380" s="3">
        <f>IF(DAY(Table1[[#This Row],[تاريخ بلوغ 60 ]])&lt;&gt;1,1,0)</f>
        <v>1</v>
      </c>
      <c r="AJ380" s="4" t="s">
        <v>1719</v>
      </c>
      <c r="AK380" s="4">
        <v>0</v>
      </c>
      <c r="AL380" s="62" t="s">
        <v>2321</v>
      </c>
      <c r="AM380" s="62" t="s">
        <v>3030</v>
      </c>
      <c r="AN380" s="2">
        <v>3</v>
      </c>
      <c r="AO380" s="4" t="s">
        <v>2641</v>
      </c>
      <c r="AP380" s="74">
        <v>401.71</v>
      </c>
      <c r="AQ380" s="4">
        <v>18.75</v>
      </c>
      <c r="AR380" s="4">
        <v>3</v>
      </c>
      <c r="AS380" s="4" t="s">
        <v>2668</v>
      </c>
      <c r="AT380" s="72">
        <v>6</v>
      </c>
      <c r="AU380" s="2">
        <v>8</v>
      </c>
      <c r="AV380" s="4"/>
      <c r="AW380" s="4"/>
      <c r="AX380" s="4"/>
    </row>
    <row r="381" spans="1:50" ht="15" x14ac:dyDescent="0.2">
      <c r="A381" s="3">
        <v>34194</v>
      </c>
      <c r="B381" s="1" t="s">
        <v>468</v>
      </c>
      <c r="C381" s="3">
        <v>1</v>
      </c>
      <c r="D381" s="3" t="s">
        <v>465</v>
      </c>
      <c r="E381" s="3">
        <v>3</v>
      </c>
      <c r="F381" s="3" t="s">
        <v>472</v>
      </c>
      <c r="G381" s="7" t="s">
        <v>319</v>
      </c>
      <c r="H381" s="3">
        <v>208</v>
      </c>
      <c r="I381" s="3" t="s">
        <v>1503</v>
      </c>
      <c r="J381" s="3">
        <v>18</v>
      </c>
      <c r="K381" s="3" t="s">
        <v>1529</v>
      </c>
      <c r="L381" s="3">
        <v>8</v>
      </c>
      <c r="M381" s="3" t="s">
        <v>506</v>
      </c>
      <c r="N381" s="3" t="s">
        <v>1503</v>
      </c>
      <c r="O381" s="10">
        <v>33138</v>
      </c>
      <c r="P381" s="10">
        <v>44743</v>
      </c>
      <c r="Q381" s="10"/>
      <c r="R381" s="10">
        <v>44743</v>
      </c>
      <c r="S381" s="23">
        <v>2331.7600000000002</v>
      </c>
      <c r="T381" s="3">
        <v>64174151</v>
      </c>
      <c r="U381" s="3">
        <v>29009221100219</v>
      </c>
      <c r="V381" s="4" t="s">
        <v>2324</v>
      </c>
      <c r="W381" s="4">
        <v>72606</v>
      </c>
      <c r="X381" s="4" t="s">
        <v>1583</v>
      </c>
      <c r="Y381" s="4">
        <v>2009</v>
      </c>
      <c r="Z381" s="3">
        <f ca="1">DATEDIF(Table1[[#This Row],[تاريخ الميلاد]],TODAY(),"y")</f>
        <v>35</v>
      </c>
      <c r="AA38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35 عام 10  شهر  29  يوم </v>
      </c>
      <c r="AB38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81" s="10">
        <f>DATE(YEAR(Table1[[#This Row],[تاريخ الميلاد]])+60,MONTH(Table1[[#This Row],[تاريخ الميلاد]]),DAY(Table1[[#This Row],[تاريخ الميلاد]]))</f>
        <v>55053</v>
      </c>
      <c r="AD381" s="14">
        <f>DATE(YEAR(Table1[[#This Row],[معاش 01/01]])-1,MONTH(Table1[[#This Row],[تاريخ بلوغ 60 ]]),DAY(Table1[[#This Row],[تاريخ بلوغ 60 ]]))</f>
        <v>55053</v>
      </c>
      <c r="AE38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55418</v>
      </c>
      <c r="AF381" s="10" t="str">
        <f>IFERROR(IF(ISODD(MID(Table1[[#This Row],[الرقم القومي]],13,1)),"ذكر","انثي"),"")</f>
        <v>ذكر</v>
      </c>
      <c r="AG381" s="70" t="s">
        <v>2609</v>
      </c>
      <c r="AH381" s="3">
        <f>IF(MONTH(Table1[[#This Row],[تاريخ بلوغ 60 ]])&lt;&gt;1,1,0)</f>
        <v>1</v>
      </c>
      <c r="AI381" s="3">
        <f>IF(DAY(Table1[[#This Row],[تاريخ بلوغ 60 ]])&lt;&gt;1,1,0)</f>
        <v>1</v>
      </c>
      <c r="AJ381" s="4" t="s">
        <v>2116</v>
      </c>
      <c r="AK381" s="4">
        <v>0</v>
      </c>
      <c r="AL381" s="62" t="s">
        <v>2323</v>
      </c>
      <c r="AM381" s="62" t="s">
        <v>3031</v>
      </c>
      <c r="AN381" s="2">
        <v>3</v>
      </c>
      <c r="AO381" s="4" t="s">
        <v>2641</v>
      </c>
      <c r="AP381" s="74">
        <v>410.96</v>
      </c>
      <c r="AQ381" s="4">
        <v>18.75</v>
      </c>
      <c r="AR381" s="4">
        <v>2</v>
      </c>
      <c r="AS381" s="4" t="s">
        <v>2696</v>
      </c>
      <c r="AT381" s="72">
        <v>4</v>
      </c>
      <c r="AU381" s="2">
        <v>8</v>
      </c>
      <c r="AV381" s="4"/>
      <c r="AW381" s="4"/>
      <c r="AX381" s="4"/>
    </row>
    <row r="382" spans="1:50" ht="15" x14ac:dyDescent="0.2">
      <c r="A382" s="3">
        <v>34196</v>
      </c>
      <c r="B382" s="1" t="s">
        <v>468</v>
      </c>
      <c r="C382" s="3">
        <v>1</v>
      </c>
      <c r="D382" s="3" t="s">
        <v>465</v>
      </c>
      <c r="E382" s="3">
        <v>3</v>
      </c>
      <c r="F382" s="3" t="s">
        <v>472</v>
      </c>
      <c r="G382" s="7" t="s">
        <v>320</v>
      </c>
      <c r="H382" s="3">
        <v>208</v>
      </c>
      <c r="I382" s="3" t="s">
        <v>1503</v>
      </c>
      <c r="J382" s="3">
        <v>18</v>
      </c>
      <c r="K382" s="3" t="s">
        <v>1529</v>
      </c>
      <c r="L382" s="3">
        <v>8</v>
      </c>
      <c r="M382" s="3" t="s">
        <v>506</v>
      </c>
      <c r="N382" s="3" t="s">
        <v>1503</v>
      </c>
      <c r="O382" s="10">
        <v>31656</v>
      </c>
      <c r="P382" s="10">
        <v>44743</v>
      </c>
      <c r="Q382" s="10"/>
      <c r="R382" s="10">
        <v>44743</v>
      </c>
      <c r="S382" s="23">
        <v>2282.4499999999998</v>
      </c>
      <c r="T382" s="3">
        <v>44838335</v>
      </c>
      <c r="U382" s="3">
        <v>28609011312071</v>
      </c>
      <c r="V382" s="4" t="s">
        <v>2326</v>
      </c>
      <c r="W382" s="4">
        <v>72610</v>
      </c>
      <c r="X382" s="4" t="s">
        <v>1583</v>
      </c>
      <c r="Y382" s="4">
        <v>2011</v>
      </c>
      <c r="Z382" s="3">
        <f ca="1">DATEDIF(Table1[[#This Row],[تاريخ الميلاد]],TODAY(),"y")</f>
        <v>39</v>
      </c>
      <c r="AA38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39 عام 11  شهر  19  يوم </v>
      </c>
      <c r="AB38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82" s="10">
        <f>DATE(YEAR(Table1[[#This Row],[تاريخ الميلاد]])+60,MONTH(Table1[[#This Row],[تاريخ الميلاد]]),DAY(Table1[[#This Row],[تاريخ الميلاد]]))</f>
        <v>53571</v>
      </c>
      <c r="AD382" s="14">
        <f>DATE(YEAR(Table1[[#This Row],[معاش 01/01]])-1,MONTH(Table1[[#This Row],[تاريخ بلوغ 60 ]]),DAY(Table1[[#This Row],[تاريخ بلوغ 60 ]]))</f>
        <v>53571</v>
      </c>
      <c r="AE38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53936</v>
      </c>
      <c r="AF382" s="10" t="str">
        <f>IFERROR(IF(ISODD(MID(Table1[[#This Row],[الرقم القومي]],13,1)),"ذكر","انثي"),"")</f>
        <v>ذكر</v>
      </c>
      <c r="AG382" s="70" t="s">
        <v>2610</v>
      </c>
      <c r="AH382" s="3">
        <f>IF(MONTH(Table1[[#This Row],[تاريخ بلوغ 60 ]])&lt;&gt;1,1,0)</f>
        <v>1</v>
      </c>
      <c r="AI382" s="3">
        <f>IF(DAY(Table1[[#This Row],[تاريخ بلوغ 60 ]])&lt;&gt;1,1,0)</f>
        <v>0</v>
      </c>
      <c r="AJ382" s="4" t="s">
        <v>1719</v>
      </c>
      <c r="AK382" s="4">
        <v>0</v>
      </c>
      <c r="AL382" s="62" t="s">
        <v>2325</v>
      </c>
      <c r="AM382" s="62" t="s">
        <v>3032</v>
      </c>
      <c r="AN382" s="2">
        <v>3</v>
      </c>
      <c r="AO382" s="4" t="s">
        <v>2641</v>
      </c>
      <c r="AP382" s="74">
        <v>401.71</v>
      </c>
      <c r="AQ382" s="4">
        <v>18.75</v>
      </c>
      <c r="AR382" s="4">
        <v>3</v>
      </c>
      <c r="AS382" s="4" t="s">
        <v>2668</v>
      </c>
      <c r="AT382" s="72">
        <v>6</v>
      </c>
      <c r="AU382" s="2">
        <v>8</v>
      </c>
      <c r="AV382" s="4"/>
      <c r="AW382" s="4"/>
      <c r="AX382" s="4"/>
    </row>
    <row r="383" spans="1:50" ht="15" x14ac:dyDescent="0.2">
      <c r="A383" s="3">
        <v>34198</v>
      </c>
      <c r="B383" s="1" t="s">
        <v>468</v>
      </c>
      <c r="C383" s="3">
        <v>1</v>
      </c>
      <c r="D383" s="3" t="s">
        <v>465</v>
      </c>
      <c r="E383" s="3">
        <v>3</v>
      </c>
      <c r="F383" s="3" t="s">
        <v>472</v>
      </c>
      <c r="G383" s="7" t="s">
        <v>321</v>
      </c>
      <c r="H383" s="3">
        <v>208</v>
      </c>
      <c r="I383" s="3" t="s">
        <v>1503</v>
      </c>
      <c r="J383" s="3">
        <v>18</v>
      </c>
      <c r="K383" s="3" t="s">
        <v>1529</v>
      </c>
      <c r="L383" s="3">
        <v>8</v>
      </c>
      <c r="M383" s="3" t="s">
        <v>506</v>
      </c>
      <c r="N383" s="3" t="s">
        <v>1503</v>
      </c>
      <c r="O383" s="10">
        <v>32501</v>
      </c>
      <c r="P383" s="10">
        <v>44743</v>
      </c>
      <c r="Q383" s="10"/>
      <c r="R383" s="10">
        <v>44743</v>
      </c>
      <c r="S383" s="23">
        <v>2322.6999999999998</v>
      </c>
      <c r="T383" s="3">
        <v>59962015</v>
      </c>
      <c r="U383" s="3">
        <v>28812241300897</v>
      </c>
      <c r="V383" s="4" t="s">
        <v>2328</v>
      </c>
      <c r="W383" s="4">
        <v>72611</v>
      </c>
      <c r="X383" s="4" t="s">
        <v>1583</v>
      </c>
      <c r="Y383" s="4">
        <v>2009</v>
      </c>
      <c r="Z383" s="3">
        <f ca="1">DATEDIF(Table1[[#This Row],[تاريخ الميلاد]],TODAY(),"y")</f>
        <v>37</v>
      </c>
      <c r="AA38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7  شهر  27  يوم </v>
      </c>
      <c r="AB38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83" s="10">
        <f>DATE(YEAR(Table1[[#This Row],[تاريخ الميلاد]])+60,MONTH(Table1[[#This Row],[تاريخ الميلاد]]),DAY(Table1[[#This Row],[تاريخ الميلاد]]))</f>
        <v>54416</v>
      </c>
      <c r="AD383" s="14">
        <f>DATE(YEAR(Table1[[#This Row],[معاش 01/01]])-1,MONTH(Table1[[#This Row],[تاريخ بلوغ 60 ]]),DAY(Table1[[#This Row],[تاريخ بلوغ 60 ]]))</f>
        <v>54416</v>
      </c>
      <c r="AE38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54781</v>
      </c>
      <c r="AF383" s="10" t="str">
        <f>IFERROR(IF(ISODD(MID(Table1[[#This Row],[الرقم القومي]],13,1)),"ذكر","انثي"),"")</f>
        <v>ذكر</v>
      </c>
      <c r="AG383" s="70" t="s">
        <v>2610</v>
      </c>
      <c r="AH383" s="3">
        <f>IF(MONTH(Table1[[#This Row],[تاريخ بلوغ 60 ]])&lt;&gt;1,1,0)</f>
        <v>1</v>
      </c>
      <c r="AI383" s="3">
        <f>IF(DAY(Table1[[#This Row],[تاريخ بلوغ 60 ]])&lt;&gt;1,1,0)</f>
        <v>1</v>
      </c>
      <c r="AJ383" s="4" t="s">
        <v>2318</v>
      </c>
      <c r="AK383" s="4">
        <v>0</v>
      </c>
      <c r="AL383" s="62" t="s">
        <v>2327</v>
      </c>
      <c r="AM383" s="62" t="s">
        <v>3033</v>
      </c>
      <c r="AN383" s="2">
        <v>3</v>
      </c>
      <c r="AO383" s="4" t="s">
        <v>2641</v>
      </c>
      <c r="AP383" s="74">
        <v>409.26</v>
      </c>
      <c r="AQ383" s="4">
        <v>18.75</v>
      </c>
      <c r="AR383" s="4">
        <v>1</v>
      </c>
      <c r="AS383" s="4" t="s">
        <v>2635</v>
      </c>
      <c r="AT383" s="72">
        <v>2</v>
      </c>
      <c r="AU383" s="2">
        <v>8</v>
      </c>
      <c r="AV383" s="4"/>
      <c r="AW383" s="4"/>
      <c r="AX383" s="4"/>
    </row>
    <row r="384" spans="1:50" ht="15" x14ac:dyDescent="0.2">
      <c r="A384" s="3">
        <v>34200</v>
      </c>
      <c r="B384" s="1" t="s">
        <v>468</v>
      </c>
      <c r="C384" s="3">
        <v>1</v>
      </c>
      <c r="D384" s="3" t="s">
        <v>465</v>
      </c>
      <c r="E384" s="3">
        <v>3</v>
      </c>
      <c r="F384" s="3" t="s">
        <v>472</v>
      </c>
      <c r="G384" s="7" t="s">
        <v>322</v>
      </c>
      <c r="H384" s="3">
        <v>208</v>
      </c>
      <c r="I384" s="3" t="s">
        <v>1503</v>
      </c>
      <c r="J384" s="3">
        <v>18</v>
      </c>
      <c r="K384" s="3" t="s">
        <v>1529</v>
      </c>
      <c r="L384" s="3">
        <v>8</v>
      </c>
      <c r="M384" s="3" t="s">
        <v>506</v>
      </c>
      <c r="N384" s="3" t="s">
        <v>1503</v>
      </c>
      <c r="O384" s="10">
        <v>32536</v>
      </c>
      <c r="P384" s="10">
        <v>44743</v>
      </c>
      <c r="Q384" s="10"/>
      <c r="R384" s="10">
        <v>44743</v>
      </c>
      <c r="S384" s="23">
        <v>2282.4499999999998</v>
      </c>
      <c r="T384" s="3">
        <v>21792472</v>
      </c>
      <c r="U384" s="3">
        <v>28901280300058</v>
      </c>
      <c r="V384" s="4" t="s">
        <v>2330</v>
      </c>
      <c r="W384" s="4">
        <v>72615</v>
      </c>
      <c r="X384" s="4" t="s">
        <v>1583</v>
      </c>
      <c r="Y384" s="4">
        <v>2011</v>
      </c>
      <c r="Z384" s="3">
        <f ca="1">DATEDIF(Table1[[#This Row],[تاريخ الميلاد]],TODAY(),"y")</f>
        <v>37</v>
      </c>
      <c r="AA38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6  شهر  23  يوم </v>
      </c>
      <c r="AB38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84" s="10">
        <f>DATE(YEAR(Table1[[#This Row],[تاريخ الميلاد]])+60,MONTH(Table1[[#This Row],[تاريخ الميلاد]]),DAY(Table1[[#This Row],[تاريخ الميلاد]]))</f>
        <v>54451</v>
      </c>
      <c r="AD384" s="14">
        <f>DATE(YEAR(Table1[[#This Row],[معاش 01/01]])-1,MONTH(Table1[[#This Row],[تاريخ بلوغ 60 ]]),DAY(Table1[[#This Row],[تاريخ بلوغ 60 ]]))</f>
        <v>54451</v>
      </c>
      <c r="AE38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54816</v>
      </c>
      <c r="AF384" s="10" t="str">
        <f>IFERROR(IF(ISODD(MID(Table1[[#This Row],[الرقم القومي]],13,1)),"ذكر","انثي"),"")</f>
        <v>ذكر</v>
      </c>
      <c r="AG384" s="70" t="s">
        <v>2606</v>
      </c>
      <c r="AH384" s="3">
        <f>IF(MONTH(Table1[[#This Row],[تاريخ بلوغ 60 ]])&lt;&gt;1,1,0)</f>
        <v>0</v>
      </c>
      <c r="AI384" s="3">
        <f>IF(DAY(Table1[[#This Row],[تاريخ بلوغ 60 ]])&lt;&gt;1,1,0)</f>
        <v>1</v>
      </c>
      <c r="AJ384" s="4" t="s">
        <v>465</v>
      </c>
      <c r="AK384" s="4">
        <v>0</v>
      </c>
      <c r="AL384" s="62" t="s">
        <v>2329</v>
      </c>
      <c r="AM384" s="62" t="s">
        <v>3034</v>
      </c>
      <c r="AN384" s="2">
        <v>3</v>
      </c>
      <c r="AO384" s="4" t="s">
        <v>2641</v>
      </c>
      <c r="AP384" s="74">
        <v>401.71</v>
      </c>
      <c r="AQ384" s="4">
        <v>18.75</v>
      </c>
      <c r="AR384" s="4">
        <v>3</v>
      </c>
      <c r="AS384" s="4" t="s">
        <v>2668</v>
      </c>
      <c r="AT384" s="72">
        <v>6</v>
      </c>
      <c r="AU384" s="2">
        <v>8</v>
      </c>
      <c r="AV384" s="4"/>
      <c r="AW384" s="4"/>
      <c r="AX384" s="4"/>
    </row>
    <row r="385" spans="1:50" ht="15" x14ac:dyDescent="0.2">
      <c r="A385" s="3">
        <v>34210</v>
      </c>
      <c r="B385" s="1" t="s">
        <v>468</v>
      </c>
      <c r="C385" s="3">
        <v>1</v>
      </c>
      <c r="D385" s="3" t="s">
        <v>465</v>
      </c>
      <c r="E385" s="3">
        <v>21</v>
      </c>
      <c r="F385" s="3" t="s">
        <v>474</v>
      </c>
      <c r="G385" s="7" t="s">
        <v>323</v>
      </c>
      <c r="H385" s="3">
        <v>100</v>
      </c>
      <c r="I385" s="3" t="s">
        <v>1054</v>
      </c>
      <c r="J385" s="3">
        <v>18</v>
      </c>
      <c r="K385" s="3" t="s">
        <v>1529</v>
      </c>
      <c r="L385" s="3">
        <v>8</v>
      </c>
      <c r="M385" s="3" t="s">
        <v>506</v>
      </c>
      <c r="N385" s="3" t="s">
        <v>1054</v>
      </c>
      <c r="O385" s="10">
        <v>34311</v>
      </c>
      <c r="P385" s="10">
        <v>44743</v>
      </c>
      <c r="Q385" s="10"/>
      <c r="R385" s="10">
        <v>44743</v>
      </c>
      <c r="S385" s="23">
        <v>2331.7600000000002</v>
      </c>
      <c r="T385" s="3">
        <v>72891000</v>
      </c>
      <c r="U385" s="3">
        <v>29312080300132</v>
      </c>
      <c r="V385" s="4" t="s">
        <v>2332</v>
      </c>
      <c r="W385" s="4">
        <v>72765</v>
      </c>
      <c r="X385" s="4" t="s">
        <v>1583</v>
      </c>
      <c r="Y385" s="4">
        <v>2012</v>
      </c>
      <c r="Z385" s="3">
        <f ca="1">DATEDIF(Table1[[#This Row],[تاريخ الميلاد]],TODAY(),"y")</f>
        <v>32</v>
      </c>
      <c r="AA38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32 عام 8  شهر  12  يوم </v>
      </c>
      <c r="AB38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85" s="10">
        <f>DATE(YEAR(Table1[[#This Row],[تاريخ الميلاد]])+60,MONTH(Table1[[#This Row],[تاريخ الميلاد]]),DAY(Table1[[#This Row],[تاريخ الميلاد]]))</f>
        <v>56226</v>
      </c>
      <c r="AD385" s="14">
        <f>DATE(YEAR(Table1[[#This Row],[معاش 01/01]])-1,MONTH(Table1[[#This Row],[تاريخ بلوغ 60 ]]),DAY(Table1[[#This Row],[تاريخ بلوغ 60 ]]))</f>
        <v>56226</v>
      </c>
      <c r="AE38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56591</v>
      </c>
      <c r="AF385" s="10" t="str">
        <f>IFERROR(IF(ISODD(MID(Table1[[#This Row],[الرقم القومي]],13,1)),"ذكر","انثي"),"")</f>
        <v>ذكر</v>
      </c>
      <c r="AG385" s="70" t="s">
        <v>2606</v>
      </c>
      <c r="AH385" s="3">
        <f>IF(MONTH(Table1[[#This Row],[تاريخ بلوغ 60 ]])&lt;&gt;1,1,0)</f>
        <v>1</v>
      </c>
      <c r="AI385" s="3">
        <f>IF(DAY(Table1[[#This Row],[تاريخ بلوغ 60 ]])&lt;&gt;1,1,0)</f>
        <v>1</v>
      </c>
      <c r="AJ385" s="4" t="s">
        <v>465</v>
      </c>
      <c r="AK385" s="4" t="s">
        <v>2689</v>
      </c>
      <c r="AL385" s="62" t="s">
        <v>2331</v>
      </c>
      <c r="AM385" s="62" t="s">
        <v>3035</v>
      </c>
      <c r="AN385" s="2">
        <v>1</v>
      </c>
      <c r="AO385" s="4" t="s">
        <v>2641</v>
      </c>
      <c r="AP385" s="74">
        <v>273.97000000000003</v>
      </c>
      <c r="AQ385" s="4">
        <v>12.5</v>
      </c>
      <c r="AR385" s="4">
        <v>2</v>
      </c>
      <c r="AS385" s="4" t="s">
        <v>2696</v>
      </c>
      <c r="AT385" s="72">
        <v>4</v>
      </c>
      <c r="AU385" s="2">
        <v>8</v>
      </c>
      <c r="AV385" s="4"/>
      <c r="AW385" s="4"/>
      <c r="AX385" s="4"/>
    </row>
    <row r="386" spans="1:50" ht="15" x14ac:dyDescent="0.2">
      <c r="A386" s="3">
        <v>34221</v>
      </c>
      <c r="B386" s="1" t="s">
        <v>468</v>
      </c>
      <c r="C386" s="3">
        <v>1</v>
      </c>
      <c r="D386" s="3" t="s">
        <v>465</v>
      </c>
      <c r="E386" s="3">
        <v>21</v>
      </c>
      <c r="F386" s="3" t="s">
        <v>474</v>
      </c>
      <c r="G386" s="7" t="s">
        <v>324</v>
      </c>
      <c r="H386" s="3">
        <v>100</v>
      </c>
      <c r="I386" s="3" t="s">
        <v>1054</v>
      </c>
      <c r="J386" s="3">
        <v>18</v>
      </c>
      <c r="K386" s="3" t="s">
        <v>1529</v>
      </c>
      <c r="L386" s="3">
        <v>8</v>
      </c>
      <c r="M386" s="3" t="s">
        <v>506</v>
      </c>
      <c r="N386" s="3" t="s">
        <v>1054</v>
      </c>
      <c r="O386" s="10">
        <v>32755</v>
      </c>
      <c r="P386" s="10">
        <v>44743</v>
      </c>
      <c r="Q386" s="10"/>
      <c r="R386" s="10">
        <v>44743</v>
      </c>
      <c r="S386" s="23">
        <v>2331.7600000000002</v>
      </c>
      <c r="T386" s="3">
        <v>67767330</v>
      </c>
      <c r="U386" s="3">
        <v>28909040300159</v>
      </c>
      <c r="V386" s="4" t="s">
        <v>2334</v>
      </c>
      <c r="W386" s="4">
        <v>72771</v>
      </c>
      <c r="X386" s="4" t="s">
        <v>1583</v>
      </c>
      <c r="Y386" s="4">
        <v>2005</v>
      </c>
      <c r="Z386" s="3">
        <f ca="1">DATEDIF(Table1[[#This Row],[تاريخ الميلاد]],TODAY(),"y")</f>
        <v>36</v>
      </c>
      <c r="AA38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36 عام 11  شهر  16  يوم </v>
      </c>
      <c r="AB38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86" s="10">
        <f>DATE(YEAR(Table1[[#This Row],[تاريخ الميلاد]])+60,MONTH(Table1[[#This Row],[تاريخ الميلاد]]),DAY(Table1[[#This Row],[تاريخ الميلاد]]))</f>
        <v>54670</v>
      </c>
      <c r="AD386" s="14">
        <f>DATE(YEAR(Table1[[#This Row],[معاش 01/01]])-1,MONTH(Table1[[#This Row],[تاريخ بلوغ 60 ]]),DAY(Table1[[#This Row],[تاريخ بلوغ 60 ]]))</f>
        <v>54670</v>
      </c>
      <c r="AE38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55035</v>
      </c>
      <c r="AF386" s="10" t="str">
        <f>IFERROR(IF(ISODD(MID(Table1[[#This Row],[الرقم القومي]],13,1)),"ذكر","انثي"),"")</f>
        <v>ذكر</v>
      </c>
      <c r="AG386" s="70" t="s">
        <v>2606</v>
      </c>
      <c r="AH386" s="3">
        <f>IF(MONTH(Table1[[#This Row],[تاريخ بلوغ 60 ]])&lt;&gt;1,1,0)</f>
        <v>1</v>
      </c>
      <c r="AI386" s="3">
        <f>IF(DAY(Table1[[#This Row],[تاريخ بلوغ 60 ]])&lt;&gt;1,1,0)</f>
        <v>1</v>
      </c>
      <c r="AJ386" s="4" t="s">
        <v>465</v>
      </c>
      <c r="AK386" s="4" t="s">
        <v>2689</v>
      </c>
      <c r="AL386" s="62" t="s">
        <v>2333</v>
      </c>
      <c r="AM386" s="62" t="s">
        <v>3036</v>
      </c>
      <c r="AN386" s="2">
        <v>1</v>
      </c>
      <c r="AO386" s="4" t="s">
        <v>2641</v>
      </c>
      <c r="AP386" s="74">
        <v>273.97000000000003</v>
      </c>
      <c r="AQ386" s="4">
        <v>12.5</v>
      </c>
      <c r="AR386" s="4">
        <v>2</v>
      </c>
      <c r="AS386" s="4" t="s">
        <v>2696</v>
      </c>
      <c r="AT386" s="72">
        <v>4</v>
      </c>
      <c r="AU386" s="2">
        <v>8</v>
      </c>
      <c r="AV386" s="4"/>
      <c r="AW386" s="4"/>
      <c r="AX386" s="4"/>
    </row>
    <row r="387" spans="1:50" ht="15" x14ac:dyDescent="0.2">
      <c r="A387" s="3">
        <v>34251</v>
      </c>
      <c r="B387" s="1" t="s">
        <v>468</v>
      </c>
      <c r="C387" s="3">
        <v>1</v>
      </c>
      <c r="D387" s="3" t="s">
        <v>465</v>
      </c>
      <c r="E387" s="3">
        <v>21</v>
      </c>
      <c r="F387" s="3" t="s">
        <v>474</v>
      </c>
      <c r="G387" s="7" t="s">
        <v>2335</v>
      </c>
      <c r="H387" s="3">
        <v>100</v>
      </c>
      <c r="I387" s="3" t="s">
        <v>1054</v>
      </c>
      <c r="J387" s="3">
        <v>18</v>
      </c>
      <c r="K387" s="3" t="s">
        <v>1529</v>
      </c>
      <c r="L387" s="3">
        <v>8</v>
      </c>
      <c r="M387" s="3" t="s">
        <v>506</v>
      </c>
      <c r="N387" s="3" t="s">
        <v>1054</v>
      </c>
      <c r="O387" s="10">
        <v>32785</v>
      </c>
      <c r="P387" s="10">
        <v>44335</v>
      </c>
      <c r="Q387" s="10"/>
      <c r="R387" s="10">
        <v>44335</v>
      </c>
      <c r="S387" s="23">
        <v>2549.1</v>
      </c>
      <c r="T387" s="3">
        <v>56213653</v>
      </c>
      <c r="U387" s="3">
        <v>28910040300319</v>
      </c>
      <c r="V387" s="4" t="s">
        <v>2337</v>
      </c>
      <c r="W387" s="4">
        <v>72788</v>
      </c>
      <c r="X387" s="4" t="s">
        <v>1583</v>
      </c>
      <c r="Y387" s="4">
        <v>2005</v>
      </c>
      <c r="Z387" s="3">
        <f ca="1">DATEDIF(Table1[[#This Row],[تاريخ الميلاد]],TODAY(),"y")</f>
        <v>36</v>
      </c>
      <c r="AA38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36 عام 10  شهر  16  يوم </v>
      </c>
      <c r="AB38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5عام3  شهر  1  يوم </v>
      </c>
      <c r="AC387" s="10">
        <f>DATE(YEAR(Table1[[#This Row],[تاريخ الميلاد]])+60,MONTH(Table1[[#This Row],[تاريخ الميلاد]]),DAY(Table1[[#This Row],[تاريخ الميلاد]]))</f>
        <v>54700</v>
      </c>
      <c r="AD387" s="14">
        <f>DATE(YEAR(Table1[[#This Row],[معاش 01/01]])-1,MONTH(Table1[[#This Row],[تاريخ بلوغ 60 ]]),DAY(Table1[[#This Row],[تاريخ بلوغ 60 ]]))</f>
        <v>54700</v>
      </c>
      <c r="AE38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55065</v>
      </c>
      <c r="AF387" s="10" t="str">
        <f>IFERROR(IF(ISODD(MID(Table1[[#This Row],[الرقم القومي]],13,1)),"ذكر","انثي"),"")</f>
        <v>ذكر</v>
      </c>
      <c r="AG387" s="70" t="s">
        <v>2606</v>
      </c>
      <c r="AH387" s="3">
        <f>IF(MONTH(Table1[[#This Row],[تاريخ بلوغ 60 ]])&lt;&gt;1,1,0)</f>
        <v>1</v>
      </c>
      <c r="AI387" s="3">
        <f>IF(DAY(Table1[[#This Row],[تاريخ بلوغ 60 ]])&lt;&gt;1,1,0)</f>
        <v>1</v>
      </c>
      <c r="AJ387" s="4" t="s">
        <v>465</v>
      </c>
      <c r="AK387" s="4" t="s">
        <v>2689</v>
      </c>
      <c r="AL387" s="62" t="s">
        <v>2336</v>
      </c>
      <c r="AM387" s="62" t="s">
        <v>3037</v>
      </c>
      <c r="AN387" s="2">
        <v>1</v>
      </c>
      <c r="AO387" s="4" t="s">
        <v>2641</v>
      </c>
      <c r="AP387" s="74">
        <v>301.14</v>
      </c>
      <c r="AQ387" s="4">
        <v>12.5</v>
      </c>
      <c r="AR387" s="4">
        <v>3</v>
      </c>
      <c r="AS387" s="4" t="s">
        <v>2668</v>
      </c>
      <c r="AT387" s="72">
        <v>6</v>
      </c>
      <c r="AU387" s="2">
        <v>8</v>
      </c>
      <c r="AV387" s="4"/>
      <c r="AW387" s="4"/>
      <c r="AX387" s="4"/>
    </row>
    <row r="388" spans="1:50" ht="15" x14ac:dyDescent="0.2">
      <c r="A388" s="3">
        <v>34410</v>
      </c>
      <c r="B388" s="1" t="s">
        <v>468</v>
      </c>
      <c r="C388" s="3">
        <v>1</v>
      </c>
      <c r="D388" s="3" t="s">
        <v>465</v>
      </c>
      <c r="E388" s="3">
        <v>3</v>
      </c>
      <c r="F388" s="3" t="s">
        <v>472</v>
      </c>
      <c r="G388" s="7" t="s">
        <v>325</v>
      </c>
      <c r="H388" s="3">
        <v>100</v>
      </c>
      <c r="I388" s="3" t="s">
        <v>1054</v>
      </c>
      <c r="J388" s="3">
        <v>18</v>
      </c>
      <c r="K388" s="3" t="s">
        <v>1529</v>
      </c>
      <c r="L388" s="3">
        <v>8</v>
      </c>
      <c r="M388" s="3" t="s">
        <v>506</v>
      </c>
      <c r="N388" s="3" t="s">
        <v>1054</v>
      </c>
      <c r="O388" s="10">
        <v>32432</v>
      </c>
      <c r="P388" s="10">
        <v>44743</v>
      </c>
      <c r="Q388" s="10"/>
      <c r="R388" s="10">
        <v>44743</v>
      </c>
      <c r="S388" s="23">
        <v>2282.4499999999998</v>
      </c>
      <c r="T388" s="3">
        <v>2022852</v>
      </c>
      <c r="U388" s="3">
        <v>28810160300253</v>
      </c>
      <c r="V388" s="4" t="s">
        <v>2339</v>
      </c>
      <c r="W388" s="4">
        <v>72842</v>
      </c>
      <c r="X388" s="4" t="s">
        <v>1583</v>
      </c>
      <c r="Y388" s="4">
        <v>2005</v>
      </c>
      <c r="Z388" s="3">
        <f ca="1">DATEDIF(Table1[[#This Row],[تاريخ الميلاد]],TODAY(),"y")</f>
        <v>37</v>
      </c>
      <c r="AA38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10  شهر  4  يوم </v>
      </c>
      <c r="AB38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88" s="10">
        <f>DATE(YEAR(Table1[[#This Row],[تاريخ الميلاد]])+60,MONTH(Table1[[#This Row],[تاريخ الميلاد]]),DAY(Table1[[#This Row],[تاريخ الميلاد]]))</f>
        <v>54347</v>
      </c>
      <c r="AD388" s="14">
        <f>DATE(YEAR(Table1[[#This Row],[معاش 01/01]])-1,MONTH(Table1[[#This Row],[تاريخ بلوغ 60 ]]),DAY(Table1[[#This Row],[تاريخ بلوغ 60 ]]))</f>
        <v>54347</v>
      </c>
      <c r="AE38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54712</v>
      </c>
      <c r="AF388" s="10" t="str">
        <f>IFERROR(IF(ISODD(MID(Table1[[#This Row],[الرقم القومي]],13,1)),"ذكر","انثي"),"")</f>
        <v>ذكر</v>
      </c>
      <c r="AG388" s="70" t="s">
        <v>2606</v>
      </c>
      <c r="AH388" s="3">
        <f>IF(MONTH(Table1[[#This Row],[تاريخ بلوغ 60 ]])&lt;&gt;1,1,0)</f>
        <v>1</v>
      </c>
      <c r="AI388" s="3">
        <f>IF(DAY(Table1[[#This Row],[تاريخ بلوغ 60 ]])&lt;&gt;1,1,0)</f>
        <v>1</v>
      </c>
      <c r="AJ388" s="4" t="s">
        <v>465</v>
      </c>
      <c r="AK388" s="4" t="s">
        <v>2636</v>
      </c>
      <c r="AL388" s="62" t="s">
        <v>2338</v>
      </c>
      <c r="AM388" s="62" t="s">
        <v>3038</v>
      </c>
      <c r="AN388" s="2">
        <v>1</v>
      </c>
      <c r="AO388" s="4" t="s">
        <v>2641</v>
      </c>
      <c r="AP388" s="74">
        <v>267.81</v>
      </c>
      <c r="AQ388" s="4">
        <v>12.5</v>
      </c>
      <c r="AR388" s="4">
        <v>3</v>
      </c>
      <c r="AS388" s="4" t="s">
        <v>2668</v>
      </c>
      <c r="AT388" s="72">
        <v>6</v>
      </c>
      <c r="AU388" s="2">
        <v>8</v>
      </c>
      <c r="AV388" s="4"/>
      <c r="AW388" s="4"/>
      <c r="AX388" s="4"/>
    </row>
    <row r="389" spans="1:50" ht="15" x14ac:dyDescent="0.2">
      <c r="A389" s="3">
        <v>34420</v>
      </c>
      <c r="B389" s="1" t="s">
        <v>468</v>
      </c>
      <c r="C389" s="3">
        <v>1</v>
      </c>
      <c r="D389" s="3" t="s">
        <v>465</v>
      </c>
      <c r="E389" s="3">
        <v>21</v>
      </c>
      <c r="F389" s="3" t="s">
        <v>474</v>
      </c>
      <c r="G389" s="7" t="s">
        <v>326</v>
      </c>
      <c r="H389" s="3">
        <v>100</v>
      </c>
      <c r="I389" s="3" t="s">
        <v>1054</v>
      </c>
      <c r="J389" s="3">
        <v>18</v>
      </c>
      <c r="K389" s="3" t="s">
        <v>1529</v>
      </c>
      <c r="L389" s="3">
        <v>8</v>
      </c>
      <c r="M389" s="3" t="s">
        <v>506</v>
      </c>
      <c r="N389" s="3" t="s">
        <v>1054</v>
      </c>
      <c r="O389" s="10">
        <v>31551</v>
      </c>
      <c r="P389" s="10">
        <v>44743</v>
      </c>
      <c r="Q389" s="10"/>
      <c r="R389" s="10">
        <v>44743</v>
      </c>
      <c r="S389" s="23">
        <v>2331.7600000000002</v>
      </c>
      <c r="T389" s="3">
        <v>62906727</v>
      </c>
      <c r="U389" s="3">
        <v>28605190300051</v>
      </c>
      <c r="V389" s="4" t="s">
        <v>2341</v>
      </c>
      <c r="W389" s="4">
        <v>72849</v>
      </c>
      <c r="X389" s="4" t="s">
        <v>1583</v>
      </c>
      <c r="Y389" s="4">
        <v>2002</v>
      </c>
      <c r="Z389" s="3">
        <f ca="1">DATEDIF(Table1[[#This Row],[تاريخ الميلاد]],TODAY(),"y")</f>
        <v>40</v>
      </c>
      <c r="AA38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40 عام 3  شهر  1  يوم </v>
      </c>
      <c r="AB38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89" s="10">
        <f>DATE(YEAR(Table1[[#This Row],[تاريخ الميلاد]])+60,MONTH(Table1[[#This Row],[تاريخ الميلاد]]),DAY(Table1[[#This Row],[تاريخ الميلاد]]))</f>
        <v>53466</v>
      </c>
      <c r="AD389" s="14">
        <f>DATE(YEAR(Table1[[#This Row],[معاش 01/01]])-1,MONTH(Table1[[#This Row],[تاريخ بلوغ 60 ]]),DAY(Table1[[#This Row],[تاريخ بلوغ 60 ]]))</f>
        <v>53466</v>
      </c>
      <c r="AE38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53831</v>
      </c>
      <c r="AF389" s="10" t="str">
        <f>IFERROR(IF(ISODD(MID(Table1[[#This Row],[الرقم القومي]],13,1)),"ذكر","انثي"),"")</f>
        <v>ذكر</v>
      </c>
      <c r="AG389" s="70" t="s">
        <v>2606</v>
      </c>
      <c r="AH389" s="3">
        <f>IF(MONTH(Table1[[#This Row],[تاريخ بلوغ 60 ]])&lt;&gt;1,1,0)</f>
        <v>1</v>
      </c>
      <c r="AI389" s="3">
        <f>IF(DAY(Table1[[#This Row],[تاريخ بلوغ 60 ]])&lt;&gt;1,1,0)</f>
        <v>1</v>
      </c>
      <c r="AJ389" s="4" t="s">
        <v>465</v>
      </c>
      <c r="AK389" s="4" t="s">
        <v>2666</v>
      </c>
      <c r="AL389" s="62" t="s">
        <v>2340</v>
      </c>
      <c r="AM389" s="62" t="s">
        <v>3039</v>
      </c>
      <c r="AN389" s="2">
        <v>1</v>
      </c>
      <c r="AO389" s="4" t="s">
        <v>2641</v>
      </c>
      <c r="AP389" s="74">
        <v>273.97000000000003</v>
      </c>
      <c r="AQ389" s="4">
        <v>12.5</v>
      </c>
      <c r="AR389" s="4">
        <v>3</v>
      </c>
      <c r="AS389" s="4" t="s">
        <v>2668</v>
      </c>
      <c r="AT389" s="72">
        <v>6</v>
      </c>
      <c r="AU389" s="2">
        <v>8</v>
      </c>
      <c r="AV389" s="4"/>
      <c r="AW389" s="4"/>
      <c r="AX389" s="4"/>
    </row>
    <row r="390" spans="1:50" ht="15" x14ac:dyDescent="0.2">
      <c r="A390" s="3">
        <v>34423</v>
      </c>
      <c r="B390" s="1" t="s">
        <v>468</v>
      </c>
      <c r="C390" s="3">
        <v>1</v>
      </c>
      <c r="D390" s="3" t="s">
        <v>465</v>
      </c>
      <c r="E390" s="3">
        <v>3</v>
      </c>
      <c r="F390" s="3" t="s">
        <v>472</v>
      </c>
      <c r="G390" s="7" t="s">
        <v>327</v>
      </c>
      <c r="H390" s="3">
        <v>100</v>
      </c>
      <c r="I390" s="3" t="s">
        <v>1054</v>
      </c>
      <c r="J390" s="3">
        <v>18</v>
      </c>
      <c r="K390" s="3" t="s">
        <v>1529</v>
      </c>
      <c r="L390" s="3">
        <v>8</v>
      </c>
      <c r="M390" s="3" t="s">
        <v>506</v>
      </c>
      <c r="N390" s="3" t="s">
        <v>1054</v>
      </c>
      <c r="O390" s="10">
        <v>33605</v>
      </c>
      <c r="P390" s="10">
        <v>44338</v>
      </c>
      <c r="Q390" s="10"/>
      <c r="R390" s="10">
        <v>44338</v>
      </c>
      <c r="S390" s="23">
        <v>2549.1</v>
      </c>
      <c r="T390" s="3">
        <v>71063103</v>
      </c>
      <c r="U390" s="3">
        <v>29201020300358</v>
      </c>
      <c r="V390" s="4" t="s">
        <v>2343</v>
      </c>
      <c r="W390" s="4">
        <v>72851</v>
      </c>
      <c r="X390" s="4" t="s">
        <v>1583</v>
      </c>
      <c r="Y390" s="4">
        <v>2009</v>
      </c>
      <c r="Z390" s="3">
        <f ca="1">DATEDIF(Table1[[#This Row],[تاريخ الميلاد]],TODAY(),"y")</f>
        <v>34</v>
      </c>
      <c r="AA39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34 عام 7  شهر  18  يوم </v>
      </c>
      <c r="AB39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5عام2  شهر  29  يوم </v>
      </c>
      <c r="AC390" s="10">
        <f>DATE(YEAR(Table1[[#This Row],[تاريخ الميلاد]])+60,MONTH(Table1[[#This Row],[تاريخ الميلاد]]),DAY(Table1[[#This Row],[تاريخ الميلاد]]))</f>
        <v>55520</v>
      </c>
      <c r="AD390" s="14">
        <f>DATE(YEAR(Table1[[#This Row],[معاش 01/01]])-1,MONTH(Table1[[#This Row],[تاريخ بلوغ 60 ]]),DAY(Table1[[#This Row],[تاريخ بلوغ 60 ]]))</f>
        <v>55520</v>
      </c>
      <c r="AE39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55886</v>
      </c>
      <c r="AF390" s="10" t="str">
        <f>IFERROR(IF(ISODD(MID(Table1[[#This Row],[الرقم القومي]],13,1)),"ذكر","انثي"),"")</f>
        <v>ذكر</v>
      </c>
      <c r="AG390" s="70" t="s">
        <v>2606</v>
      </c>
      <c r="AH390" s="3">
        <f>IF(MONTH(Table1[[#This Row],[تاريخ بلوغ 60 ]])&lt;&gt;1,1,0)</f>
        <v>0</v>
      </c>
      <c r="AI390" s="3">
        <f>IF(DAY(Table1[[#This Row],[تاريخ بلوغ 60 ]])&lt;&gt;1,1,0)</f>
        <v>1</v>
      </c>
      <c r="AJ390" s="4" t="s">
        <v>465</v>
      </c>
      <c r="AK390" s="4" t="s">
        <v>2730</v>
      </c>
      <c r="AL390" s="62" t="s">
        <v>2342</v>
      </c>
      <c r="AM390" s="62" t="s">
        <v>3040</v>
      </c>
      <c r="AN390" s="2">
        <v>1</v>
      </c>
      <c r="AO390" s="4" t="s">
        <v>2641</v>
      </c>
      <c r="AP390" s="74">
        <v>301.14</v>
      </c>
      <c r="AQ390" s="4">
        <v>12.5</v>
      </c>
      <c r="AR390" s="4">
        <v>2</v>
      </c>
      <c r="AS390" s="4" t="s">
        <v>2696</v>
      </c>
      <c r="AT390" s="72">
        <v>4</v>
      </c>
      <c r="AU390" s="2">
        <v>8</v>
      </c>
      <c r="AV390" s="4"/>
      <c r="AW390" s="4"/>
      <c r="AX390" s="4"/>
    </row>
    <row r="391" spans="1:50" ht="15" x14ac:dyDescent="0.2">
      <c r="A391" s="3">
        <v>34425</v>
      </c>
      <c r="B391" s="1" t="s">
        <v>468</v>
      </c>
      <c r="C391" s="3">
        <v>1</v>
      </c>
      <c r="D391" s="3" t="s">
        <v>465</v>
      </c>
      <c r="E391" s="3">
        <v>3</v>
      </c>
      <c r="F391" s="3" t="s">
        <v>472</v>
      </c>
      <c r="G391" s="7" t="s">
        <v>328</v>
      </c>
      <c r="H391" s="3">
        <v>100</v>
      </c>
      <c r="I391" s="3" t="s">
        <v>1054</v>
      </c>
      <c r="J391" s="3">
        <v>18</v>
      </c>
      <c r="K391" s="3" t="s">
        <v>1529</v>
      </c>
      <c r="L391" s="3">
        <v>8</v>
      </c>
      <c r="M391" s="3" t="s">
        <v>506</v>
      </c>
      <c r="N391" s="3" t="s">
        <v>1054</v>
      </c>
      <c r="O391" s="10">
        <v>32459</v>
      </c>
      <c r="P391" s="10">
        <v>44743</v>
      </c>
      <c r="Q391" s="10"/>
      <c r="R391" s="10">
        <v>44743</v>
      </c>
      <c r="S391" s="23">
        <v>2331.7600000000002</v>
      </c>
      <c r="T391" s="3">
        <v>60136387</v>
      </c>
      <c r="U391" s="3">
        <v>28811120300117</v>
      </c>
      <c r="V391" s="4" t="s">
        <v>2345</v>
      </c>
      <c r="W391" s="4">
        <v>72853</v>
      </c>
      <c r="X391" s="4" t="s">
        <v>1583</v>
      </c>
      <c r="Y391" s="4">
        <v>2005</v>
      </c>
      <c r="Z391" s="3">
        <f ca="1">DATEDIF(Table1[[#This Row],[تاريخ الميلاد]],TODAY(),"y")</f>
        <v>37</v>
      </c>
      <c r="AA39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9  شهر  8  يوم </v>
      </c>
      <c r="AB39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91" s="10">
        <f>DATE(YEAR(Table1[[#This Row],[تاريخ الميلاد]])+60,MONTH(Table1[[#This Row],[تاريخ الميلاد]]),DAY(Table1[[#This Row],[تاريخ الميلاد]]))</f>
        <v>54374</v>
      </c>
      <c r="AD391" s="14">
        <f>DATE(YEAR(Table1[[#This Row],[معاش 01/01]])-1,MONTH(Table1[[#This Row],[تاريخ بلوغ 60 ]]),DAY(Table1[[#This Row],[تاريخ بلوغ 60 ]]))</f>
        <v>54374</v>
      </c>
      <c r="AE39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54739</v>
      </c>
      <c r="AF391" s="10" t="str">
        <f>IFERROR(IF(ISODD(MID(Table1[[#This Row],[الرقم القومي]],13,1)),"ذكر","انثي"),"")</f>
        <v>ذكر</v>
      </c>
      <c r="AG391" s="70" t="s">
        <v>2606</v>
      </c>
      <c r="AH391" s="3">
        <f>IF(MONTH(Table1[[#This Row],[تاريخ بلوغ 60 ]])&lt;&gt;1,1,0)</f>
        <v>1</v>
      </c>
      <c r="AI391" s="3">
        <f>IF(DAY(Table1[[#This Row],[تاريخ بلوغ 60 ]])&lt;&gt;1,1,0)</f>
        <v>1</v>
      </c>
      <c r="AJ391" s="4" t="s">
        <v>465</v>
      </c>
      <c r="AK391" s="4" t="s">
        <v>2636</v>
      </c>
      <c r="AL391" s="62" t="s">
        <v>2344</v>
      </c>
      <c r="AM391" s="62" t="s">
        <v>3041</v>
      </c>
      <c r="AN391" s="2">
        <v>1</v>
      </c>
      <c r="AO391" s="4" t="s">
        <v>2641</v>
      </c>
      <c r="AP391" s="74">
        <v>273.97000000000003</v>
      </c>
      <c r="AQ391" s="4">
        <v>12.5</v>
      </c>
      <c r="AR391" s="4">
        <v>3</v>
      </c>
      <c r="AS391" s="4" t="s">
        <v>2668</v>
      </c>
      <c r="AT391" s="72">
        <v>6</v>
      </c>
      <c r="AU391" s="2">
        <v>8</v>
      </c>
      <c r="AV391" s="4"/>
      <c r="AW391" s="4"/>
      <c r="AX391" s="4"/>
    </row>
    <row r="392" spans="1:50" ht="15" x14ac:dyDescent="0.2">
      <c r="A392" s="3">
        <v>34434</v>
      </c>
      <c r="B392" s="1" t="s">
        <v>468</v>
      </c>
      <c r="C392" s="3">
        <v>1</v>
      </c>
      <c r="D392" s="3" t="s">
        <v>465</v>
      </c>
      <c r="E392" s="3">
        <v>3</v>
      </c>
      <c r="F392" s="3" t="s">
        <v>472</v>
      </c>
      <c r="G392" s="7" t="s">
        <v>329</v>
      </c>
      <c r="H392" s="3">
        <v>100</v>
      </c>
      <c r="I392" s="3" t="s">
        <v>1054</v>
      </c>
      <c r="J392" s="3">
        <v>18</v>
      </c>
      <c r="K392" s="3" t="s">
        <v>1529</v>
      </c>
      <c r="L392" s="3">
        <v>8</v>
      </c>
      <c r="M392" s="3" t="s">
        <v>506</v>
      </c>
      <c r="N392" s="3" t="s">
        <v>1054</v>
      </c>
      <c r="O392" s="10">
        <v>32707</v>
      </c>
      <c r="P392" s="10">
        <v>44743</v>
      </c>
      <c r="Q392" s="10"/>
      <c r="R392" s="10">
        <v>44743</v>
      </c>
      <c r="S392" s="23">
        <v>2282.4499999999998</v>
      </c>
      <c r="T392" s="3">
        <v>27520310</v>
      </c>
      <c r="U392" s="3">
        <v>28907180300156</v>
      </c>
      <c r="V392" s="4" t="s">
        <v>2347</v>
      </c>
      <c r="W392" s="4">
        <v>72856</v>
      </c>
      <c r="X392" s="4" t="s">
        <v>1583</v>
      </c>
      <c r="Y392" s="4">
        <v>2005</v>
      </c>
      <c r="Z392" s="3">
        <f ca="1">DATEDIF(Table1[[#This Row],[تاريخ الميلاد]],TODAY(),"y")</f>
        <v>37</v>
      </c>
      <c r="AA39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1  شهر  2  يوم </v>
      </c>
      <c r="AB39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19  يوم </v>
      </c>
      <c r="AC392" s="10">
        <f>DATE(YEAR(Table1[[#This Row],[تاريخ الميلاد]])+60,MONTH(Table1[[#This Row],[تاريخ الميلاد]]),DAY(Table1[[#This Row],[تاريخ الميلاد]]))</f>
        <v>54622</v>
      </c>
      <c r="AD392" s="14">
        <f>DATE(YEAR(Table1[[#This Row],[معاش 01/01]])-1,MONTH(Table1[[#This Row],[تاريخ بلوغ 60 ]]),DAY(Table1[[#This Row],[تاريخ بلوغ 60 ]]))</f>
        <v>54622</v>
      </c>
      <c r="AE39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54987</v>
      </c>
      <c r="AF392" s="10" t="str">
        <f>IFERROR(IF(ISODD(MID(Table1[[#This Row],[الرقم القومي]],13,1)),"ذكر","انثي"),"")</f>
        <v>ذكر</v>
      </c>
      <c r="AG392" s="70" t="s">
        <v>2606</v>
      </c>
      <c r="AH392" s="3">
        <f>IF(MONTH(Table1[[#This Row],[تاريخ بلوغ 60 ]])&lt;&gt;1,1,0)</f>
        <v>1</v>
      </c>
      <c r="AI392" s="3">
        <f>IF(DAY(Table1[[#This Row],[تاريخ بلوغ 60 ]])&lt;&gt;1,1,0)</f>
        <v>1</v>
      </c>
      <c r="AJ392" s="4" t="s">
        <v>465</v>
      </c>
      <c r="AK392" s="4">
        <v>0</v>
      </c>
      <c r="AL392" s="62" t="s">
        <v>2346</v>
      </c>
      <c r="AM392" s="62" t="s">
        <v>3042</v>
      </c>
      <c r="AN392" s="2">
        <v>1</v>
      </c>
      <c r="AO392" s="4" t="s">
        <v>2641</v>
      </c>
      <c r="AP392" s="74">
        <v>267.81</v>
      </c>
      <c r="AQ392" s="4">
        <v>12.5</v>
      </c>
      <c r="AR392" s="4">
        <v>0</v>
      </c>
      <c r="AS392" s="4" t="s">
        <v>2645</v>
      </c>
      <c r="AT392" s="72">
        <v>0</v>
      </c>
      <c r="AU392" s="2">
        <v>8</v>
      </c>
      <c r="AV392" s="4"/>
      <c r="AW392" s="4"/>
      <c r="AX392" s="4"/>
    </row>
    <row r="393" spans="1:50" ht="15" x14ac:dyDescent="0.2">
      <c r="A393" s="3">
        <v>35395</v>
      </c>
      <c r="B393" s="1" t="s">
        <v>468</v>
      </c>
      <c r="C393" s="3">
        <v>1</v>
      </c>
      <c r="D393" s="3" t="s">
        <v>465</v>
      </c>
      <c r="E393" s="3">
        <v>21</v>
      </c>
      <c r="F393" s="3" t="s">
        <v>474</v>
      </c>
      <c r="G393" s="7" t="s">
        <v>330</v>
      </c>
      <c r="H393" s="3">
        <v>225</v>
      </c>
      <c r="I393" s="3" t="s">
        <v>1551</v>
      </c>
      <c r="J393" s="3">
        <v>18</v>
      </c>
      <c r="K393" s="3" t="s">
        <v>1529</v>
      </c>
      <c r="L393" s="3">
        <v>8</v>
      </c>
      <c r="M393" s="3" t="s">
        <v>506</v>
      </c>
      <c r="N393" s="3" t="s">
        <v>1551</v>
      </c>
      <c r="O393" s="10">
        <v>34833</v>
      </c>
      <c r="P393" s="10">
        <v>44927</v>
      </c>
      <c r="Q393" s="10"/>
      <c r="R393" s="10">
        <v>44927</v>
      </c>
      <c r="S393" s="23">
        <v>2158.12</v>
      </c>
      <c r="T393" s="3">
        <v>72943735</v>
      </c>
      <c r="U393" s="3">
        <v>29505140300253</v>
      </c>
      <c r="V393" s="4" t="s">
        <v>2349</v>
      </c>
      <c r="W393" s="4">
        <v>73919</v>
      </c>
      <c r="X393" s="4" t="s">
        <v>1583</v>
      </c>
      <c r="Z393" s="3">
        <f ca="1">DATEDIF(Table1[[#This Row],[تاريخ الميلاد]],TODAY(),"y")</f>
        <v>31</v>
      </c>
      <c r="AA39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31 عام 3  شهر  6  يوم </v>
      </c>
      <c r="AB39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3عام7  شهر  19  يوم </v>
      </c>
      <c r="AC393" s="10">
        <f>DATE(YEAR(Table1[[#This Row],[تاريخ الميلاد]])+60,MONTH(Table1[[#This Row],[تاريخ الميلاد]]),DAY(Table1[[#This Row],[تاريخ الميلاد]]))</f>
        <v>56748</v>
      </c>
      <c r="AD393" s="14">
        <f>DATE(YEAR(Table1[[#This Row],[معاش 01/01]])-1,MONTH(Table1[[#This Row],[تاريخ بلوغ 60 ]]),DAY(Table1[[#This Row],[تاريخ بلوغ 60 ]]))</f>
        <v>56748</v>
      </c>
      <c r="AE39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57114</v>
      </c>
      <c r="AF393" s="10" t="str">
        <f>IFERROR(IF(ISODD(MID(Table1[[#This Row],[الرقم القومي]],13,1)),"ذكر","انثي"),"")</f>
        <v>ذكر</v>
      </c>
      <c r="AG393" s="70" t="s">
        <v>2606</v>
      </c>
      <c r="AH393" s="3">
        <f>IF(MONTH(Table1[[#This Row],[تاريخ بلوغ 60 ]])&lt;&gt;1,1,0)</f>
        <v>1</v>
      </c>
      <c r="AI393" s="3">
        <f>IF(DAY(Table1[[#This Row],[تاريخ بلوغ 60 ]])&lt;&gt;1,1,0)</f>
        <v>1</v>
      </c>
      <c r="AJ393" s="4" t="s">
        <v>465</v>
      </c>
      <c r="AK393" s="4" t="s">
        <v>2636</v>
      </c>
      <c r="AL393" s="62" t="s">
        <v>2348</v>
      </c>
      <c r="AM393" s="62" t="s">
        <v>3043</v>
      </c>
      <c r="AN393" s="2">
        <v>4</v>
      </c>
      <c r="AO393" s="4" t="s">
        <v>2641</v>
      </c>
      <c r="AP393" s="74">
        <v>504.53</v>
      </c>
      <c r="AQ393" s="4">
        <v>25</v>
      </c>
      <c r="AR393" s="4">
        <v>8</v>
      </c>
      <c r="AS393" s="4" t="s">
        <v>2851</v>
      </c>
      <c r="AT393" s="72">
        <v>2</v>
      </c>
      <c r="AU393" s="2">
        <v>8</v>
      </c>
      <c r="AV393" s="4"/>
      <c r="AW393" s="4"/>
      <c r="AX393" s="4"/>
    </row>
    <row r="394" spans="1:50" ht="15" x14ac:dyDescent="0.2">
      <c r="A394" s="3">
        <v>35802</v>
      </c>
      <c r="B394" s="1" t="s">
        <v>468</v>
      </c>
      <c r="C394" s="3">
        <v>1</v>
      </c>
      <c r="D394" s="3" t="s">
        <v>465</v>
      </c>
      <c r="E394" s="3">
        <v>21</v>
      </c>
      <c r="F394" s="3" t="s">
        <v>474</v>
      </c>
      <c r="G394" s="7" t="s">
        <v>331</v>
      </c>
      <c r="H394" s="3">
        <v>99</v>
      </c>
      <c r="I394" s="3" t="s">
        <v>1047</v>
      </c>
      <c r="J394" s="3">
        <v>18</v>
      </c>
      <c r="K394" s="3" t="s">
        <v>1529</v>
      </c>
      <c r="L394" s="3">
        <v>8</v>
      </c>
      <c r="M394" s="3" t="s">
        <v>506</v>
      </c>
      <c r="N394" s="3" t="s">
        <v>1047</v>
      </c>
      <c r="O394" s="10">
        <v>32071</v>
      </c>
      <c r="P394" s="10">
        <v>44927</v>
      </c>
      <c r="Q394" s="10"/>
      <c r="R394" s="10">
        <v>44927</v>
      </c>
      <c r="S394" s="23">
        <v>2158.12</v>
      </c>
      <c r="T394" s="3">
        <v>59358671</v>
      </c>
      <c r="U394" s="3">
        <v>28710210300239</v>
      </c>
      <c r="V394" s="4" t="s">
        <v>2351</v>
      </c>
      <c r="W394" s="4">
        <v>74133</v>
      </c>
      <c r="X394" s="4" t="s">
        <v>1583</v>
      </c>
      <c r="Z394" s="3">
        <f ca="1">DATEDIF(Table1[[#This Row],[تاريخ الميلاد]],TODAY(),"y")</f>
        <v>38</v>
      </c>
      <c r="AA39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9  شهر  30  يوم </v>
      </c>
      <c r="AB39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3عام7  شهر  19  يوم </v>
      </c>
      <c r="AC394" s="10">
        <f>DATE(YEAR(Table1[[#This Row],[تاريخ الميلاد]])+60,MONTH(Table1[[#This Row],[تاريخ الميلاد]]),DAY(Table1[[#This Row],[تاريخ الميلاد]]))</f>
        <v>53986</v>
      </c>
      <c r="AD394" s="14">
        <f>DATE(YEAR(Table1[[#This Row],[معاش 01/01]])-1,MONTH(Table1[[#This Row],[تاريخ بلوغ 60 ]]),DAY(Table1[[#This Row],[تاريخ بلوغ 60 ]]))</f>
        <v>53986</v>
      </c>
      <c r="AE39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54352</v>
      </c>
      <c r="AF394" s="10" t="str">
        <f>IFERROR(IF(ISODD(MID(Table1[[#This Row],[الرقم القومي]],13,1)),"ذكر","انثي"),"")</f>
        <v>ذكر</v>
      </c>
      <c r="AG394" s="70" t="s">
        <v>2606</v>
      </c>
      <c r="AH394" s="3">
        <f>IF(MONTH(Table1[[#This Row],[تاريخ بلوغ 60 ]])&lt;&gt;1,1,0)</f>
        <v>1</v>
      </c>
      <c r="AI394" s="3">
        <f>IF(DAY(Table1[[#This Row],[تاريخ بلوغ 60 ]])&lt;&gt;1,1,0)</f>
        <v>1</v>
      </c>
      <c r="AJ394" s="4" t="s">
        <v>465</v>
      </c>
      <c r="AK394" s="4" t="s">
        <v>2730</v>
      </c>
      <c r="AL394" s="62" t="s">
        <v>2350</v>
      </c>
      <c r="AM394" s="62" t="s">
        <v>3044</v>
      </c>
      <c r="AN394" s="2">
        <v>4</v>
      </c>
      <c r="AO394" s="4" t="s">
        <v>2641</v>
      </c>
      <c r="AP394" s="74">
        <v>504.53</v>
      </c>
      <c r="AQ394" s="4">
        <v>25</v>
      </c>
      <c r="AR394" s="4">
        <v>3</v>
      </c>
      <c r="AS394" s="4" t="s">
        <v>2668</v>
      </c>
      <c r="AT394" s="72">
        <v>6</v>
      </c>
      <c r="AU394" s="2">
        <v>8</v>
      </c>
      <c r="AV394" s="4"/>
      <c r="AW394" s="4"/>
      <c r="AX394" s="4"/>
    </row>
    <row r="395" spans="1:50" ht="15" x14ac:dyDescent="0.2">
      <c r="A395" s="3">
        <v>35818</v>
      </c>
      <c r="B395" s="1" t="s">
        <v>468</v>
      </c>
      <c r="C395" s="3">
        <v>1</v>
      </c>
      <c r="D395" s="3" t="s">
        <v>465</v>
      </c>
      <c r="E395" s="3">
        <v>21</v>
      </c>
      <c r="F395" s="3" t="s">
        <v>474</v>
      </c>
      <c r="G395" s="7" t="s">
        <v>332</v>
      </c>
      <c r="H395" s="3">
        <v>99</v>
      </c>
      <c r="I395" s="3" t="s">
        <v>1047</v>
      </c>
      <c r="J395" s="3">
        <v>18</v>
      </c>
      <c r="K395" s="3" t="s">
        <v>1529</v>
      </c>
      <c r="L395" s="3">
        <v>8</v>
      </c>
      <c r="M395" s="3" t="s">
        <v>506</v>
      </c>
      <c r="N395" s="3" t="s">
        <v>1047</v>
      </c>
      <c r="O395" s="10">
        <v>31888</v>
      </c>
      <c r="P395" s="10">
        <v>44927</v>
      </c>
      <c r="Q395" s="10"/>
      <c r="R395" s="10">
        <v>44927</v>
      </c>
      <c r="S395" s="23">
        <v>2158.12</v>
      </c>
      <c r="T395" s="3">
        <v>18037536</v>
      </c>
      <c r="U395" s="3">
        <v>28704210300131</v>
      </c>
      <c r="V395" s="4" t="s">
        <v>2353</v>
      </c>
      <c r="W395" s="4">
        <v>74135</v>
      </c>
      <c r="X395" s="4" t="s">
        <v>1583</v>
      </c>
      <c r="Y395" s="4">
        <v>2004</v>
      </c>
      <c r="Z395" s="3">
        <f ca="1">DATEDIF(Table1[[#This Row],[تاريخ الميلاد]],TODAY(),"y")</f>
        <v>39</v>
      </c>
      <c r="AA39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39 عام 3  شهر  30  يوم </v>
      </c>
      <c r="AB39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3عام7  شهر  19  يوم </v>
      </c>
      <c r="AC395" s="10">
        <f>DATE(YEAR(Table1[[#This Row],[تاريخ الميلاد]])+60,MONTH(Table1[[#This Row],[تاريخ الميلاد]]),DAY(Table1[[#This Row],[تاريخ الميلاد]]))</f>
        <v>53803</v>
      </c>
      <c r="AD395" s="14">
        <f>DATE(YEAR(Table1[[#This Row],[معاش 01/01]])-1,MONTH(Table1[[#This Row],[تاريخ بلوغ 60 ]]),DAY(Table1[[#This Row],[تاريخ بلوغ 60 ]]))</f>
        <v>53803</v>
      </c>
      <c r="AE39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54169</v>
      </c>
      <c r="AF395" s="10" t="str">
        <f>IFERROR(IF(ISODD(MID(Table1[[#This Row],[الرقم القومي]],13,1)),"ذكر","انثي"),"")</f>
        <v>ذكر</v>
      </c>
      <c r="AG395" s="70" t="s">
        <v>2606</v>
      </c>
      <c r="AH395" s="3">
        <f>IF(MONTH(Table1[[#This Row],[تاريخ بلوغ 60 ]])&lt;&gt;1,1,0)</f>
        <v>1</v>
      </c>
      <c r="AI395" s="3">
        <f>IF(DAY(Table1[[#This Row],[تاريخ بلوغ 60 ]])&lt;&gt;1,1,0)</f>
        <v>1</v>
      </c>
      <c r="AJ395" s="4" t="s">
        <v>465</v>
      </c>
      <c r="AK395" s="4" t="s">
        <v>2636</v>
      </c>
      <c r="AL395" s="62" t="s">
        <v>2352</v>
      </c>
      <c r="AM395" s="62" t="s">
        <v>3045</v>
      </c>
      <c r="AN395" s="2">
        <v>4</v>
      </c>
      <c r="AO395" s="4" t="s">
        <v>2641</v>
      </c>
      <c r="AP395" s="74">
        <v>504.53</v>
      </c>
      <c r="AQ395" s="4">
        <v>25</v>
      </c>
      <c r="AR395" s="4">
        <v>3</v>
      </c>
      <c r="AS395" s="4" t="s">
        <v>2668</v>
      </c>
      <c r="AT395" s="72">
        <v>6</v>
      </c>
      <c r="AU395" s="2">
        <v>8</v>
      </c>
      <c r="AV395" s="4"/>
      <c r="AW395" s="4"/>
      <c r="AX395" s="4"/>
    </row>
    <row r="396" spans="1:50" ht="15" x14ac:dyDescent="0.2">
      <c r="A396" s="3">
        <v>35836</v>
      </c>
      <c r="B396" s="1" t="s">
        <v>468</v>
      </c>
      <c r="C396" s="3">
        <v>1</v>
      </c>
      <c r="D396" s="3" t="s">
        <v>465</v>
      </c>
      <c r="E396" s="3">
        <v>21</v>
      </c>
      <c r="F396" s="3" t="s">
        <v>474</v>
      </c>
      <c r="G396" s="7" t="s">
        <v>333</v>
      </c>
      <c r="H396" s="3">
        <v>99</v>
      </c>
      <c r="I396" s="3" t="s">
        <v>1047</v>
      </c>
      <c r="J396" s="3">
        <v>18</v>
      </c>
      <c r="K396" s="3" t="s">
        <v>1529</v>
      </c>
      <c r="L396" s="3">
        <v>8</v>
      </c>
      <c r="M396" s="3" t="s">
        <v>506</v>
      </c>
      <c r="N396" s="3" t="s">
        <v>1047</v>
      </c>
      <c r="O396" s="10">
        <v>32078</v>
      </c>
      <c r="P396" s="10">
        <v>44927</v>
      </c>
      <c r="Q396" s="10"/>
      <c r="R396" s="10">
        <v>44927</v>
      </c>
      <c r="S396" s="23">
        <v>2158.12</v>
      </c>
      <c r="T396" s="3">
        <v>56423461</v>
      </c>
      <c r="U396" s="3">
        <v>28710280300236</v>
      </c>
      <c r="V396" s="4" t="s">
        <v>2355</v>
      </c>
      <c r="W396" s="4">
        <v>74137</v>
      </c>
      <c r="X396" s="4" t="s">
        <v>1583</v>
      </c>
      <c r="Y396" s="4">
        <v>2004</v>
      </c>
      <c r="Z396" s="3">
        <f ca="1">DATEDIF(Table1[[#This Row],[تاريخ الميلاد]],TODAY(),"y")</f>
        <v>38</v>
      </c>
      <c r="AA39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9  شهر  23  يوم </v>
      </c>
      <c r="AB39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3عام7  شهر  19  يوم </v>
      </c>
      <c r="AC396" s="10">
        <f>DATE(YEAR(Table1[[#This Row],[تاريخ الميلاد]])+60,MONTH(Table1[[#This Row],[تاريخ الميلاد]]),DAY(Table1[[#This Row],[تاريخ الميلاد]]))</f>
        <v>53993</v>
      </c>
      <c r="AD396" s="14">
        <f>DATE(YEAR(Table1[[#This Row],[معاش 01/01]])-1,MONTH(Table1[[#This Row],[تاريخ بلوغ 60 ]]),DAY(Table1[[#This Row],[تاريخ بلوغ 60 ]]))</f>
        <v>53993</v>
      </c>
      <c r="AE39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54359</v>
      </c>
      <c r="AF396" s="10" t="str">
        <f>IFERROR(IF(ISODD(MID(Table1[[#This Row],[الرقم القومي]],13,1)),"ذكر","انثي"),"")</f>
        <v>ذكر</v>
      </c>
      <c r="AG396" s="70" t="s">
        <v>2606</v>
      </c>
      <c r="AH396" s="3">
        <f>IF(MONTH(Table1[[#This Row],[تاريخ بلوغ 60 ]])&lt;&gt;1,1,0)</f>
        <v>1</v>
      </c>
      <c r="AI396" s="3">
        <f>IF(DAY(Table1[[#This Row],[تاريخ بلوغ 60 ]])&lt;&gt;1,1,0)</f>
        <v>1</v>
      </c>
      <c r="AJ396" s="4" t="s">
        <v>465</v>
      </c>
      <c r="AK396" s="4" t="s">
        <v>2666</v>
      </c>
      <c r="AL396" s="62" t="s">
        <v>2354</v>
      </c>
      <c r="AM396" s="62" t="s">
        <v>3046</v>
      </c>
      <c r="AN396" s="2">
        <v>4</v>
      </c>
      <c r="AO396" s="4" t="s">
        <v>2641</v>
      </c>
      <c r="AP396" s="74">
        <v>504.53</v>
      </c>
      <c r="AQ396" s="4">
        <v>25</v>
      </c>
      <c r="AR396" s="4">
        <v>3</v>
      </c>
      <c r="AS396" s="4" t="s">
        <v>2668</v>
      </c>
      <c r="AT396" s="72">
        <v>6</v>
      </c>
      <c r="AU396" s="2">
        <v>8</v>
      </c>
      <c r="AV396" s="4"/>
      <c r="AW396" s="4"/>
      <c r="AX396" s="4"/>
    </row>
    <row r="397" spans="1:50" ht="15" x14ac:dyDescent="0.2">
      <c r="A397" s="3">
        <v>35869</v>
      </c>
      <c r="B397" s="1" t="s">
        <v>468</v>
      </c>
      <c r="C397" s="3">
        <v>1</v>
      </c>
      <c r="D397" s="3" t="s">
        <v>465</v>
      </c>
      <c r="E397" s="3">
        <v>21</v>
      </c>
      <c r="F397" s="3" t="s">
        <v>474</v>
      </c>
      <c r="G397" s="7" t="s">
        <v>2356</v>
      </c>
      <c r="H397" s="3">
        <v>99</v>
      </c>
      <c r="I397" s="3" t="s">
        <v>1047</v>
      </c>
      <c r="J397" s="3">
        <v>18</v>
      </c>
      <c r="K397" s="3" t="s">
        <v>1529</v>
      </c>
      <c r="L397" s="3">
        <v>7</v>
      </c>
      <c r="M397" s="3" t="s">
        <v>504</v>
      </c>
      <c r="N397" s="3" t="s">
        <v>1053</v>
      </c>
      <c r="O397" s="10">
        <v>30911</v>
      </c>
      <c r="P397" s="10">
        <v>44140</v>
      </c>
      <c r="Q397" s="10"/>
      <c r="R397" s="10">
        <v>46022</v>
      </c>
      <c r="S397" s="23">
        <v>2670.56</v>
      </c>
      <c r="T397" s="3">
        <v>57357603</v>
      </c>
      <c r="U397" s="3">
        <v>28408170300135</v>
      </c>
      <c r="V397" s="4" t="s">
        <v>2358</v>
      </c>
      <c r="W397" s="4">
        <v>74136</v>
      </c>
      <c r="X397" s="4" t="s">
        <v>1583</v>
      </c>
      <c r="Z397" s="3">
        <f ca="1">DATEDIF(Table1[[#This Row],[تاريخ الميلاد]],TODAY(),"y")</f>
        <v>42</v>
      </c>
      <c r="AA39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42 عام 0  شهر  3  يوم </v>
      </c>
      <c r="AB39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5عام9  شهر  15  يوم </v>
      </c>
      <c r="AC397" s="10">
        <f>DATE(YEAR(Table1[[#This Row],[تاريخ الميلاد]])+60,MONTH(Table1[[#This Row],[تاريخ الميلاد]]),DAY(Table1[[#This Row],[تاريخ الميلاد]]))</f>
        <v>52826</v>
      </c>
      <c r="AD397" s="14">
        <f>DATE(YEAR(Table1[[#This Row],[معاش 01/01]])-1,MONTH(Table1[[#This Row],[تاريخ بلوغ 60 ]]),DAY(Table1[[#This Row],[تاريخ بلوغ 60 ]]))</f>
        <v>52826</v>
      </c>
      <c r="AE39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53191</v>
      </c>
      <c r="AF397" s="10" t="str">
        <f>IFERROR(IF(ISODD(MID(Table1[[#This Row],[الرقم القومي]],13,1)),"ذكر","انثي"),"")</f>
        <v>ذكر</v>
      </c>
      <c r="AG397" s="70" t="s">
        <v>2606</v>
      </c>
      <c r="AH397" s="3">
        <f>IF(MONTH(Table1[[#This Row],[تاريخ بلوغ 60 ]])&lt;&gt;1,1,0)</f>
        <v>1</v>
      </c>
      <c r="AI397" s="3">
        <f>IF(DAY(Table1[[#This Row],[تاريخ بلوغ 60 ]])&lt;&gt;1,1,0)</f>
        <v>1</v>
      </c>
      <c r="AJ397" s="4" t="s">
        <v>465</v>
      </c>
      <c r="AK397" s="4" t="s">
        <v>2636</v>
      </c>
      <c r="AL397" s="62" t="s">
        <v>2357</v>
      </c>
      <c r="AM397" s="62" t="s">
        <v>3047</v>
      </c>
      <c r="AN397" s="2">
        <v>4</v>
      </c>
      <c r="AO397" s="4" t="s">
        <v>2641</v>
      </c>
      <c r="AP397" s="74">
        <v>632.64</v>
      </c>
      <c r="AQ397" s="4">
        <v>25</v>
      </c>
      <c r="AR397" s="4">
        <v>3</v>
      </c>
      <c r="AS397" s="4" t="s">
        <v>2668</v>
      </c>
      <c r="AT397" s="72">
        <v>6</v>
      </c>
      <c r="AU397" s="2">
        <v>7</v>
      </c>
      <c r="AV397" s="4"/>
      <c r="AW397" s="4"/>
      <c r="AX397" s="4"/>
    </row>
    <row r="398" spans="1:50" ht="15" x14ac:dyDescent="0.2">
      <c r="A398" s="3">
        <v>35875</v>
      </c>
      <c r="B398" s="1" t="s">
        <v>468</v>
      </c>
      <c r="C398" s="3">
        <v>1</v>
      </c>
      <c r="D398" s="3" t="s">
        <v>465</v>
      </c>
      <c r="E398" s="3">
        <v>21</v>
      </c>
      <c r="F398" s="3" t="s">
        <v>474</v>
      </c>
      <c r="G398" s="7" t="s">
        <v>334</v>
      </c>
      <c r="H398" s="3">
        <v>99</v>
      </c>
      <c r="I398" s="3" t="s">
        <v>1047</v>
      </c>
      <c r="J398" s="3">
        <v>18</v>
      </c>
      <c r="K398" s="3" t="s">
        <v>1529</v>
      </c>
      <c r="L398" s="3">
        <v>8</v>
      </c>
      <c r="M398" s="3" t="s">
        <v>506</v>
      </c>
      <c r="N398" s="3" t="s">
        <v>1047</v>
      </c>
      <c r="O398" s="10">
        <v>30790</v>
      </c>
      <c r="P398" s="10">
        <v>44927</v>
      </c>
      <c r="Q398" s="10"/>
      <c r="R398" s="10">
        <v>44927</v>
      </c>
      <c r="S398" s="23">
        <v>2204.21</v>
      </c>
      <c r="T398" s="3">
        <v>54429468</v>
      </c>
      <c r="U398" s="3">
        <v>28404180300138</v>
      </c>
      <c r="V398" s="4" t="s">
        <v>2360</v>
      </c>
      <c r="W398" s="4">
        <v>74138</v>
      </c>
      <c r="X398" s="4" t="s">
        <v>1583</v>
      </c>
      <c r="Z398" s="3">
        <f ca="1">DATEDIF(Table1[[#This Row],[تاريخ الميلاد]],TODAY(),"y")</f>
        <v>42</v>
      </c>
      <c r="AA39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42 عام 4  شهر  2  يوم </v>
      </c>
      <c r="AB39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3عام7  شهر  19  يوم </v>
      </c>
      <c r="AC398" s="10">
        <f>DATE(YEAR(Table1[[#This Row],[تاريخ الميلاد]])+60,MONTH(Table1[[#This Row],[تاريخ الميلاد]]),DAY(Table1[[#This Row],[تاريخ الميلاد]]))</f>
        <v>52705</v>
      </c>
      <c r="AD398" s="14">
        <f>DATE(YEAR(Table1[[#This Row],[معاش 01/01]])-1,MONTH(Table1[[#This Row],[تاريخ بلوغ 60 ]]),DAY(Table1[[#This Row],[تاريخ بلوغ 60 ]]))</f>
        <v>52705</v>
      </c>
      <c r="AE39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53070</v>
      </c>
      <c r="AF398" s="10" t="str">
        <f>IFERROR(IF(ISODD(MID(Table1[[#This Row],[الرقم القومي]],13,1)),"ذكر","انثي"),"")</f>
        <v>ذكر</v>
      </c>
      <c r="AG398" s="70" t="s">
        <v>2606</v>
      </c>
      <c r="AH398" s="3">
        <f>IF(MONTH(Table1[[#This Row],[تاريخ بلوغ 60 ]])&lt;&gt;1,1,0)</f>
        <v>1</v>
      </c>
      <c r="AI398" s="3">
        <f>IF(DAY(Table1[[#This Row],[تاريخ بلوغ 60 ]])&lt;&gt;1,1,0)</f>
        <v>1</v>
      </c>
      <c r="AJ398" s="4" t="s">
        <v>465</v>
      </c>
      <c r="AK398" s="4" t="s">
        <v>2730</v>
      </c>
      <c r="AL398" s="62" t="s">
        <v>2359</v>
      </c>
      <c r="AM398" s="62" t="s">
        <v>3048</v>
      </c>
      <c r="AN398" s="2">
        <v>4</v>
      </c>
      <c r="AO398" s="4" t="s">
        <v>2641</v>
      </c>
      <c r="AP398" s="74">
        <v>516.04999999999995</v>
      </c>
      <c r="AQ398" s="4">
        <v>25</v>
      </c>
      <c r="AR398" s="4">
        <v>3</v>
      </c>
      <c r="AS398" s="4" t="s">
        <v>2668</v>
      </c>
      <c r="AT398" s="72">
        <v>6</v>
      </c>
      <c r="AU398" s="2">
        <v>8</v>
      </c>
      <c r="AV398" s="4"/>
      <c r="AW398" s="4"/>
      <c r="AX398" s="4"/>
    </row>
    <row r="399" spans="1:50" ht="15" x14ac:dyDescent="0.2">
      <c r="A399" s="3">
        <v>35881</v>
      </c>
      <c r="B399" s="1" t="s">
        <v>468</v>
      </c>
      <c r="C399" s="3">
        <v>1</v>
      </c>
      <c r="D399" s="3" t="s">
        <v>465</v>
      </c>
      <c r="E399" s="3">
        <v>21</v>
      </c>
      <c r="F399" s="3" t="s">
        <v>474</v>
      </c>
      <c r="G399" s="7" t="s">
        <v>335</v>
      </c>
      <c r="H399" s="3">
        <v>99</v>
      </c>
      <c r="I399" s="3" t="s">
        <v>1047</v>
      </c>
      <c r="J399" s="3">
        <v>18</v>
      </c>
      <c r="K399" s="3" t="s">
        <v>1529</v>
      </c>
      <c r="L399" s="3">
        <v>8</v>
      </c>
      <c r="M399" s="3" t="s">
        <v>506</v>
      </c>
      <c r="N399" s="3" t="s">
        <v>1047</v>
      </c>
      <c r="O399" s="10">
        <v>31560</v>
      </c>
      <c r="P399" s="10">
        <v>44139</v>
      </c>
      <c r="Q399" s="10"/>
      <c r="R399" s="10">
        <v>44139</v>
      </c>
      <c r="S399" s="23">
        <v>2495.84</v>
      </c>
      <c r="T399" s="3">
        <v>64284181</v>
      </c>
      <c r="U399" s="3">
        <v>28605280300211</v>
      </c>
      <c r="V399" s="4" t="s">
        <v>2362</v>
      </c>
      <c r="W399" s="4">
        <v>74141</v>
      </c>
      <c r="X399" s="4" t="s">
        <v>1583</v>
      </c>
      <c r="Y399" s="4">
        <v>2004</v>
      </c>
      <c r="Z399" s="3">
        <f ca="1">DATEDIF(Table1[[#This Row],[تاريخ الميلاد]],TODAY(),"y")</f>
        <v>40</v>
      </c>
      <c r="AA39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40 عام 2  شهر  23  يوم </v>
      </c>
      <c r="AB39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5عام9  شهر  16  يوم </v>
      </c>
      <c r="AC399" s="10">
        <f>DATE(YEAR(Table1[[#This Row],[تاريخ الميلاد]])+60,MONTH(Table1[[#This Row],[تاريخ الميلاد]]),DAY(Table1[[#This Row],[تاريخ الميلاد]]))</f>
        <v>53475</v>
      </c>
      <c r="AD399" s="14">
        <f>DATE(YEAR(Table1[[#This Row],[معاش 01/01]])-1,MONTH(Table1[[#This Row],[تاريخ بلوغ 60 ]]),DAY(Table1[[#This Row],[تاريخ بلوغ 60 ]]))</f>
        <v>53475</v>
      </c>
      <c r="AE39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53840</v>
      </c>
      <c r="AF399" s="10" t="str">
        <f>IFERROR(IF(ISODD(MID(Table1[[#This Row],[الرقم القومي]],13,1)),"ذكر","انثي"),"")</f>
        <v>ذكر</v>
      </c>
      <c r="AG399" s="70" t="s">
        <v>2606</v>
      </c>
      <c r="AH399" s="3">
        <f>IF(MONTH(Table1[[#This Row],[تاريخ بلوغ 60 ]])&lt;&gt;1,1,0)</f>
        <v>1</v>
      </c>
      <c r="AI399" s="3">
        <f>IF(DAY(Table1[[#This Row],[تاريخ بلوغ 60 ]])&lt;&gt;1,1,0)</f>
        <v>1</v>
      </c>
      <c r="AJ399" s="4" t="s">
        <v>465</v>
      </c>
      <c r="AK399" s="4" t="s">
        <v>2636</v>
      </c>
      <c r="AL399" s="62" t="s">
        <v>2361</v>
      </c>
      <c r="AM399" s="62" t="s">
        <v>3049</v>
      </c>
      <c r="AN399" s="2">
        <v>4</v>
      </c>
      <c r="AO399" s="4" t="s">
        <v>2641</v>
      </c>
      <c r="AP399" s="74">
        <v>588.96</v>
      </c>
      <c r="AQ399" s="4">
        <v>25</v>
      </c>
      <c r="AR399" s="4">
        <v>3</v>
      </c>
      <c r="AS399" s="4" t="s">
        <v>2668</v>
      </c>
      <c r="AT399" s="72">
        <v>6</v>
      </c>
      <c r="AU399" s="2">
        <v>8</v>
      </c>
      <c r="AV399" s="4"/>
      <c r="AW399" s="4"/>
      <c r="AX399" s="4"/>
    </row>
    <row r="400" spans="1:50" ht="15" x14ac:dyDescent="0.2">
      <c r="A400" s="3">
        <v>35883</v>
      </c>
      <c r="B400" s="1" t="s">
        <v>468</v>
      </c>
      <c r="C400" s="3">
        <v>1</v>
      </c>
      <c r="D400" s="3" t="s">
        <v>465</v>
      </c>
      <c r="E400" s="3">
        <v>21</v>
      </c>
      <c r="F400" s="3" t="s">
        <v>474</v>
      </c>
      <c r="G400" s="7" t="s">
        <v>336</v>
      </c>
      <c r="H400" s="3">
        <v>99</v>
      </c>
      <c r="I400" s="3" t="s">
        <v>1047</v>
      </c>
      <c r="J400" s="3">
        <v>18</v>
      </c>
      <c r="K400" s="3" t="s">
        <v>1529</v>
      </c>
      <c r="L400" s="3">
        <v>8</v>
      </c>
      <c r="M400" s="3" t="s">
        <v>506</v>
      </c>
      <c r="N400" s="3" t="s">
        <v>1047</v>
      </c>
      <c r="O400" s="10">
        <v>32155</v>
      </c>
      <c r="P400" s="10">
        <v>44927</v>
      </c>
      <c r="Q400" s="10"/>
      <c r="R400" s="10">
        <v>44927</v>
      </c>
      <c r="S400" s="23">
        <v>2204.21</v>
      </c>
      <c r="T400" s="3">
        <v>63973034</v>
      </c>
      <c r="U400" s="3">
        <v>28801130300179</v>
      </c>
      <c r="V400" s="4" t="s">
        <v>2364</v>
      </c>
      <c r="W400" s="4">
        <v>74145</v>
      </c>
      <c r="X400" s="4" t="s">
        <v>1583</v>
      </c>
      <c r="Z400" s="3">
        <f ca="1">DATEDIF(Table1[[#This Row],[تاريخ الميلاد]],TODAY(),"y")</f>
        <v>38</v>
      </c>
      <c r="AA40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7  شهر  7  يوم </v>
      </c>
      <c r="AB40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3عام7  شهر  19  يوم </v>
      </c>
      <c r="AC400" s="10">
        <f>DATE(YEAR(Table1[[#This Row],[تاريخ الميلاد]])+60,MONTH(Table1[[#This Row],[تاريخ الميلاد]]),DAY(Table1[[#This Row],[تاريخ الميلاد]]))</f>
        <v>54070</v>
      </c>
      <c r="AD400" s="14">
        <f>DATE(YEAR(Table1[[#This Row],[معاش 01/01]])-1,MONTH(Table1[[#This Row],[تاريخ بلوغ 60 ]]),DAY(Table1[[#This Row],[تاريخ بلوغ 60 ]]))</f>
        <v>54070</v>
      </c>
      <c r="AE40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54436</v>
      </c>
      <c r="AF400" s="10" t="str">
        <f>IFERROR(IF(ISODD(MID(Table1[[#This Row],[الرقم القومي]],13,1)),"ذكر","انثي"),"")</f>
        <v>ذكر</v>
      </c>
      <c r="AG400" s="70" t="s">
        <v>2606</v>
      </c>
      <c r="AH400" s="3">
        <f>IF(MONTH(Table1[[#This Row],[تاريخ بلوغ 60 ]])&lt;&gt;1,1,0)</f>
        <v>0</v>
      </c>
      <c r="AI400" s="3">
        <f>IF(DAY(Table1[[#This Row],[تاريخ بلوغ 60 ]])&lt;&gt;1,1,0)</f>
        <v>1</v>
      </c>
      <c r="AJ400" s="4" t="s">
        <v>465</v>
      </c>
      <c r="AK400" s="4" t="s">
        <v>2689</v>
      </c>
      <c r="AL400" s="62" t="s">
        <v>2363</v>
      </c>
      <c r="AM400" s="62" t="s">
        <v>3050</v>
      </c>
      <c r="AN400" s="2">
        <v>4</v>
      </c>
      <c r="AO400" s="4" t="s">
        <v>2641</v>
      </c>
      <c r="AP400" s="74">
        <v>516.04999999999995</v>
      </c>
      <c r="AQ400" s="4">
        <v>25</v>
      </c>
      <c r="AR400" s="4">
        <v>3</v>
      </c>
      <c r="AS400" s="4" t="s">
        <v>2668</v>
      </c>
      <c r="AT400" s="72">
        <v>6</v>
      </c>
      <c r="AU400" s="2">
        <v>8</v>
      </c>
      <c r="AV400" s="4"/>
      <c r="AW400" s="4"/>
      <c r="AX400" s="4"/>
    </row>
    <row r="401" spans="1:50" ht="15" x14ac:dyDescent="0.2">
      <c r="A401" s="3">
        <v>35885</v>
      </c>
      <c r="B401" s="1" t="s">
        <v>468</v>
      </c>
      <c r="C401" s="3">
        <v>1</v>
      </c>
      <c r="D401" s="3" t="s">
        <v>465</v>
      </c>
      <c r="E401" s="3">
        <v>21</v>
      </c>
      <c r="F401" s="3" t="s">
        <v>474</v>
      </c>
      <c r="G401" s="7" t="s">
        <v>337</v>
      </c>
      <c r="H401" s="3">
        <v>99</v>
      </c>
      <c r="I401" s="3" t="s">
        <v>1047</v>
      </c>
      <c r="J401" s="3">
        <v>18</v>
      </c>
      <c r="K401" s="3" t="s">
        <v>1529</v>
      </c>
      <c r="L401" s="3">
        <v>8</v>
      </c>
      <c r="M401" s="3" t="s">
        <v>506</v>
      </c>
      <c r="N401" s="3" t="s">
        <v>1047</v>
      </c>
      <c r="O401" s="10">
        <v>31073</v>
      </c>
      <c r="P401" s="10">
        <v>44927</v>
      </c>
      <c r="Q401" s="10"/>
      <c r="R401" s="10">
        <v>44927</v>
      </c>
      <c r="S401" s="23">
        <v>2204.21</v>
      </c>
      <c r="T401" s="3">
        <v>45915063</v>
      </c>
      <c r="U401" s="3">
        <v>28501260300134</v>
      </c>
      <c r="V401" s="4" t="s">
        <v>2366</v>
      </c>
      <c r="W401" s="4">
        <v>74148</v>
      </c>
      <c r="X401" s="4" t="s">
        <v>1583</v>
      </c>
      <c r="Y401" s="4">
        <v>2002</v>
      </c>
      <c r="Z401" s="3">
        <f ca="1">DATEDIF(Table1[[#This Row],[تاريخ الميلاد]],TODAY(),"y")</f>
        <v>41</v>
      </c>
      <c r="AA40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41 عام 6  شهر  25  يوم </v>
      </c>
      <c r="AB40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3عام7  شهر  19  يوم </v>
      </c>
      <c r="AC401" s="10">
        <f>DATE(YEAR(Table1[[#This Row],[تاريخ الميلاد]])+60,MONTH(Table1[[#This Row],[تاريخ الميلاد]]),DAY(Table1[[#This Row],[تاريخ الميلاد]]))</f>
        <v>52988</v>
      </c>
      <c r="AD401" s="14">
        <f>DATE(YEAR(Table1[[#This Row],[معاش 01/01]])-1,MONTH(Table1[[#This Row],[تاريخ بلوغ 60 ]]),DAY(Table1[[#This Row],[تاريخ بلوغ 60 ]]))</f>
        <v>52988</v>
      </c>
      <c r="AE40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53353</v>
      </c>
      <c r="AF401" s="10" t="str">
        <f>IFERROR(IF(ISODD(MID(Table1[[#This Row],[الرقم القومي]],13,1)),"ذكر","انثي"),"")</f>
        <v>ذكر</v>
      </c>
      <c r="AG401" s="70" t="s">
        <v>2606</v>
      </c>
      <c r="AH401" s="3">
        <f>IF(MONTH(Table1[[#This Row],[تاريخ بلوغ 60 ]])&lt;&gt;1,1,0)</f>
        <v>0</v>
      </c>
      <c r="AI401" s="3">
        <f>IF(DAY(Table1[[#This Row],[تاريخ بلوغ 60 ]])&lt;&gt;1,1,0)</f>
        <v>1</v>
      </c>
      <c r="AJ401" s="4" t="s">
        <v>465</v>
      </c>
      <c r="AK401" s="4" t="s">
        <v>2689</v>
      </c>
      <c r="AL401" s="62" t="s">
        <v>2365</v>
      </c>
      <c r="AM401" s="62" t="s">
        <v>3051</v>
      </c>
      <c r="AN401" s="2">
        <v>4</v>
      </c>
      <c r="AO401" s="4" t="s">
        <v>2641</v>
      </c>
      <c r="AP401" s="74">
        <v>516.04999999999995</v>
      </c>
      <c r="AQ401" s="4">
        <v>25</v>
      </c>
      <c r="AR401" s="4">
        <v>2</v>
      </c>
      <c r="AS401" s="4" t="s">
        <v>2696</v>
      </c>
      <c r="AT401" s="72">
        <v>4</v>
      </c>
      <c r="AU401" s="2">
        <v>8</v>
      </c>
      <c r="AV401" s="4"/>
      <c r="AW401" s="4"/>
      <c r="AX401" s="4"/>
    </row>
    <row r="402" spans="1:50" ht="15" x14ac:dyDescent="0.2">
      <c r="A402" s="3">
        <v>35892</v>
      </c>
      <c r="B402" s="1" t="s">
        <v>468</v>
      </c>
      <c r="C402" s="3">
        <v>1</v>
      </c>
      <c r="D402" s="3" t="s">
        <v>465</v>
      </c>
      <c r="E402" s="3">
        <v>21</v>
      </c>
      <c r="F402" s="3" t="s">
        <v>474</v>
      </c>
      <c r="G402" s="7" t="s">
        <v>338</v>
      </c>
      <c r="H402" s="3">
        <v>99</v>
      </c>
      <c r="I402" s="3" t="s">
        <v>1047</v>
      </c>
      <c r="J402" s="3">
        <v>18</v>
      </c>
      <c r="K402" s="3" t="s">
        <v>1529</v>
      </c>
      <c r="L402" s="3">
        <v>8</v>
      </c>
      <c r="M402" s="3" t="s">
        <v>506</v>
      </c>
      <c r="N402" s="3" t="s">
        <v>1047</v>
      </c>
      <c r="O402" s="10">
        <v>31494</v>
      </c>
      <c r="P402" s="10">
        <v>44927</v>
      </c>
      <c r="Q402" s="10"/>
      <c r="R402" s="10">
        <v>44927</v>
      </c>
      <c r="S402" s="23">
        <v>2158.12</v>
      </c>
      <c r="T402" s="3">
        <v>4765754</v>
      </c>
      <c r="U402" s="3">
        <v>28603230300331</v>
      </c>
      <c r="V402" s="4" t="s">
        <v>2368</v>
      </c>
      <c r="W402" s="4">
        <v>74152</v>
      </c>
      <c r="X402" s="4" t="s">
        <v>1583</v>
      </c>
      <c r="Z402" s="3">
        <f ca="1">DATEDIF(Table1[[#This Row],[تاريخ الميلاد]],TODAY(),"y")</f>
        <v>40</v>
      </c>
      <c r="AA40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40 عام 4  شهر  28  يوم </v>
      </c>
      <c r="AB40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3عام7  شهر  19  يوم </v>
      </c>
      <c r="AC402" s="10">
        <f>DATE(YEAR(Table1[[#This Row],[تاريخ الميلاد]])+60,MONTH(Table1[[#This Row],[تاريخ الميلاد]]),DAY(Table1[[#This Row],[تاريخ الميلاد]]))</f>
        <v>53409</v>
      </c>
      <c r="AD402" s="14">
        <f>DATE(YEAR(Table1[[#This Row],[معاش 01/01]])-1,MONTH(Table1[[#This Row],[تاريخ بلوغ 60 ]]),DAY(Table1[[#This Row],[تاريخ بلوغ 60 ]]))</f>
        <v>53409</v>
      </c>
      <c r="AE40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53774</v>
      </c>
      <c r="AF402" s="10" t="str">
        <f>IFERROR(IF(ISODD(MID(Table1[[#This Row],[الرقم القومي]],13,1)),"ذكر","انثي"),"")</f>
        <v>ذكر</v>
      </c>
      <c r="AG402" s="70" t="s">
        <v>2606</v>
      </c>
      <c r="AH402" s="3">
        <f>IF(MONTH(Table1[[#This Row],[تاريخ بلوغ 60 ]])&lt;&gt;1,1,0)</f>
        <v>1</v>
      </c>
      <c r="AI402" s="3">
        <f>IF(DAY(Table1[[#This Row],[تاريخ بلوغ 60 ]])&lt;&gt;1,1,0)</f>
        <v>1</v>
      </c>
      <c r="AJ402" s="4" t="s">
        <v>465</v>
      </c>
      <c r="AK402" s="4" t="s">
        <v>2666</v>
      </c>
      <c r="AL402" s="62" t="s">
        <v>2367</v>
      </c>
      <c r="AM402" s="62" t="s">
        <v>3052</v>
      </c>
      <c r="AN402" s="2">
        <v>4</v>
      </c>
      <c r="AO402" s="4" t="s">
        <v>2641</v>
      </c>
      <c r="AP402" s="74">
        <v>504.53</v>
      </c>
      <c r="AQ402" s="4">
        <v>25</v>
      </c>
      <c r="AR402" s="4">
        <v>3</v>
      </c>
      <c r="AS402" s="4" t="s">
        <v>2668</v>
      </c>
      <c r="AT402" s="72">
        <v>6</v>
      </c>
      <c r="AU402" s="2">
        <v>8</v>
      </c>
      <c r="AV402" s="4"/>
      <c r="AW402" s="4"/>
      <c r="AX402" s="4"/>
    </row>
    <row r="403" spans="1:50" ht="15" x14ac:dyDescent="0.2">
      <c r="A403" s="3">
        <v>35893</v>
      </c>
      <c r="B403" s="1" t="s">
        <v>468</v>
      </c>
      <c r="C403" s="3">
        <v>1</v>
      </c>
      <c r="D403" s="3" t="s">
        <v>465</v>
      </c>
      <c r="E403" s="3">
        <v>21</v>
      </c>
      <c r="F403" s="3" t="s">
        <v>474</v>
      </c>
      <c r="G403" s="7" t="s">
        <v>339</v>
      </c>
      <c r="H403" s="3">
        <v>99</v>
      </c>
      <c r="I403" s="3" t="s">
        <v>1047</v>
      </c>
      <c r="J403" s="3">
        <v>18</v>
      </c>
      <c r="K403" s="3" t="s">
        <v>1529</v>
      </c>
      <c r="L403" s="3">
        <v>8</v>
      </c>
      <c r="M403" s="3" t="s">
        <v>506</v>
      </c>
      <c r="N403" s="3" t="s">
        <v>1047</v>
      </c>
      <c r="O403" s="10">
        <v>31974</v>
      </c>
      <c r="P403" s="10">
        <v>44927</v>
      </c>
      <c r="Q403" s="10"/>
      <c r="R403" s="10">
        <v>44927</v>
      </c>
      <c r="S403" s="23">
        <v>2158.12</v>
      </c>
      <c r="T403" s="3">
        <v>17249619</v>
      </c>
      <c r="U403" s="3">
        <v>28707160300215</v>
      </c>
      <c r="V403" s="4" t="s">
        <v>2370</v>
      </c>
      <c r="W403" s="4">
        <v>74153</v>
      </c>
      <c r="X403" s="4" t="s">
        <v>1583</v>
      </c>
      <c r="Y403" s="4">
        <v>2004</v>
      </c>
      <c r="Z403" s="3">
        <f ca="1">DATEDIF(Table1[[#This Row],[تاريخ الميلاد]],TODAY(),"y")</f>
        <v>39</v>
      </c>
      <c r="AA40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39 عام 1  شهر  4  يوم </v>
      </c>
      <c r="AB40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3عام7  شهر  19  يوم </v>
      </c>
      <c r="AC403" s="10">
        <f>DATE(YEAR(Table1[[#This Row],[تاريخ الميلاد]])+60,MONTH(Table1[[#This Row],[تاريخ الميلاد]]),DAY(Table1[[#This Row],[تاريخ الميلاد]]))</f>
        <v>53889</v>
      </c>
      <c r="AD403" s="14">
        <f>DATE(YEAR(Table1[[#This Row],[معاش 01/01]])-1,MONTH(Table1[[#This Row],[تاريخ بلوغ 60 ]]),DAY(Table1[[#This Row],[تاريخ بلوغ 60 ]]))</f>
        <v>53889</v>
      </c>
      <c r="AE40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54255</v>
      </c>
      <c r="AF403" s="10" t="str">
        <f>IFERROR(IF(ISODD(MID(Table1[[#This Row],[الرقم القومي]],13,1)),"ذكر","انثي"),"")</f>
        <v>ذكر</v>
      </c>
      <c r="AG403" s="70" t="s">
        <v>2606</v>
      </c>
      <c r="AH403" s="3">
        <f>IF(MONTH(Table1[[#This Row],[تاريخ بلوغ 60 ]])&lt;&gt;1,1,0)</f>
        <v>1</v>
      </c>
      <c r="AI403" s="3">
        <f>IF(DAY(Table1[[#This Row],[تاريخ بلوغ 60 ]])&lt;&gt;1,1,0)</f>
        <v>1</v>
      </c>
      <c r="AJ403" s="4" t="s">
        <v>465</v>
      </c>
      <c r="AK403" s="4" t="s">
        <v>2666</v>
      </c>
      <c r="AL403" s="62" t="s">
        <v>2369</v>
      </c>
      <c r="AM403" s="62" t="s">
        <v>3053</v>
      </c>
      <c r="AN403" s="2">
        <v>4</v>
      </c>
      <c r="AO403" s="4" t="s">
        <v>2641</v>
      </c>
      <c r="AP403" s="74">
        <v>504.53</v>
      </c>
      <c r="AQ403" s="4">
        <v>25</v>
      </c>
      <c r="AR403" s="4">
        <v>3</v>
      </c>
      <c r="AS403" s="4" t="s">
        <v>2668</v>
      </c>
      <c r="AT403" s="72">
        <v>6</v>
      </c>
      <c r="AU403" s="2">
        <v>8</v>
      </c>
      <c r="AV403" s="4"/>
      <c r="AW403" s="4"/>
      <c r="AX403" s="4"/>
    </row>
    <row r="404" spans="1:50" ht="15" x14ac:dyDescent="0.2">
      <c r="A404" s="3">
        <v>35897</v>
      </c>
      <c r="B404" s="1" t="s">
        <v>468</v>
      </c>
      <c r="C404" s="3">
        <v>1</v>
      </c>
      <c r="D404" s="3" t="s">
        <v>465</v>
      </c>
      <c r="E404" s="3">
        <v>21</v>
      </c>
      <c r="F404" s="3" t="s">
        <v>474</v>
      </c>
      <c r="G404" s="7" t="s">
        <v>2371</v>
      </c>
      <c r="H404" s="3">
        <v>99</v>
      </c>
      <c r="I404" s="3" t="s">
        <v>1047</v>
      </c>
      <c r="J404" s="3">
        <v>18</v>
      </c>
      <c r="K404" s="3" t="s">
        <v>1529</v>
      </c>
      <c r="L404" s="3">
        <v>8</v>
      </c>
      <c r="M404" s="3" t="s">
        <v>506</v>
      </c>
      <c r="N404" s="3" t="s">
        <v>1047</v>
      </c>
      <c r="O404" s="10">
        <v>31980</v>
      </c>
      <c r="P404" s="10">
        <v>44927</v>
      </c>
      <c r="Q404" s="10"/>
      <c r="R404" s="10">
        <v>44927</v>
      </c>
      <c r="S404" s="23">
        <v>2158.12</v>
      </c>
      <c r="T404" s="3">
        <v>17247695</v>
      </c>
      <c r="U404" s="3">
        <v>28707220300317</v>
      </c>
      <c r="V404" s="4" t="s">
        <v>2373</v>
      </c>
      <c r="W404" s="4">
        <v>74515</v>
      </c>
      <c r="X404" s="4" t="s">
        <v>1583</v>
      </c>
      <c r="Y404" s="4">
        <v>2007</v>
      </c>
      <c r="Z404" s="3">
        <f ca="1">DATEDIF(Table1[[#This Row],[تاريخ الميلاد]],TODAY(),"y")</f>
        <v>39</v>
      </c>
      <c r="AA40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39 عام 0  شهر  29  يوم </v>
      </c>
      <c r="AB40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3عام7  شهر  19  يوم </v>
      </c>
      <c r="AC404" s="10">
        <f>DATE(YEAR(Table1[[#This Row],[تاريخ الميلاد]])+60,MONTH(Table1[[#This Row],[تاريخ الميلاد]]),DAY(Table1[[#This Row],[تاريخ الميلاد]]))</f>
        <v>53895</v>
      </c>
      <c r="AD404" s="14">
        <f>DATE(YEAR(Table1[[#This Row],[معاش 01/01]])-1,MONTH(Table1[[#This Row],[تاريخ بلوغ 60 ]]),DAY(Table1[[#This Row],[تاريخ بلوغ 60 ]]))</f>
        <v>53895</v>
      </c>
      <c r="AE40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54261</v>
      </c>
      <c r="AF404" s="10" t="str">
        <f>IFERROR(IF(ISODD(MID(Table1[[#This Row],[الرقم القومي]],13,1)),"ذكر","انثي"),"")</f>
        <v>ذكر</v>
      </c>
      <c r="AG404" s="70" t="s">
        <v>2606</v>
      </c>
      <c r="AH404" s="3">
        <f>IF(MONTH(Table1[[#This Row],[تاريخ بلوغ 60 ]])&lt;&gt;1,1,0)</f>
        <v>1</v>
      </c>
      <c r="AI404" s="3">
        <f>IF(DAY(Table1[[#This Row],[تاريخ بلوغ 60 ]])&lt;&gt;1,1,0)</f>
        <v>1</v>
      </c>
      <c r="AJ404" s="4" t="s">
        <v>465</v>
      </c>
      <c r="AK404" s="4" t="s">
        <v>2636</v>
      </c>
      <c r="AL404" s="62" t="s">
        <v>2372</v>
      </c>
      <c r="AM404" s="62" t="s">
        <v>3054</v>
      </c>
      <c r="AN404" s="2">
        <v>4</v>
      </c>
      <c r="AO404" s="4" t="s">
        <v>2641</v>
      </c>
      <c r="AP404" s="74">
        <v>504.53</v>
      </c>
      <c r="AQ404" s="4">
        <v>25</v>
      </c>
      <c r="AR404" s="4">
        <v>3</v>
      </c>
      <c r="AS404" s="4" t="s">
        <v>2668</v>
      </c>
      <c r="AT404" s="72">
        <v>6</v>
      </c>
      <c r="AU404" s="2">
        <v>8</v>
      </c>
      <c r="AV404" s="4"/>
      <c r="AW404" s="4"/>
      <c r="AX404" s="4"/>
    </row>
    <row r="405" spans="1:50" ht="15" x14ac:dyDescent="0.2">
      <c r="A405" s="3">
        <v>35898</v>
      </c>
      <c r="B405" s="1" t="s">
        <v>468</v>
      </c>
      <c r="C405" s="3">
        <v>1</v>
      </c>
      <c r="D405" s="3" t="s">
        <v>465</v>
      </c>
      <c r="E405" s="3">
        <v>21</v>
      </c>
      <c r="F405" s="3" t="s">
        <v>474</v>
      </c>
      <c r="G405" s="7" t="s">
        <v>2374</v>
      </c>
      <c r="H405" s="3">
        <v>99</v>
      </c>
      <c r="I405" s="3" t="s">
        <v>1047</v>
      </c>
      <c r="J405" s="3">
        <v>18</v>
      </c>
      <c r="K405" s="3" t="s">
        <v>1529</v>
      </c>
      <c r="L405" s="3">
        <v>8</v>
      </c>
      <c r="M405" s="3" t="s">
        <v>506</v>
      </c>
      <c r="N405" s="3" t="s">
        <v>1047</v>
      </c>
      <c r="O405" s="10">
        <v>31001</v>
      </c>
      <c r="P405" s="10">
        <v>44927</v>
      </c>
      <c r="Q405" s="10"/>
      <c r="R405" s="10">
        <v>44927</v>
      </c>
      <c r="S405" s="23">
        <v>2204.21</v>
      </c>
      <c r="T405" s="3">
        <v>63878766</v>
      </c>
      <c r="U405" s="3">
        <v>28411150300351</v>
      </c>
      <c r="V405" s="4" t="s">
        <v>2376</v>
      </c>
      <c r="W405" s="4">
        <v>74156</v>
      </c>
      <c r="X405" s="4" t="s">
        <v>1583</v>
      </c>
      <c r="Y405" s="4">
        <v>2002</v>
      </c>
      <c r="Z405" s="3">
        <f ca="1">DATEDIF(Table1[[#This Row],[تاريخ الميلاد]],TODAY(),"y")</f>
        <v>41</v>
      </c>
      <c r="AA40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41 عام 9  شهر  5  يوم </v>
      </c>
      <c r="AB40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3عام7  شهر  19  يوم </v>
      </c>
      <c r="AC405" s="10">
        <f>DATE(YEAR(Table1[[#This Row],[تاريخ الميلاد]])+60,MONTH(Table1[[#This Row],[تاريخ الميلاد]]),DAY(Table1[[#This Row],[تاريخ الميلاد]]))</f>
        <v>52916</v>
      </c>
      <c r="AD405" s="14">
        <f>DATE(YEAR(Table1[[#This Row],[معاش 01/01]])-1,MONTH(Table1[[#This Row],[تاريخ بلوغ 60 ]]),DAY(Table1[[#This Row],[تاريخ بلوغ 60 ]]))</f>
        <v>52916</v>
      </c>
      <c r="AE40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53281</v>
      </c>
      <c r="AF405" s="10" t="str">
        <f>IFERROR(IF(ISODD(MID(Table1[[#This Row],[الرقم القومي]],13,1)),"ذكر","انثي"),"")</f>
        <v>ذكر</v>
      </c>
      <c r="AG405" s="70" t="s">
        <v>2606</v>
      </c>
      <c r="AH405" s="3">
        <f>IF(MONTH(Table1[[#This Row],[تاريخ بلوغ 60 ]])&lt;&gt;1,1,0)</f>
        <v>1</v>
      </c>
      <c r="AI405" s="3">
        <f>IF(DAY(Table1[[#This Row],[تاريخ بلوغ 60 ]])&lt;&gt;1,1,0)</f>
        <v>1</v>
      </c>
      <c r="AJ405" s="4" t="s">
        <v>465</v>
      </c>
      <c r="AK405" s="4" t="s">
        <v>2689</v>
      </c>
      <c r="AL405" s="62" t="s">
        <v>2375</v>
      </c>
      <c r="AM405" s="62" t="s">
        <v>3055</v>
      </c>
      <c r="AN405" s="2">
        <v>4</v>
      </c>
      <c r="AO405" s="4" t="s">
        <v>2641</v>
      </c>
      <c r="AP405" s="74">
        <v>516.04999999999995</v>
      </c>
      <c r="AQ405" s="4">
        <v>25</v>
      </c>
      <c r="AR405" s="4">
        <v>3</v>
      </c>
      <c r="AS405" s="4" t="s">
        <v>2668</v>
      </c>
      <c r="AT405" s="72">
        <v>6</v>
      </c>
      <c r="AU405" s="2">
        <v>8</v>
      </c>
      <c r="AV405" s="4"/>
      <c r="AW405" s="4"/>
      <c r="AX405" s="4"/>
    </row>
    <row r="406" spans="1:50" ht="15" x14ac:dyDescent="0.2">
      <c r="A406" s="3">
        <v>35899</v>
      </c>
      <c r="B406" s="1" t="s">
        <v>468</v>
      </c>
      <c r="C406" s="3">
        <v>1</v>
      </c>
      <c r="D406" s="3" t="s">
        <v>465</v>
      </c>
      <c r="E406" s="3">
        <v>21</v>
      </c>
      <c r="F406" s="3" t="s">
        <v>474</v>
      </c>
      <c r="G406" s="7" t="s">
        <v>340</v>
      </c>
      <c r="H406" s="3">
        <v>99</v>
      </c>
      <c r="I406" s="3" t="s">
        <v>1047</v>
      </c>
      <c r="J406" s="3">
        <v>18</v>
      </c>
      <c r="K406" s="3" t="s">
        <v>1529</v>
      </c>
      <c r="L406" s="3">
        <v>7</v>
      </c>
      <c r="M406" s="3" t="s">
        <v>504</v>
      </c>
      <c r="N406" s="3" t="s">
        <v>1053</v>
      </c>
      <c r="O406" s="10">
        <v>31987</v>
      </c>
      <c r="P406" s="10">
        <v>44139</v>
      </c>
      <c r="Q406" s="10"/>
      <c r="R406" s="10">
        <v>46022</v>
      </c>
      <c r="S406" s="23">
        <v>2670.56</v>
      </c>
      <c r="T406" s="3">
        <v>18213321</v>
      </c>
      <c r="U406" s="3">
        <v>28707290300331</v>
      </c>
      <c r="V406" s="4" t="s">
        <v>2378</v>
      </c>
      <c r="W406" s="4">
        <v>74159</v>
      </c>
      <c r="X406" s="4" t="s">
        <v>1583</v>
      </c>
      <c r="Y406" s="4">
        <v>2005</v>
      </c>
      <c r="Z406" s="3">
        <f ca="1">DATEDIF(Table1[[#This Row],[تاريخ الميلاد]],TODAY(),"y")</f>
        <v>39</v>
      </c>
      <c r="AA40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39 عام 0  شهر  22  يوم </v>
      </c>
      <c r="AB40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5عام9  شهر  16  يوم </v>
      </c>
      <c r="AC406" s="10">
        <f>DATE(YEAR(Table1[[#This Row],[تاريخ الميلاد]])+60,MONTH(Table1[[#This Row],[تاريخ الميلاد]]),DAY(Table1[[#This Row],[تاريخ الميلاد]]))</f>
        <v>53902</v>
      </c>
      <c r="AD406" s="14">
        <f>DATE(YEAR(Table1[[#This Row],[معاش 01/01]])-1,MONTH(Table1[[#This Row],[تاريخ بلوغ 60 ]]),DAY(Table1[[#This Row],[تاريخ بلوغ 60 ]]))</f>
        <v>53902</v>
      </c>
      <c r="AE40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54268</v>
      </c>
      <c r="AF406" s="10" t="str">
        <f>IFERROR(IF(ISODD(MID(Table1[[#This Row],[الرقم القومي]],13,1)),"ذكر","انثي"),"")</f>
        <v>ذكر</v>
      </c>
      <c r="AG406" s="70" t="s">
        <v>2606</v>
      </c>
      <c r="AH406" s="3">
        <f>IF(MONTH(Table1[[#This Row],[تاريخ بلوغ 60 ]])&lt;&gt;1,1,0)</f>
        <v>1</v>
      </c>
      <c r="AI406" s="3">
        <f>IF(DAY(Table1[[#This Row],[تاريخ بلوغ 60 ]])&lt;&gt;1,1,0)</f>
        <v>1</v>
      </c>
      <c r="AJ406" s="4" t="s">
        <v>465</v>
      </c>
      <c r="AK406" s="4" t="s">
        <v>2666</v>
      </c>
      <c r="AL406" s="62" t="s">
        <v>2377</v>
      </c>
      <c r="AM406" s="62" t="s">
        <v>3056</v>
      </c>
      <c r="AN406" s="2">
        <v>4</v>
      </c>
      <c r="AO406" s="4" t="s">
        <v>2641</v>
      </c>
      <c r="AP406" s="74">
        <v>632.64</v>
      </c>
      <c r="AQ406" s="4">
        <v>25</v>
      </c>
      <c r="AR406" s="4">
        <v>3</v>
      </c>
      <c r="AS406" s="4" t="s">
        <v>2668</v>
      </c>
      <c r="AT406" s="72">
        <v>6</v>
      </c>
      <c r="AU406" s="2">
        <v>7</v>
      </c>
      <c r="AV406" s="4"/>
      <c r="AW406" s="4"/>
      <c r="AX406" s="4"/>
    </row>
    <row r="407" spans="1:50" ht="15" x14ac:dyDescent="0.2">
      <c r="A407" s="3">
        <v>35905</v>
      </c>
      <c r="B407" s="1" t="s">
        <v>468</v>
      </c>
      <c r="C407" s="3">
        <v>1</v>
      </c>
      <c r="D407" s="3" t="s">
        <v>465</v>
      </c>
      <c r="E407" s="3">
        <v>21</v>
      </c>
      <c r="F407" s="3" t="s">
        <v>474</v>
      </c>
      <c r="G407" s="7" t="s">
        <v>341</v>
      </c>
      <c r="H407" s="3">
        <v>99</v>
      </c>
      <c r="I407" s="3" t="s">
        <v>1047</v>
      </c>
      <c r="J407" s="3">
        <v>18</v>
      </c>
      <c r="K407" s="3" t="s">
        <v>1529</v>
      </c>
      <c r="L407" s="3">
        <v>8</v>
      </c>
      <c r="M407" s="3" t="s">
        <v>506</v>
      </c>
      <c r="N407" s="3" t="s">
        <v>1047</v>
      </c>
      <c r="O407" s="10">
        <v>31767</v>
      </c>
      <c r="P407" s="10">
        <v>44927</v>
      </c>
      <c r="Q407" s="10"/>
      <c r="R407" s="10">
        <v>44927</v>
      </c>
      <c r="S407" s="23">
        <v>2158.12</v>
      </c>
      <c r="T407" s="3">
        <v>7985545</v>
      </c>
      <c r="U407" s="3">
        <v>28612210300172</v>
      </c>
      <c r="V407" s="4" t="s">
        <v>2380</v>
      </c>
      <c r="W407" s="4">
        <v>74157</v>
      </c>
      <c r="X407" s="4" t="s">
        <v>1583</v>
      </c>
      <c r="Y407" s="4">
        <v>2004</v>
      </c>
      <c r="Z407" s="3">
        <f ca="1">DATEDIF(Table1[[#This Row],[تاريخ الميلاد]],TODAY(),"y")</f>
        <v>39</v>
      </c>
      <c r="AA40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39 عام 7  شهر  30  يوم </v>
      </c>
      <c r="AB40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3عام7  شهر  19  يوم </v>
      </c>
      <c r="AC407" s="10">
        <f>DATE(YEAR(Table1[[#This Row],[تاريخ الميلاد]])+60,MONTH(Table1[[#This Row],[تاريخ الميلاد]]),DAY(Table1[[#This Row],[تاريخ الميلاد]]))</f>
        <v>53682</v>
      </c>
      <c r="AD407" s="14">
        <f>DATE(YEAR(Table1[[#This Row],[معاش 01/01]])-1,MONTH(Table1[[#This Row],[تاريخ بلوغ 60 ]]),DAY(Table1[[#This Row],[تاريخ بلوغ 60 ]]))</f>
        <v>53682</v>
      </c>
      <c r="AE40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54047</v>
      </c>
      <c r="AF407" s="10" t="str">
        <f>IFERROR(IF(ISODD(MID(Table1[[#This Row],[الرقم القومي]],13,1)),"ذكر","انثي"),"")</f>
        <v>ذكر</v>
      </c>
      <c r="AG407" s="70" t="s">
        <v>2606</v>
      </c>
      <c r="AH407" s="3">
        <f>IF(MONTH(Table1[[#This Row],[تاريخ بلوغ 60 ]])&lt;&gt;1,1,0)</f>
        <v>1</v>
      </c>
      <c r="AI407" s="3">
        <f>IF(DAY(Table1[[#This Row],[تاريخ بلوغ 60 ]])&lt;&gt;1,1,0)</f>
        <v>1</v>
      </c>
      <c r="AJ407" s="4" t="s">
        <v>465</v>
      </c>
      <c r="AK407" s="4" t="s">
        <v>2666</v>
      </c>
      <c r="AL407" s="62" t="s">
        <v>2379</v>
      </c>
      <c r="AM407" s="62" t="s">
        <v>3057</v>
      </c>
      <c r="AN407" s="2">
        <v>4</v>
      </c>
      <c r="AO407" s="4" t="s">
        <v>2641</v>
      </c>
      <c r="AP407" s="74">
        <v>504.53</v>
      </c>
      <c r="AQ407" s="4">
        <v>25</v>
      </c>
      <c r="AR407" s="4">
        <v>3</v>
      </c>
      <c r="AS407" s="4" t="s">
        <v>2668</v>
      </c>
      <c r="AT407" s="72">
        <v>6</v>
      </c>
      <c r="AU407" s="2">
        <v>8</v>
      </c>
      <c r="AV407" s="4"/>
      <c r="AW407" s="4"/>
      <c r="AX407" s="4"/>
    </row>
    <row r="408" spans="1:50" ht="15" x14ac:dyDescent="0.2">
      <c r="A408" s="3">
        <v>35912</v>
      </c>
      <c r="B408" s="1" t="s">
        <v>468</v>
      </c>
      <c r="C408" s="3">
        <v>1</v>
      </c>
      <c r="D408" s="3" t="s">
        <v>465</v>
      </c>
      <c r="E408" s="3">
        <v>21</v>
      </c>
      <c r="F408" s="3" t="s">
        <v>474</v>
      </c>
      <c r="G408" s="7" t="s">
        <v>342</v>
      </c>
      <c r="H408" s="3">
        <v>99</v>
      </c>
      <c r="I408" s="3" t="s">
        <v>1047</v>
      </c>
      <c r="J408" s="3">
        <v>18</v>
      </c>
      <c r="K408" s="3" t="s">
        <v>1529</v>
      </c>
      <c r="L408" s="3">
        <v>8</v>
      </c>
      <c r="M408" s="3" t="s">
        <v>506</v>
      </c>
      <c r="N408" s="3" t="s">
        <v>1047</v>
      </c>
      <c r="O408" s="10">
        <v>32550</v>
      </c>
      <c r="P408" s="10">
        <v>44927</v>
      </c>
      <c r="Q408" s="10"/>
      <c r="R408" s="10">
        <v>44927</v>
      </c>
      <c r="S408" s="23">
        <v>2158.12</v>
      </c>
      <c r="T408" s="3">
        <v>62860859</v>
      </c>
      <c r="U408" s="3">
        <v>28902118800736</v>
      </c>
      <c r="V408" s="4" t="s">
        <v>2382</v>
      </c>
      <c r="W408" s="4">
        <v>74161</v>
      </c>
      <c r="X408" s="4" t="s">
        <v>1583</v>
      </c>
      <c r="Y408" s="4">
        <v>2007</v>
      </c>
      <c r="Z408" s="3">
        <f ca="1">DATEDIF(Table1[[#This Row],[تاريخ الميلاد]],TODAY(),"y")</f>
        <v>37</v>
      </c>
      <c r="AA40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6  شهر  9  يوم </v>
      </c>
      <c r="AB40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3عام7  شهر  19  يوم </v>
      </c>
      <c r="AC408" s="10">
        <f>DATE(YEAR(Table1[[#This Row],[تاريخ الميلاد]])+60,MONTH(Table1[[#This Row],[تاريخ الميلاد]]),DAY(Table1[[#This Row],[تاريخ الميلاد]]))</f>
        <v>54465</v>
      </c>
      <c r="AD408" s="14">
        <f>DATE(YEAR(Table1[[#This Row],[معاش 01/01]])-1,MONTH(Table1[[#This Row],[تاريخ بلوغ 60 ]]),DAY(Table1[[#This Row],[تاريخ بلوغ 60 ]]))</f>
        <v>54465</v>
      </c>
      <c r="AE40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54830</v>
      </c>
      <c r="AF408" s="10" t="str">
        <f>IFERROR(IF(ISODD(MID(Table1[[#This Row],[الرقم القومي]],13,1)),"ذكر","انثي"),"")</f>
        <v>ذكر</v>
      </c>
      <c r="AG408" s="70"/>
      <c r="AH408" s="3">
        <f>IF(MONTH(Table1[[#This Row],[تاريخ بلوغ 60 ]])&lt;&gt;1,1,0)</f>
        <v>1</v>
      </c>
      <c r="AI408" s="3">
        <f>IF(DAY(Table1[[#This Row],[تاريخ بلوغ 60 ]])&lt;&gt;1,1,0)</f>
        <v>1</v>
      </c>
      <c r="AJ408" s="4" t="s">
        <v>465</v>
      </c>
      <c r="AK408" s="4" t="s">
        <v>2689</v>
      </c>
      <c r="AL408" s="62" t="s">
        <v>2381</v>
      </c>
      <c r="AM408" s="62" t="s">
        <v>3058</v>
      </c>
      <c r="AN408" s="2">
        <v>4</v>
      </c>
      <c r="AO408" s="4" t="s">
        <v>2641</v>
      </c>
      <c r="AP408" s="74">
        <v>504.53</v>
      </c>
      <c r="AQ408" s="4">
        <v>25</v>
      </c>
      <c r="AR408" s="4">
        <v>3</v>
      </c>
      <c r="AS408" s="4" t="s">
        <v>2668</v>
      </c>
      <c r="AT408" s="72">
        <v>6</v>
      </c>
      <c r="AU408" s="2">
        <v>8</v>
      </c>
      <c r="AV408" s="4"/>
      <c r="AW408" s="4"/>
      <c r="AX408" s="4"/>
    </row>
    <row r="409" spans="1:50" ht="15" x14ac:dyDescent="0.2">
      <c r="A409" s="3">
        <v>35915</v>
      </c>
      <c r="B409" s="1" t="s">
        <v>468</v>
      </c>
      <c r="C409" s="3">
        <v>1</v>
      </c>
      <c r="D409" s="3" t="s">
        <v>465</v>
      </c>
      <c r="E409" s="3">
        <v>21</v>
      </c>
      <c r="F409" s="3" t="s">
        <v>474</v>
      </c>
      <c r="G409" s="7" t="s">
        <v>343</v>
      </c>
      <c r="H409" s="3">
        <v>99</v>
      </c>
      <c r="I409" s="3" t="s">
        <v>1047</v>
      </c>
      <c r="J409" s="3">
        <v>18</v>
      </c>
      <c r="K409" s="3" t="s">
        <v>1529</v>
      </c>
      <c r="L409" s="3">
        <v>8</v>
      </c>
      <c r="M409" s="3" t="s">
        <v>506</v>
      </c>
      <c r="N409" s="3" t="s">
        <v>1047</v>
      </c>
      <c r="O409" s="10">
        <v>31124</v>
      </c>
      <c r="P409" s="10">
        <v>44927</v>
      </c>
      <c r="Q409" s="10"/>
      <c r="R409" s="10">
        <v>44927</v>
      </c>
      <c r="S409" s="23">
        <v>2204.21</v>
      </c>
      <c r="T409" s="3">
        <v>64394097</v>
      </c>
      <c r="U409" s="3">
        <v>28503180300195</v>
      </c>
      <c r="V409" s="4" t="s">
        <v>2384</v>
      </c>
      <c r="W409" s="4">
        <v>74163</v>
      </c>
      <c r="X409" s="4" t="s">
        <v>1583</v>
      </c>
      <c r="Z409" s="3">
        <f ca="1">DATEDIF(Table1[[#This Row],[تاريخ الميلاد]],TODAY(),"y")</f>
        <v>41</v>
      </c>
      <c r="AA40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41 عام 5  شهر  2  يوم </v>
      </c>
      <c r="AB40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3عام7  شهر  19  يوم </v>
      </c>
      <c r="AC409" s="10">
        <f>DATE(YEAR(Table1[[#This Row],[تاريخ الميلاد]])+60,MONTH(Table1[[#This Row],[تاريخ الميلاد]]),DAY(Table1[[#This Row],[تاريخ الميلاد]]))</f>
        <v>53039</v>
      </c>
      <c r="AD409" s="14">
        <f>DATE(YEAR(Table1[[#This Row],[معاش 01/01]])-1,MONTH(Table1[[#This Row],[تاريخ بلوغ 60 ]]),DAY(Table1[[#This Row],[تاريخ بلوغ 60 ]]))</f>
        <v>53039</v>
      </c>
      <c r="AE40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53404</v>
      </c>
      <c r="AF409" s="10" t="str">
        <f>IFERROR(IF(ISODD(MID(Table1[[#This Row],[الرقم القومي]],13,1)),"ذكر","انثي"),"")</f>
        <v>ذكر</v>
      </c>
      <c r="AG409" s="70" t="s">
        <v>2606</v>
      </c>
      <c r="AH409" s="3">
        <f>IF(MONTH(Table1[[#This Row],[تاريخ بلوغ 60 ]])&lt;&gt;1,1,0)</f>
        <v>1</v>
      </c>
      <c r="AI409" s="3">
        <f>IF(DAY(Table1[[#This Row],[تاريخ بلوغ 60 ]])&lt;&gt;1,1,0)</f>
        <v>1</v>
      </c>
      <c r="AJ409" s="4" t="s">
        <v>465</v>
      </c>
      <c r="AK409" s="4" t="s">
        <v>2770</v>
      </c>
      <c r="AL409" s="62" t="s">
        <v>2383</v>
      </c>
      <c r="AM409" s="62" t="s">
        <v>3059</v>
      </c>
      <c r="AN409" s="2">
        <v>4</v>
      </c>
      <c r="AO409" s="4" t="s">
        <v>2641</v>
      </c>
      <c r="AP409" s="74">
        <v>516.04999999999995</v>
      </c>
      <c r="AQ409" s="4">
        <v>25</v>
      </c>
      <c r="AR409" s="4">
        <v>3</v>
      </c>
      <c r="AS409" s="4" t="s">
        <v>2668</v>
      </c>
      <c r="AT409" s="72">
        <v>6</v>
      </c>
      <c r="AU409" s="2">
        <v>8</v>
      </c>
      <c r="AV409" s="4"/>
      <c r="AW409" s="4"/>
      <c r="AX409" s="4"/>
    </row>
    <row r="410" spans="1:50" ht="15" x14ac:dyDescent="0.2">
      <c r="A410" s="3">
        <v>35920</v>
      </c>
      <c r="B410" s="1" t="s">
        <v>468</v>
      </c>
      <c r="C410" s="3">
        <v>1</v>
      </c>
      <c r="D410" s="3" t="s">
        <v>465</v>
      </c>
      <c r="E410" s="3">
        <v>21</v>
      </c>
      <c r="F410" s="3" t="s">
        <v>474</v>
      </c>
      <c r="G410" s="7" t="s">
        <v>2385</v>
      </c>
      <c r="H410" s="3">
        <v>99</v>
      </c>
      <c r="I410" s="3" t="s">
        <v>1047</v>
      </c>
      <c r="J410" s="3">
        <v>18</v>
      </c>
      <c r="K410" s="3" t="s">
        <v>1529</v>
      </c>
      <c r="L410" s="3">
        <v>8</v>
      </c>
      <c r="M410" s="3" t="s">
        <v>506</v>
      </c>
      <c r="N410" s="3" t="s">
        <v>1047</v>
      </c>
      <c r="O410" s="10">
        <v>31353</v>
      </c>
      <c r="P410" s="10">
        <v>44927</v>
      </c>
      <c r="Q410" s="10"/>
      <c r="R410" s="10">
        <v>44927</v>
      </c>
      <c r="S410" s="23">
        <v>2158.12</v>
      </c>
      <c r="T410" s="3">
        <v>58533441</v>
      </c>
      <c r="U410" s="3">
        <v>28511020300493</v>
      </c>
      <c r="V410" s="4" t="s">
        <v>2387</v>
      </c>
      <c r="W410" s="4">
        <v>74165</v>
      </c>
      <c r="X410" s="4" t="s">
        <v>1583</v>
      </c>
      <c r="Y410" s="4">
        <v>2003</v>
      </c>
      <c r="Z410" s="3">
        <f ca="1">DATEDIF(Table1[[#This Row],[تاريخ الميلاد]],TODAY(),"y")</f>
        <v>40</v>
      </c>
      <c r="AA41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40 عام 9  شهر  18  يوم </v>
      </c>
      <c r="AB41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3عام7  شهر  19  يوم </v>
      </c>
      <c r="AC410" s="10">
        <f>DATE(YEAR(Table1[[#This Row],[تاريخ الميلاد]])+60,MONTH(Table1[[#This Row],[تاريخ الميلاد]]),DAY(Table1[[#This Row],[تاريخ الميلاد]]))</f>
        <v>53268</v>
      </c>
      <c r="AD410" s="14">
        <f>DATE(YEAR(Table1[[#This Row],[معاش 01/01]])-1,MONTH(Table1[[#This Row],[تاريخ بلوغ 60 ]]),DAY(Table1[[#This Row],[تاريخ بلوغ 60 ]]))</f>
        <v>53268</v>
      </c>
      <c r="AE41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53633</v>
      </c>
      <c r="AF410" s="10" t="str">
        <f>IFERROR(IF(ISODD(MID(Table1[[#This Row],[الرقم القومي]],13,1)),"ذكر","انثي"),"")</f>
        <v>ذكر</v>
      </c>
      <c r="AG410" s="70" t="s">
        <v>2606</v>
      </c>
      <c r="AH410" s="3">
        <f>IF(MONTH(Table1[[#This Row],[تاريخ بلوغ 60 ]])&lt;&gt;1,1,0)</f>
        <v>1</v>
      </c>
      <c r="AI410" s="3">
        <f>IF(DAY(Table1[[#This Row],[تاريخ بلوغ 60 ]])&lt;&gt;1,1,0)</f>
        <v>1</v>
      </c>
      <c r="AJ410" s="4" t="s">
        <v>465</v>
      </c>
      <c r="AK410" s="4" t="s">
        <v>2666</v>
      </c>
      <c r="AL410" s="62" t="s">
        <v>2386</v>
      </c>
      <c r="AM410" s="62" t="s">
        <v>3060</v>
      </c>
      <c r="AN410" s="2">
        <v>4</v>
      </c>
      <c r="AO410" s="4" t="s">
        <v>2641</v>
      </c>
      <c r="AP410" s="74">
        <v>504.53</v>
      </c>
      <c r="AQ410" s="4">
        <v>25</v>
      </c>
      <c r="AR410" s="4">
        <v>3</v>
      </c>
      <c r="AS410" s="4" t="s">
        <v>2668</v>
      </c>
      <c r="AT410" s="72">
        <v>6</v>
      </c>
      <c r="AU410" s="2">
        <v>8</v>
      </c>
      <c r="AV410" s="4"/>
      <c r="AW410" s="4"/>
      <c r="AX410" s="4"/>
    </row>
    <row r="411" spans="1:50" ht="15" x14ac:dyDescent="0.2">
      <c r="A411" s="3">
        <v>35921</v>
      </c>
      <c r="B411" s="1" t="s">
        <v>468</v>
      </c>
      <c r="C411" s="3">
        <v>1</v>
      </c>
      <c r="D411" s="3" t="s">
        <v>465</v>
      </c>
      <c r="E411" s="3">
        <v>21</v>
      </c>
      <c r="F411" s="3" t="s">
        <v>474</v>
      </c>
      <c r="G411" s="7" t="s">
        <v>344</v>
      </c>
      <c r="H411" s="3">
        <v>99</v>
      </c>
      <c r="I411" s="3" t="s">
        <v>1047</v>
      </c>
      <c r="J411" s="3">
        <v>18</v>
      </c>
      <c r="K411" s="3" t="s">
        <v>1529</v>
      </c>
      <c r="L411" s="3">
        <v>8</v>
      </c>
      <c r="M411" s="3" t="s">
        <v>506</v>
      </c>
      <c r="N411" s="3" t="s">
        <v>1047</v>
      </c>
      <c r="O411" s="10">
        <v>32573</v>
      </c>
      <c r="P411" s="10">
        <v>44927</v>
      </c>
      <c r="Q411" s="10"/>
      <c r="R411" s="10">
        <v>44927</v>
      </c>
      <c r="S411" s="23">
        <v>2158.12</v>
      </c>
      <c r="T411" s="3">
        <v>22938588</v>
      </c>
      <c r="U411" s="3">
        <v>28903060300271</v>
      </c>
      <c r="V411" s="4" t="s">
        <v>2389</v>
      </c>
      <c r="W411" s="4">
        <v>74167</v>
      </c>
      <c r="X411" s="4" t="s">
        <v>1583</v>
      </c>
      <c r="Y411" s="4">
        <v>2006</v>
      </c>
      <c r="Z411" s="3">
        <f ca="1">DATEDIF(Table1[[#This Row],[تاريخ الميلاد]],TODAY(),"y")</f>
        <v>37</v>
      </c>
      <c r="AA41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5  شهر  14  يوم </v>
      </c>
      <c r="AB41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3عام7  شهر  19  يوم </v>
      </c>
      <c r="AC411" s="10">
        <f>DATE(YEAR(Table1[[#This Row],[تاريخ الميلاد]])+60,MONTH(Table1[[#This Row],[تاريخ الميلاد]]),DAY(Table1[[#This Row],[تاريخ الميلاد]]))</f>
        <v>54488</v>
      </c>
      <c r="AD411" s="14">
        <f>DATE(YEAR(Table1[[#This Row],[معاش 01/01]])-1,MONTH(Table1[[#This Row],[تاريخ بلوغ 60 ]]),DAY(Table1[[#This Row],[تاريخ بلوغ 60 ]]))</f>
        <v>54488</v>
      </c>
      <c r="AE41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54853</v>
      </c>
      <c r="AF411" s="10" t="str">
        <f>IFERROR(IF(ISODD(MID(Table1[[#This Row],[الرقم القومي]],13,1)),"ذكر","انثي"),"")</f>
        <v>ذكر</v>
      </c>
      <c r="AG411" s="70" t="s">
        <v>2606</v>
      </c>
      <c r="AH411" s="3">
        <f>IF(MONTH(Table1[[#This Row],[تاريخ بلوغ 60 ]])&lt;&gt;1,1,0)</f>
        <v>1</v>
      </c>
      <c r="AI411" s="3">
        <f>IF(DAY(Table1[[#This Row],[تاريخ بلوغ 60 ]])&lt;&gt;1,1,0)</f>
        <v>1</v>
      </c>
      <c r="AJ411" s="4" t="s">
        <v>465</v>
      </c>
      <c r="AK411" s="4" t="s">
        <v>2636</v>
      </c>
      <c r="AL411" s="62" t="s">
        <v>2388</v>
      </c>
      <c r="AM411" s="62" t="s">
        <v>3061</v>
      </c>
      <c r="AN411" s="2">
        <v>4</v>
      </c>
      <c r="AO411" s="4" t="s">
        <v>2641</v>
      </c>
      <c r="AP411" s="74">
        <v>504.53</v>
      </c>
      <c r="AQ411" s="4">
        <v>25</v>
      </c>
      <c r="AR411" s="4">
        <v>2</v>
      </c>
      <c r="AS411" s="4" t="s">
        <v>2696</v>
      </c>
      <c r="AT411" s="72">
        <v>4</v>
      </c>
      <c r="AU411" s="2">
        <v>8</v>
      </c>
      <c r="AV411" s="4"/>
      <c r="AW411" s="4"/>
      <c r="AX411" s="4"/>
    </row>
    <row r="412" spans="1:50" ht="15" x14ac:dyDescent="0.2">
      <c r="A412" s="3">
        <v>35923</v>
      </c>
      <c r="B412" s="1" t="s">
        <v>468</v>
      </c>
      <c r="C412" s="3">
        <v>1</v>
      </c>
      <c r="D412" s="3" t="s">
        <v>465</v>
      </c>
      <c r="E412" s="3">
        <v>21</v>
      </c>
      <c r="F412" s="3" t="s">
        <v>474</v>
      </c>
      <c r="G412" s="7" t="s">
        <v>345</v>
      </c>
      <c r="H412" s="3">
        <v>99</v>
      </c>
      <c r="I412" s="3" t="s">
        <v>1047</v>
      </c>
      <c r="J412" s="3">
        <v>18</v>
      </c>
      <c r="K412" s="3" t="s">
        <v>1529</v>
      </c>
      <c r="L412" s="3">
        <v>8</v>
      </c>
      <c r="M412" s="3" t="s">
        <v>506</v>
      </c>
      <c r="N412" s="3" t="s">
        <v>1047</v>
      </c>
      <c r="O412" s="10">
        <v>32491</v>
      </c>
      <c r="P412" s="10">
        <v>44927</v>
      </c>
      <c r="Q412" s="10"/>
      <c r="R412" s="10">
        <v>44927</v>
      </c>
      <c r="S412" s="23">
        <v>2158.12</v>
      </c>
      <c r="T412" s="3">
        <v>56600218</v>
      </c>
      <c r="U412" s="3">
        <v>28812140300314</v>
      </c>
      <c r="V412" s="4" t="s">
        <v>2391</v>
      </c>
      <c r="W412" s="4">
        <v>74170</v>
      </c>
      <c r="X412" s="4" t="s">
        <v>1583</v>
      </c>
      <c r="Z412" s="3">
        <f ca="1">DATEDIF(Table1[[#This Row],[تاريخ الميلاد]],TODAY(),"y")</f>
        <v>37</v>
      </c>
      <c r="AA41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8  شهر  6  يوم </v>
      </c>
      <c r="AB41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3عام7  شهر  19  يوم </v>
      </c>
      <c r="AC412" s="10">
        <f>DATE(YEAR(Table1[[#This Row],[تاريخ الميلاد]])+60,MONTH(Table1[[#This Row],[تاريخ الميلاد]]),DAY(Table1[[#This Row],[تاريخ الميلاد]]))</f>
        <v>54406</v>
      </c>
      <c r="AD412" s="14">
        <f>DATE(YEAR(Table1[[#This Row],[معاش 01/01]])-1,MONTH(Table1[[#This Row],[تاريخ بلوغ 60 ]]),DAY(Table1[[#This Row],[تاريخ بلوغ 60 ]]))</f>
        <v>54406</v>
      </c>
      <c r="AE41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54771</v>
      </c>
      <c r="AF412" s="10" t="str">
        <f>IFERROR(IF(ISODD(MID(Table1[[#This Row],[الرقم القومي]],13,1)),"ذكر","انثي"),"")</f>
        <v>ذكر</v>
      </c>
      <c r="AG412" s="70" t="s">
        <v>2606</v>
      </c>
      <c r="AH412" s="3">
        <f>IF(MONTH(Table1[[#This Row],[تاريخ بلوغ 60 ]])&lt;&gt;1,1,0)</f>
        <v>1</v>
      </c>
      <c r="AI412" s="3">
        <f>IF(DAY(Table1[[#This Row],[تاريخ بلوغ 60 ]])&lt;&gt;1,1,0)</f>
        <v>1</v>
      </c>
      <c r="AJ412" s="4" t="s">
        <v>465</v>
      </c>
      <c r="AK412" s="4" t="s">
        <v>2666</v>
      </c>
      <c r="AL412" s="62" t="s">
        <v>2390</v>
      </c>
      <c r="AM412" s="62" t="s">
        <v>3062</v>
      </c>
      <c r="AN412" s="2">
        <v>4</v>
      </c>
      <c r="AO412" s="4" t="s">
        <v>2641</v>
      </c>
      <c r="AP412" s="74">
        <v>504.53</v>
      </c>
      <c r="AQ412" s="4">
        <v>25</v>
      </c>
      <c r="AR412" s="4">
        <v>3</v>
      </c>
      <c r="AS412" s="4" t="s">
        <v>2668</v>
      </c>
      <c r="AT412" s="72">
        <v>6</v>
      </c>
      <c r="AU412" s="2">
        <v>8</v>
      </c>
      <c r="AV412" s="4"/>
      <c r="AW412" s="4"/>
      <c r="AX412" s="4"/>
    </row>
    <row r="413" spans="1:50" ht="15" x14ac:dyDescent="0.2">
      <c r="A413" s="3">
        <v>35926</v>
      </c>
      <c r="B413" s="1" t="s">
        <v>468</v>
      </c>
      <c r="C413" s="3">
        <v>1</v>
      </c>
      <c r="D413" s="3" t="s">
        <v>465</v>
      </c>
      <c r="E413" s="3">
        <v>21</v>
      </c>
      <c r="F413" s="3" t="s">
        <v>474</v>
      </c>
      <c r="G413" s="7" t="s">
        <v>346</v>
      </c>
      <c r="H413" s="3">
        <v>99</v>
      </c>
      <c r="I413" s="3" t="s">
        <v>1047</v>
      </c>
      <c r="J413" s="3">
        <v>18</v>
      </c>
      <c r="K413" s="3" t="s">
        <v>1529</v>
      </c>
      <c r="L413" s="3">
        <v>7</v>
      </c>
      <c r="M413" s="3" t="s">
        <v>504</v>
      </c>
      <c r="N413" s="3" t="s">
        <v>1053</v>
      </c>
      <c r="O413" s="10">
        <v>31369</v>
      </c>
      <c r="P413" s="10">
        <v>44139</v>
      </c>
      <c r="Q413" s="10"/>
      <c r="R413" s="10">
        <v>46022</v>
      </c>
      <c r="S413" s="23">
        <v>2670.56</v>
      </c>
      <c r="T413" s="3">
        <v>58066007</v>
      </c>
      <c r="U413" s="3">
        <v>28511180300171</v>
      </c>
      <c r="V413" s="4" t="s">
        <v>2393</v>
      </c>
      <c r="W413" s="4">
        <v>74176</v>
      </c>
      <c r="X413" s="4" t="s">
        <v>1583</v>
      </c>
      <c r="Z413" s="3">
        <f ca="1">DATEDIF(Table1[[#This Row],[تاريخ الميلاد]],TODAY(),"y")</f>
        <v>40</v>
      </c>
      <c r="AA41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40 عام 9  شهر  2  يوم </v>
      </c>
      <c r="AB41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5عام9  شهر  16  يوم </v>
      </c>
      <c r="AC413" s="10">
        <f>DATE(YEAR(Table1[[#This Row],[تاريخ الميلاد]])+60,MONTH(Table1[[#This Row],[تاريخ الميلاد]]),DAY(Table1[[#This Row],[تاريخ الميلاد]]))</f>
        <v>53284</v>
      </c>
      <c r="AD413" s="14">
        <f>DATE(YEAR(Table1[[#This Row],[معاش 01/01]])-1,MONTH(Table1[[#This Row],[تاريخ بلوغ 60 ]]),DAY(Table1[[#This Row],[تاريخ بلوغ 60 ]]))</f>
        <v>53284</v>
      </c>
      <c r="AE41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53649</v>
      </c>
      <c r="AF413" s="10" t="str">
        <f>IFERROR(IF(ISODD(MID(Table1[[#This Row],[الرقم القومي]],13,1)),"ذكر","انثي"),"")</f>
        <v>ذكر</v>
      </c>
      <c r="AG413" s="70" t="s">
        <v>2606</v>
      </c>
      <c r="AH413" s="3">
        <f>IF(MONTH(Table1[[#This Row],[تاريخ بلوغ 60 ]])&lt;&gt;1,1,0)</f>
        <v>1</v>
      </c>
      <c r="AI413" s="3">
        <f>IF(DAY(Table1[[#This Row],[تاريخ بلوغ 60 ]])&lt;&gt;1,1,0)</f>
        <v>1</v>
      </c>
      <c r="AJ413" s="4" t="s">
        <v>465</v>
      </c>
      <c r="AK413" s="4" t="s">
        <v>2730</v>
      </c>
      <c r="AL413" s="62" t="s">
        <v>2392</v>
      </c>
      <c r="AM413" s="62" t="s">
        <v>3063</v>
      </c>
      <c r="AN413" s="2">
        <v>4</v>
      </c>
      <c r="AO413" s="4" t="s">
        <v>2641</v>
      </c>
      <c r="AP413" s="74">
        <v>632.64</v>
      </c>
      <c r="AQ413" s="4">
        <v>25</v>
      </c>
      <c r="AR413" s="4">
        <v>3</v>
      </c>
      <c r="AS413" s="4" t="s">
        <v>2668</v>
      </c>
      <c r="AT413" s="72">
        <v>6</v>
      </c>
      <c r="AU413" s="2">
        <v>7</v>
      </c>
      <c r="AV413" s="4"/>
      <c r="AW413" s="4"/>
      <c r="AX413" s="4"/>
    </row>
    <row r="414" spans="1:50" ht="15" x14ac:dyDescent="0.2">
      <c r="A414" s="3">
        <v>35929</v>
      </c>
      <c r="B414" s="1" t="s">
        <v>468</v>
      </c>
      <c r="C414" s="3">
        <v>1</v>
      </c>
      <c r="D414" s="3" t="s">
        <v>465</v>
      </c>
      <c r="E414" s="3">
        <v>21</v>
      </c>
      <c r="F414" s="3" t="s">
        <v>474</v>
      </c>
      <c r="G414" s="7" t="s">
        <v>347</v>
      </c>
      <c r="H414" s="3">
        <v>99</v>
      </c>
      <c r="I414" s="3" t="s">
        <v>1047</v>
      </c>
      <c r="J414" s="3">
        <v>18</v>
      </c>
      <c r="K414" s="3" t="s">
        <v>1529</v>
      </c>
      <c r="L414" s="3">
        <v>8</v>
      </c>
      <c r="M414" s="3" t="s">
        <v>506</v>
      </c>
      <c r="N414" s="3" t="s">
        <v>1047</v>
      </c>
      <c r="O414" s="10">
        <v>32317</v>
      </c>
      <c r="P414" s="10">
        <v>44927</v>
      </c>
      <c r="Q414" s="10"/>
      <c r="R414" s="10">
        <v>44927</v>
      </c>
      <c r="S414" s="23">
        <v>2158.12</v>
      </c>
      <c r="T414" s="3">
        <v>58164807</v>
      </c>
      <c r="U414" s="3">
        <v>28806230300097</v>
      </c>
      <c r="V414" s="4" t="s">
        <v>2395</v>
      </c>
      <c r="W414" s="4">
        <v>74179</v>
      </c>
      <c r="X414" s="4" t="s">
        <v>1583</v>
      </c>
      <c r="Y414" s="4">
        <v>2005</v>
      </c>
      <c r="Z414" s="3">
        <f ca="1">DATEDIF(Table1[[#This Row],[تاريخ الميلاد]],TODAY(),"y")</f>
        <v>38</v>
      </c>
      <c r="AA41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1  شهر  28  يوم </v>
      </c>
      <c r="AB41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3عام7  شهر  19  يوم </v>
      </c>
      <c r="AC414" s="10">
        <f>DATE(YEAR(Table1[[#This Row],[تاريخ الميلاد]])+60,MONTH(Table1[[#This Row],[تاريخ الميلاد]]),DAY(Table1[[#This Row],[تاريخ الميلاد]]))</f>
        <v>54232</v>
      </c>
      <c r="AD414" s="14">
        <f>DATE(YEAR(Table1[[#This Row],[معاش 01/01]])-1,MONTH(Table1[[#This Row],[تاريخ بلوغ 60 ]]),DAY(Table1[[#This Row],[تاريخ بلوغ 60 ]]))</f>
        <v>54232</v>
      </c>
      <c r="AE41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54597</v>
      </c>
      <c r="AF414" s="10" t="str">
        <f>IFERROR(IF(ISODD(MID(Table1[[#This Row],[الرقم القومي]],13,1)),"ذكر","انثي"),"")</f>
        <v>ذكر</v>
      </c>
      <c r="AG414" s="70" t="s">
        <v>2606</v>
      </c>
      <c r="AH414" s="3">
        <f>IF(MONTH(Table1[[#This Row],[تاريخ بلوغ 60 ]])&lt;&gt;1,1,0)</f>
        <v>1</v>
      </c>
      <c r="AI414" s="3">
        <f>IF(DAY(Table1[[#This Row],[تاريخ بلوغ 60 ]])&lt;&gt;1,1,0)</f>
        <v>1</v>
      </c>
      <c r="AJ414" s="4" t="s">
        <v>465</v>
      </c>
      <c r="AK414" s="4" t="s">
        <v>2689</v>
      </c>
      <c r="AL414" s="62" t="s">
        <v>2394</v>
      </c>
      <c r="AM414" s="62" t="s">
        <v>3064</v>
      </c>
      <c r="AN414" s="2">
        <v>4</v>
      </c>
      <c r="AO414" s="4" t="s">
        <v>2641</v>
      </c>
      <c r="AP414" s="74">
        <v>504.53</v>
      </c>
      <c r="AQ414" s="4">
        <v>25</v>
      </c>
      <c r="AR414" s="4">
        <v>3</v>
      </c>
      <c r="AS414" s="4" t="s">
        <v>2668</v>
      </c>
      <c r="AT414" s="72">
        <v>6</v>
      </c>
      <c r="AU414" s="2">
        <v>8</v>
      </c>
      <c r="AV414" s="4"/>
      <c r="AW414" s="4"/>
      <c r="AX414" s="4"/>
    </row>
    <row r="415" spans="1:50" ht="15" x14ac:dyDescent="0.2">
      <c r="A415" s="3">
        <v>35932</v>
      </c>
      <c r="B415" s="1" t="s">
        <v>468</v>
      </c>
      <c r="C415" s="3">
        <v>1</v>
      </c>
      <c r="D415" s="3" t="s">
        <v>465</v>
      </c>
      <c r="E415" s="3">
        <v>21</v>
      </c>
      <c r="F415" s="3" t="s">
        <v>474</v>
      </c>
      <c r="G415" s="7" t="s">
        <v>348</v>
      </c>
      <c r="H415" s="3">
        <v>99</v>
      </c>
      <c r="I415" s="3" t="s">
        <v>1047</v>
      </c>
      <c r="J415" s="3">
        <v>18</v>
      </c>
      <c r="K415" s="3" t="s">
        <v>1529</v>
      </c>
      <c r="L415" s="3">
        <v>8</v>
      </c>
      <c r="M415" s="3" t="s">
        <v>506</v>
      </c>
      <c r="N415" s="3" t="s">
        <v>1047</v>
      </c>
      <c r="O415" s="10">
        <v>30747</v>
      </c>
      <c r="P415" s="10">
        <v>44140</v>
      </c>
      <c r="Q415" s="10"/>
      <c r="R415" s="10">
        <v>44140</v>
      </c>
      <c r="S415" s="23">
        <v>2495.84</v>
      </c>
      <c r="T415" s="3">
        <v>53137395</v>
      </c>
      <c r="U415" s="3">
        <v>28403060300235</v>
      </c>
      <c r="V415" s="4" t="s">
        <v>2397</v>
      </c>
      <c r="W415" s="4">
        <v>74172</v>
      </c>
      <c r="X415" s="4" t="s">
        <v>1583</v>
      </c>
      <c r="Y415" s="4">
        <v>2001</v>
      </c>
      <c r="Z415" s="3">
        <f ca="1">DATEDIF(Table1[[#This Row],[تاريخ الميلاد]],TODAY(),"y")</f>
        <v>42</v>
      </c>
      <c r="AA41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42 عام 5  شهر  14  يوم </v>
      </c>
      <c r="AB41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5عام9  شهر  15  يوم </v>
      </c>
      <c r="AC415" s="10">
        <f>DATE(YEAR(Table1[[#This Row],[تاريخ الميلاد]])+60,MONTH(Table1[[#This Row],[تاريخ الميلاد]]),DAY(Table1[[#This Row],[تاريخ الميلاد]]))</f>
        <v>52662</v>
      </c>
      <c r="AD415" s="14">
        <f>DATE(YEAR(Table1[[#This Row],[معاش 01/01]])-1,MONTH(Table1[[#This Row],[تاريخ بلوغ 60 ]]),DAY(Table1[[#This Row],[تاريخ بلوغ 60 ]]))</f>
        <v>52662</v>
      </c>
      <c r="AE41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53027</v>
      </c>
      <c r="AF415" s="10" t="str">
        <f>IFERROR(IF(ISODD(MID(Table1[[#This Row],[الرقم القومي]],13,1)),"ذكر","انثي"),"")</f>
        <v>ذكر</v>
      </c>
      <c r="AG415" s="70" t="s">
        <v>2606</v>
      </c>
      <c r="AH415" s="3">
        <f>IF(MONTH(Table1[[#This Row],[تاريخ بلوغ 60 ]])&lt;&gt;1,1,0)</f>
        <v>1</v>
      </c>
      <c r="AI415" s="3">
        <f>IF(DAY(Table1[[#This Row],[تاريخ بلوغ 60 ]])&lt;&gt;1,1,0)</f>
        <v>1</v>
      </c>
      <c r="AJ415" s="4" t="s">
        <v>465</v>
      </c>
      <c r="AK415" s="4" t="s">
        <v>2770</v>
      </c>
      <c r="AL415" s="62" t="s">
        <v>2396</v>
      </c>
      <c r="AM415" s="62" t="s">
        <v>3065</v>
      </c>
      <c r="AN415" s="2">
        <v>4</v>
      </c>
      <c r="AO415" s="4" t="s">
        <v>2641</v>
      </c>
      <c r="AP415" s="74">
        <v>588.96</v>
      </c>
      <c r="AQ415" s="4">
        <v>25</v>
      </c>
      <c r="AR415" s="4">
        <v>3</v>
      </c>
      <c r="AS415" s="4" t="s">
        <v>2668</v>
      </c>
      <c r="AT415" s="72">
        <v>6</v>
      </c>
      <c r="AU415" s="2">
        <v>8</v>
      </c>
      <c r="AV415" s="4"/>
      <c r="AW415" s="4"/>
      <c r="AX415" s="4"/>
    </row>
    <row r="416" spans="1:50" ht="15" x14ac:dyDescent="0.2">
      <c r="A416" s="3">
        <v>35937</v>
      </c>
      <c r="B416" s="1" t="s">
        <v>468</v>
      </c>
      <c r="C416" s="3">
        <v>1</v>
      </c>
      <c r="D416" s="3" t="s">
        <v>465</v>
      </c>
      <c r="E416" s="3">
        <v>21</v>
      </c>
      <c r="F416" s="3" t="s">
        <v>474</v>
      </c>
      <c r="G416" s="7" t="s">
        <v>2398</v>
      </c>
      <c r="H416" s="3">
        <v>99</v>
      </c>
      <c r="I416" s="3" t="s">
        <v>1047</v>
      </c>
      <c r="J416" s="3">
        <v>18</v>
      </c>
      <c r="K416" s="3" t="s">
        <v>1529</v>
      </c>
      <c r="L416" s="3">
        <v>8</v>
      </c>
      <c r="M416" s="3" t="s">
        <v>506</v>
      </c>
      <c r="N416" s="3" t="s">
        <v>1047</v>
      </c>
      <c r="O416" s="10">
        <v>31039</v>
      </c>
      <c r="P416" s="10">
        <v>44927</v>
      </c>
      <c r="Q416" s="10"/>
      <c r="R416" s="10">
        <v>44927</v>
      </c>
      <c r="S416" s="23">
        <v>2158.12</v>
      </c>
      <c r="T416" s="3">
        <v>21027097</v>
      </c>
      <c r="U416" s="3">
        <v>28412230300218</v>
      </c>
      <c r="V416" s="4" t="s">
        <v>2400</v>
      </c>
      <c r="W416" s="4">
        <v>74178</v>
      </c>
      <c r="X416" s="4" t="s">
        <v>1583</v>
      </c>
      <c r="Y416" s="4">
        <v>2003</v>
      </c>
      <c r="Z416" s="3">
        <f ca="1">DATEDIF(Table1[[#This Row],[تاريخ الميلاد]],TODAY(),"y")</f>
        <v>41</v>
      </c>
      <c r="AA41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41 عام 7  شهر  28  يوم </v>
      </c>
      <c r="AB41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3عام7  شهر  19  يوم </v>
      </c>
      <c r="AC416" s="10">
        <f>DATE(YEAR(Table1[[#This Row],[تاريخ الميلاد]])+60,MONTH(Table1[[#This Row],[تاريخ الميلاد]]),DAY(Table1[[#This Row],[تاريخ الميلاد]]))</f>
        <v>52954</v>
      </c>
      <c r="AD416" s="14">
        <f>DATE(YEAR(Table1[[#This Row],[معاش 01/01]])-1,MONTH(Table1[[#This Row],[تاريخ بلوغ 60 ]]),DAY(Table1[[#This Row],[تاريخ بلوغ 60 ]]))</f>
        <v>52954</v>
      </c>
      <c r="AE41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53319</v>
      </c>
      <c r="AF416" s="10" t="str">
        <f>IFERROR(IF(ISODD(MID(Table1[[#This Row],[الرقم القومي]],13,1)),"ذكر","انثي"),"")</f>
        <v>ذكر</v>
      </c>
      <c r="AG416" s="70" t="s">
        <v>2606</v>
      </c>
      <c r="AH416" s="3">
        <f>IF(MONTH(Table1[[#This Row],[تاريخ بلوغ 60 ]])&lt;&gt;1,1,0)</f>
        <v>1</v>
      </c>
      <c r="AI416" s="3">
        <f>IF(DAY(Table1[[#This Row],[تاريخ بلوغ 60 ]])&lt;&gt;1,1,0)</f>
        <v>1</v>
      </c>
      <c r="AJ416" s="4" t="s">
        <v>465</v>
      </c>
      <c r="AK416" s="4" t="s">
        <v>2666</v>
      </c>
      <c r="AL416" s="62" t="s">
        <v>2399</v>
      </c>
      <c r="AM416" s="62" t="s">
        <v>3066</v>
      </c>
      <c r="AN416" s="2">
        <v>4</v>
      </c>
      <c r="AO416" s="4" t="s">
        <v>2641</v>
      </c>
      <c r="AP416" s="74">
        <v>504.53</v>
      </c>
      <c r="AQ416" s="4">
        <v>25</v>
      </c>
      <c r="AR416" s="4">
        <v>3</v>
      </c>
      <c r="AS416" s="4" t="s">
        <v>2668</v>
      </c>
      <c r="AT416" s="72">
        <v>6</v>
      </c>
      <c r="AU416" s="2">
        <v>8</v>
      </c>
      <c r="AV416" s="4"/>
      <c r="AW416" s="4"/>
      <c r="AX416" s="4"/>
    </row>
    <row r="417" spans="1:50" ht="15" x14ac:dyDescent="0.2">
      <c r="A417" s="3">
        <v>35939</v>
      </c>
      <c r="B417" s="1" t="s">
        <v>468</v>
      </c>
      <c r="C417" s="3">
        <v>1</v>
      </c>
      <c r="D417" s="3" t="s">
        <v>465</v>
      </c>
      <c r="E417" s="3">
        <v>21</v>
      </c>
      <c r="F417" s="3" t="s">
        <v>474</v>
      </c>
      <c r="G417" s="7" t="s">
        <v>349</v>
      </c>
      <c r="H417" s="3">
        <v>99</v>
      </c>
      <c r="I417" s="3" t="s">
        <v>1047</v>
      </c>
      <c r="J417" s="3">
        <v>18</v>
      </c>
      <c r="K417" s="3" t="s">
        <v>1529</v>
      </c>
      <c r="L417" s="3">
        <v>8</v>
      </c>
      <c r="M417" s="3" t="s">
        <v>506</v>
      </c>
      <c r="N417" s="3" t="s">
        <v>1047</v>
      </c>
      <c r="O417" s="10">
        <v>30969</v>
      </c>
      <c r="P417" s="10">
        <v>44927</v>
      </c>
      <c r="Q417" s="10"/>
      <c r="R417" s="10">
        <v>44927</v>
      </c>
      <c r="S417" s="23">
        <v>2158.12</v>
      </c>
      <c r="T417" s="3">
        <v>58165343</v>
      </c>
      <c r="U417" s="3">
        <v>28410140300551</v>
      </c>
      <c r="V417" s="4" t="s">
        <v>2402</v>
      </c>
      <c r="W417" s="4">
        <v>74171</v>
      </c>
      <c r="X417" s="4" t="s">
        <v>1583</v>
      </c>
      <c r="Y417" s="4">
        <v>2001</v>
      </c>
      <c r="Z417" s="3">
        <f ca="1">DATEDIF(Table1[[#This Row],[تاريخ الميلاد]],TODAY(),"y")</f>
        <v>41</v>
      </c>
      <c r="AA41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41 عام 10  شهر  6  يوم </v>
      </c>
      <c r="AB41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3عام7  شهر  19  يوم </v>
      </c>
      <c r="AC417" s="10">
        <f>DATE(YEAR(Table1[[#This Row],[تاريخ الميلاد]])+60,MONTH(Table1[[#This Row],[تاريخ الميلاد]]),DAY(Table1[[#This Row],[تاريخ الميلاد]]))</f>
        <v>52884</v>
      </c>
      <c r="AD417" s="14">
        <f>DATE(YEAR(Table1[[#This Row],[معاش 01/01]])-1,MONTH(Table1[[#This Row],[تاريخ بلوغ 60 ]]),DAY(Table1[[#This Row],[تاريخ بلوغ 60 ]]))</f>
        <v>52884</v>
      </c>
      <c r="AE41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53249</v>
      </c>
      <c r="AF417" s="10" t="str">
        <f>IFERROR(IF(ISODD(MID(Table1[[#This Row],[الرقم القومي]],13,1)),"ذكر","انثي"),"")</f>
        <v>ذكر</v>
      </c>
      <c r="AG417" s="70" t="s">
        <v>2606</v>
      </c>
      <c r="AH417" s="3">
        <f>IF(MONTH(Table1[[#This Row],[تاريخ بلوغ 60 ]])&lt;&gt;1,1,0)</f>
        <v>1</v>
      </c>
      <c r="AI417" s="3">
        <f>IF(DAY(Table1[[#This Row],[تاريخ بلوغ 60 ]])&lt;&gt;1,1,0)</f>
        <v>1</v>
      </c>
      <c r="AJ417" s="4" t="s">
        <v>465</v>
      </c>
      <c r="AK417" s="4" t="s">
        <v>2689</v>
      </c>
      <c r="AL417" s="62" t="s">
        <v>2401</v>
      </c>
      <c r="AM417" s="62" t="s">
        <v>3067</v>
      </c>
      <c r="AN417" s="2">
        <v>4</v>
      </c>
      <c r="AO417" s="4" t="s">
        <v>2641</v>
      </c>
      <c r="AP417" s="74">
        <v>504.53</v>
      </c>
      <c r="AQ417" s="4">
        <v>25</v>
      </c>
      <c r="AR417" s="4">
        <v>3</v>
      </c>
      <c r="AS417" s="4" t="s">
        <v>2668</v>
      </c>
      <c r="AT417" s="72">
        <v>6</v>
      </c>
      <c r="AU417" s="2">
        <v>8</v>
      </c>
      <c r="AV417" s="4"/>
      <c r="AW417" s="4"/>
      <c r="AX417" s="4"/>
    </row>
    <row r="418" spans="1:50" ht="15" x14ac:dyDescent="0.2">
      <c r="A418" s="3">
        <v>36007</v>
      </c>
      <c r="B418" s="1" t="s">
        <v>468</v>
      </c>
      <c r="C418" s="3">
        <v>1</v>
      </c>
      <c r="D418" s="3" t="s">
        <v>465</v>
      </c>
      <c r="E418" s="3">
        <v>3</v>
      </c>
      <c r="F418" s="3" t="s">
        <v>472</v>
      </c>
      <c r="G418" s="7" t="s">
        <v>350</v>
      </c>
      <c r="H418" s="3">
        <v>99</v>
      </c>
      <c r="I418" s="3" t="s">
        <v>1047</v>
      </c>
      <c r="J418" s="3">
        <v>18</v>
      </c>
      <c r="K418" s="3" t="s">
        <v>1529</v>
      </c>
      <c r="L418" s="3">
        <v>8</v>
      </c>
      <c r="M418" s="3" t="s">
        <v>506</v>
      </c>
      <c r="N418" s="3" t="s">
        <v>1047</v>
      </c>
      <c r="O418" s="10">
        <v>32350</v>
      </c>
      <c r="P418" s="10">
        <v>45108</v>
      </c>
      <c r="Q418" s="10"/>
      <c r="R418" s="10">
        <v>45108</v>
      </c>
      <c r="S418" s="23">
        <v>2158.12</v>
      </c>
      <c r="T418" s="3">
        <v>63724973</v>
      </c>
      <c r="U418" s="3">
        <v>28807260300331</v>
      </c>
      <c r="V418" s="4" t="s">
        <v>2404</v>
      </c>
      <c r="W418" s="4">
        <v>74590</v>
      </c>
      <c r="X418" s="4" t="s">
        <v>1583</v>
      </c>
      <c r="Y418" s="4">
        <v>2007</v>
      </c>
      <c r="Z418" s="3">
        <f ca="1">DATEDIF(Table1[[#This Row],[تاريخ الميلاد]],TODAY(),"y")</f>
        <v>38</v>
      </c>
      <c r="AA41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0  شهر  25  يوم </v>
      </c>
      <c r="AB41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3عام1  شهر  19  يوم </v>
      </c>
      <c r="AC418" s="10">
        <f>DATE(YEAR(Table1[[#This Row],[تاريخ الميلاد]])+60,MONTH(Table1[[#This Row],[تاريخ الميلاد]]),DAY(Table1[[#This Row],[تاريخ الميلاد]]))</f>
        <v>54265</v>
      </c>
      <c r="AD418" s="14">
        <f>DATE(YEAR(Table1[[#This Row],[معاش 01/01]])-1,MONTH(Table1[[#This Row],[تاريخ بلوغ 60 ]]),DAY(Table1[[#This Row],[تاريخ بلوغ 60 ]]))</f>
        <v>54265</v>
      </c>
      <c r="AE41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54630</v>
      </c>
      <c r="AF418" s="10" t="str">
        <f>IFERROR(IF(ISODD(MID(Table1[[#This Row],[الرقم القومي]],13,1)),"ذكر","انثي"),"")</f>
        <v>ذكر</v>
      </c>
      <c r="AG418" s="70" t="s">
        <v>2606</v>
      </c>
      <c r="AH418" s="3">
        <f>IF(MONTH(Table1[[#This Row],[تاريخ بلوغ 60 ]])&lt;&gt;1,1,0)</f>
        <v>1</v>
      </c>
      <c r="AI418" s="3">
        <f>IF(DAY(Table1[[#This Row],[تاريخ بلوغ 60 ]])&lt;&gt;1,1,0)</f>
        <v>1</v>
      </c>
      <c r="AJ418" s="4" t="s">
        <v>465</v>
      </c>
      <c r="AK418" s="4">
        <v>0</v>
      </c>
      <c r="AL418" s="62" t="s">
        <v>2403</v>
      </c>
      <c r="AM418" s="62" t="s">
        <v>3068</v>
      </c>
      <c r="AN418" s="2">
        <v>4</v>
      </c>
      <c r="AO418" s="4" t="s">
        <v>2641</v>
      </c>
      <c r="AP418" s="74">
        <v>504.53</v>
      </c>
      <c r="AQ418" s="4">
        <v>25</v>
      </c>
      <c r="AR418" s="4">
        <v>3</v>
      </c>
      <c r="AS418" s="4" t="s">
        <v>2668</v>
      </c>
      <c r="AT418" s="72">
        <v>6</v>
      </c>
      <c r="AU418" s="2">
        <v>8</v>
      </c>
      <c r="AV418" s="4"/>
      <c r="AW418" s="4"/>
      <c r="AX418" s="4"/>
    </row>
    <row r="419" spans="1:50" ht="15" x14ac:dyDescent="0.2">
      <c r="A419" s="3">
        <v>36009</v>
      </c>
      <c r="B419" s="1" t="s">
        <v>468</v>
      </c>
      <c r="C419" s="3">
        <v>1</v>
      </c>
      <c r="D419" s="3" t="s">
        <v>465</v>
      </c>
      <c r="E419" s="3">
        <v>3</v>
      </c>
      <c r="F419" s="3" t="s">
        <v>472</v>
      </c>
      <c r="G419" s="7" t="s">
        <v>2405</v>
      </c>
      <c r="H419" s="3">
        <v>99</v>
      </c>
      <c r="I419" s="3" t="s">
        <v>1047</v>
      </c>
      <c r="J419" s="3">
        <v>18</v>
      </c>
      <c r="K419" s="3" t="s">
        <v>1529</v>
      </c>
      <c r="L419" s="3">
        <v>8</v>
      </c>
      <c r="M419" s="3" t="s">
        <v>506</v>
      </c>
      <c r="N419" s="3" t="s">
        <v>1047</v>
      </c>
      <c r="O419" s="10">
        <v>31047</v>
      </c>
      <c r="P419" s="10">
        <v>45108</v>
      </c>
      <c r="Q419" s="10"/>
      <c r="R419" s="10">
        <v>45108</v>
      </c>
      <c r="S419" s="23">
        <v>2158.12</v>
      </c>
      <c r="T419" s="3">
        <v>174228</v>
      </c>
      <c r="U419" s="3">
        <v>28412310300031</v>
      </c>
      <c r="V419" s="4" t="s">
        <v>2407</v>
      </c>
      <c r="W419" s="4">
        <v>74149</v>
      </c>
      <c r="X419" s="4" t="s">
        <v>1583</v>
      </c>
      <c r="Y419" s="4">
        <v>2007</v>
      </c>
      <c r="Z419" s="3">
        <f ca="1">DATEDIF(Table1[[#This Row],[تاريخ الميلاد]],TODAY(),"y")</f>
        <v>41</v>
      </c>
      <c r="AA41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41 عام 7  شهر  20  يوم </v>
      </c>
      <c r="AB41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3عام1  شهر  19  يوم </v>
      </c>
      <c r="AC419" s="10">
        <f>DATE(YEAR(Table1[[#This Row],[تاريخ الميلاد]])+60,MONTH(Table1[[#This Row],[تاريخ الميلاد]]),DAY(Table1[[#This Row],[تاريخ الميلاد]]))</f>
        <v>52962</v>
      </c>
      <c r="AD419" s="14">
        <f>DATE(YEAR(Table1[[#This Row],[معاش 01/01]])-1,MONTH(Table1[[#This Row],[تاريخ بلوغ 60 ]]),DAY(Table1[[#This Row],[تاريخ بلوغ 60 ]]))</f>
        <v>52962</v>
      </c>
      <c r="AE41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53327</v>
      </c>
      <c r="AF419" s="10" t="str">
        <f>IFERROR(IF(ISODD(MID(Table1[[#This Row],[الرقم القومي]],13,1)),"ذكر","انثي"),"")</f>
        <v>ذكر</v>
      </c>
      <c r="AG419" s="70" t="s">
        <v>2606</v>
      </c>
      <c r="AH419" s="3">
        <f>IF(MONTH(Table1[[#This Row],[تاريخ بلوغ 60 ]])&lt;&gt;1,1,0)</f>
        <v>1</v>
      </c>
      <c r="AI419" s="3">
        <f>IF(DAY(Table1[[#This Row],[تاريخ بلوغ 60 ]])&lt;&gt;1,1,0)</f>
        <v>1</v>
      </c>
      <c r="AJ419" s="4" t="s">
        <v>465</v>
      </c>
      <c r="AK419" s="4" t="s">
        <v>2689</v>
      </c>
      <c r="AL419" s="62" t="s">
        <v>2406</v>
      </c>
      <c r="AM419" s="62" t="s">
        <v>3069</v>
      </c>
      <c r="AN419" s="2">
        <v>4</v>
      </c>
      <c r="AO419" s="4" t="s">
        <v>2641</v>
      </c>
      <c r="AP419" s="74">
        <v>504.53</v>
      </c>
      <c r="AQ419" s="4">
        <v>25</v>
      </c>
      <c r="AR419" s="4">
        <v>3</v>
      </c>
      <c r="AS419" s="4" t="s">
        <v>2668</v>
      </c>
      <c r="AT419" s="72">
        <v>6</v>
      </c>
      <c r="AU419" s="2">
        <v>8</v>
      </c>
      <c r="AV419" s="4"/>
      <c r="AW419" s="4"/>
      <c r="AX419" s="4"/>
    </row>
    <row r="420" spans="1:50" ht="15" x14ac:dyDescent="0.2">
      <c r="A420" s="3">
        <v>36010</v>
      </c>
      <c r="B420" s="1" t="s">
        <v>468</v>
      </c>
      <c r="C420" s="3">
        <v>1</v>
      </c>
      <c r="D420" s="3" t="s">
        <v>465</v>
      </c>
      <c r="E420" s="3">
        <v>21</v>
      </c>
      <c r="F420" s="3" t="s">
        <v>474</v>
      </c>
      <c r="G420" s="7" t="s">
        <v>351</v>
      </c>
      <c r="H420" s="3">
        <v>99</v>
      </c>
      <c r="I420" s="3" t="s">
        <v>1047</v>
      </c>
      <c r="J420" s="3">
        <v>18</v>
      </c>
      <c r="K420" s="3" t="s">
        <v>1529</v>
      </c>
      <c r="L420" s="3">
        <v>8</v>
      </c>
      <c r="M420" s="3" t="s">
        <v>506</v>
      </c>
      <c r="N420" s="3" t="s">
        <v>1047</v>
      </c>
      <c r="O420" s="10">
        <v>32325</v>
      </c>
      <c r="P420" s="10">
        <v>45108</v>
      </c>
      <c r="Q420" s="10"/>
      <c r="R420" s="10">
        <v>45108</v>
      </c>
      <c r="S420" s="23">
        <v>2158.12</v>
      </c>
      <c r="T420" s="3">
        <v>20824867</v>
      </c>
      <c r="U420" s="3">
        <v>28807011902819</v>
      </c>
      <c r="V420" s="4" t="s">
        <v>2409</v>
      </c>
      <c r="W420" s="4">
        <v>74603</v>
      </c>
      <c r="X420" s="4" t="s">
        <v>1583</v>
      </c>
      <c r="Y420" s="4">
        <v>2007</v>
      </c>
      <c r="Z420" s="3">
        <f ca="1">DATEDIF(Table1[[#This Row],[تاريخ الميلاد]],TODAY(),"y")</f>
        <v>38</v>
      </c>
      <c r="AA42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1  شهر  19  يوم </v>
      </c>
      <c r="AB42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3عام1  شهر  19  يوم </v>
      </c>
      <c r="AC420" s="10">
        <f>DATE(YEAR(Table1[[#This Row],[تاريخ الميلاد]])+60,MONTH(Table1[[#This Row],[تاريخ الميلاد]]),DAY(Table1[[#This Row],[تاريخ الميلاد]]))</f>
        <v>54240</v>
      </c>
      <c r="AD420" s="14">
        <f>DATE(YEAR(Table1[[#This Row],[معاش 01/01]])-1,MONTH(Table1[[#This Row],[تاريخ بلوغ 60 ]]),DAY(Table1[[#This Row],[تاريخ بلوغ 60 ]]))</f>
        <v>54240</v>
      </c>
      <c r="AE42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54605</v>
      </c>
      <c r="AF420" s="10" t="str">
        <f>IFERROR(IF(ISODD(MID(Table1[[#This Row],[الرقم القومي]],13,1)),"ذكر","انثي"),"")</f>
        <v>ذكر</v>
      </c>
      <c r="AG420" s="70" t="s">
        <v>2616</v>
      </c>
      <c r="AH420" s="3">
        <f>IF(MONTH(Table1[[#This Row],[تاريخ بلوغ 60 ]])&lt;&gt;1,1,0)</f>
        <v>1</v>
      </c>
      <c r="AI420" s="3">
        <f>IF(DAY(Table1[[#This Row],[تاريخ بلوغ 60 ]])&lt;&gt;1,1,0)</f>
        <v>0</v>
      </c>
      <c r="AJ420" s="4" t="s">
        <v>465</v>
      </c>
      <c r="AK420" s="4" t="s">
        <v>2689</v>
      </c>
      <c r="AL420" s="62" t="s">
        <v>2408</v>
      </c>
      <c r="AM420" s="62" t="s">
        <v>3070</v>
      </c>
      <c r="AN420" s="2">
        <v>4</v>
      </c>
      <c r="AO420" s="4" t="s">
        <v>2641</v>
      </c>
      <c r="AP420" s="74">
        <v>504.53</v>
      </c>
      <c r="AQ420" s="4">
        <v>25</v>
      </c>
      <c r="AR420" s="4">
        <v>3</v>
      </c>
      <c r="AS420" s="4" t="s">
        <v>2668</v>
      </c>
      <c r="AT420" s="72">
        <v>6</v>
      </c>
      <c r="AU420" s="2">
        <v>8</v>
      </c>
      <c r="AV420" s="4"/>
      <c r="AW420" s="4"/>
      <c r="AX420" s="4"/>
    </row>
    <row r="421" spans="1:50" ht="15" x14ac:dyDescent="0.2">
      <c r="A421" s="3">
        <v>60358</v>
      </c>
      <c r="B421" s="1" t="s">
        <v>469</v>
      </c>
      <c r="C421" s="3">
        <v>1</v>
      </c>
      <c r="D421" s="3" t="s">
        <v>465</v>
      </c>
      <c r="E421" s="3">
        <v>6</v>
      </c>
      <c r="F421" s="3" t="s">
        <v>473</v>
      </c>
      <c r="G421" s="7" t="s">
        <v>439</v>
      </c>
      <c r="H421" s="3">
        <v>6</v>
      </c>
      <c r="I421" s="3" t="s">
        <v>629</v>
      </c>
      <c r="J421" s="3">
        <v>7</v>
      </c>
      <c r="K421" s="3" t="s">
        <v>1526</v>
      </c>
      <c r="L421" s="3">
        <v>6</v>
      </c>
      <c r="M421" s="3" t="s">
        <v>502</v>
      </c>
      <c r="N421" s="3" t="s">
        <v>629</v>
      </c>
      <c r="O421" s="10">
        <v>34769</v>
      </c>
      <c r="P421" s="10">
        <v>44759</v>
      </c>
      <c r="Q421" s="10"/>
      <c r="R421" s="10">
        <v>44759</v>
      </c>
      <c r="S421" s="23">
        <v>2069.19</v>
      </c>
      <c r="T421" s="3">
        <v>77668513</v>
      </c>
      <c r="U421" s="3">
        <v>29503110300043</v>
      </c>
      <c r="V421" s="4" t="s">
        <v>2411</v>
      </c>
      <c r="W421" s="4"/>
      <c r="X421" s="4" t="s">
        <v>1583</v>
      </c>
      <c r="Y421" s="4">
        <v>2017</v>
      </c>
      <c r="Z421" s="3">
        <f ca="1">DATEDIF(Table1[[#This Row],[تاريخ الميلاد]],TODAY(),"y")</f>
        <v>31</v>
      </c>
      <c r="AA42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31 عام 5  شهر  9  يوم </v>
      </c>
      <c r="AB42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4عام1  شهر  3  يوم </v>
      </c>
      <c r="AC421" s="10">
        <f>DATE(YEAR(Table1[[#This Row],[تاريخ الميلاد]])+60,MONTH(Table1[[#This Row],[تاريخ الميلاد]]),DAY(Table1[[#This Row],[تاريخ الميلاد]]))</f>
        <v>56684</v>
      </c>
      <c r="AD421" s="14">
        <f>DATE(YEAR(Table1[[#This Row],[معاش 01/01]])-1,MONTH(Table1[[#This Row],[تاريخ بلوغ 60 ]]),DAY(Table1[[#This Row],[تاريخ بلوغ 60 ]]))</f>
        <v>56684</v>
      </c>
      <c r="AE42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57050</v>
      </c>
      <c r="AF421" s="10" t="str">
        <f>IFERROR(IF(ISODD(MID(Table1[[#This Row],[الرقم القومي]],13,1)),"ذكر","انثي"),"")</f>
        <v>انثي</v>
      </c>
      <c r="AG421" s="70" t="s">
        <v>2606</v>
      </c>
      <c r="AH421" s="3">
        <f>IF(MONTH(Table1[[#This Row],[تاريخ بلوغ 60 ]])&lt;&gt;1,1,0)</f>
        <v>1</v>
      </c>
      <c r="AI421" s="3">
        <f>IF(DAY(Table1[[#This Row],[تاريخ بلوغ 60 ]])&lt;&gt;1,1,0)</f>
        <v>1</v>
      </c>
      <c r="AJ421" s="4" t="s">
        <v>465</v>
      </c>
      <c r="AK421" s="4" t="s">
        <v>2636</v>
      </c>
      <c r="AL421" s="62" t="s">
        <v>2410</v>
      </c>
      <c r="AM421" s="62" t="s">
        <v>3071</v>
      </c>
      <c r="AN421" s="2">
        <v>1</v>
      </c>
      <c r="AO421" s="4" t="s">
        <v>2641</v>
      </c>
      <c r="AP421" s="74">
        <v>241.15</v>
      </c>
      <c r="AQ421" s="4">
        <v>12.5</v>
      </c>
      <c r="AR421" s="4">
        <v>1</v>
      </c>
      <c r="AS421" s="4" t="s">
        <v>2635</v>
      </c>
      <c r="AT421" s="72">
        <v>2</v>
      </c>
      <c r="AU421" s="2">
        <v>6</v>
      </c>
      <c r="AV421" s="4"/>
      <c r="AW421" s="4"/>
      <c r="AX421" s="4"/>
    </row>
    <row r="422" spans="1:50" ht="15" x14ac:dyDescent="0.2">
      <c r="A422" s="3">
        <v>71414</v>
      </c>
      <c r="B422" s="1" t="s">
        <v>470</v>
      </c>
      <c r="C422" s="3">
        <v>1</v>
      </c>
      <c r="D422" s="3" t="s">
        <v>465</v>
      </c>
      <c r="E422" s="3">
        <v>3</v>
      </c>
      <c r="F422" s="3" t="s">
        <v>472</v>
      </c>
      <c r="G422" s="7" t="s">
        <v>433</v>
      </c>
      <c r="H422" s="3">
        <v>41</v>
      </c>
      <c r="I422" s="3" t="s">
        <v>713</v>
      </c>
      <c r="J422" s="3">
        <v>17</v>
      </c>
      <c r="K422" s="3" t="s">
        <v>1530</v>
      </c>
      <c r="L422" s="3">
        <v>8</v>
      </c>
      <c r="M422" s="3" t="s">
        <v>506</v>
      </c>
      <c r="N422" s="3" t="s">
        <v>713</v>
      </c>
      <c r="O422" s="10">
        <v>26245</v>
      </c>
      <c r="P422" s="10">
        <v>42932</v>
      </c>
      <c r="Q422" s="10"/>
      <c r="R422" s="10">
        <v>42932</v>
      </c>
      <c r="S422" s="23">
        <v>2356.0300000000002</v>
      </c>
      <c r="T422" s="3">
        <v>4435468</v>
      </c>
      <c r="U422" s="3">
        <v>27111081302381</v>
      </c>
      <c r="V422" s="4" t="s">
        <v>2413</v>
      </c>
      <c r="W422" s="4"/>
      <c r="X422" s="4" t="s">
        <v>2414</v>
      </c>
      <c r="Y422" s="4">
        <v>1989</v>
      </c>
      <c r="Z422" s="3">
        <f ca="1">DATEDIF(Table1[[#This Row],[تاريخ الميلاد]],TODAY(),"y")</f>
        <v>54</v>
      </c>
      <c r="AA42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54 عام 9  شهر  12  يوم </v>
      </c>
      <c r="AB42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9عام1  شهر  4  يوم </v>
      </c>
      <c r="AC422" s="10">
        <f>DATE(YEAR(Table1[[#This Row],[تاريخ الميلاد]])+60,MONTH(Table1[[#This Row],[تاريخ الميلاد]]),DAY(Table1[[#This Row],[تاريخ الميلاد]]))</f>
        <v>48160</v>
      </c>
      <c r="AD422" s="14">
        <f>DATE(YEAR(Table1[[#This Row],[معاش 01/01]])-1,MONTH(Table1[[#This Row],[تاريخ بلوغ 60 ]]),DAY(Table1[[#This Row],[تاريخ بلوغ 60 ]]))</f>
        <v>48160</v>
      </c>
      <c r="AE42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48526</v>
      </c>
      <c r="AF422" s="10" t="str">
        <f>IFERROR(IF(ISODD(MID(Table1[[#This Row],[الرقم القومي]],13,1)),"ذكر","انثي"),"")</f>
        <v>انثي</v>
      </c>
      <c r="AG422" s="70" t="s">
        <v>2610</v>
      </c>
      <c r="AH422" s="3">
        <f>IF(MONTH(Table1[[#This Row],[تاريخ بلوغ 60 ]])&lt;&gt;1,1,0)</f>
        <v>1</v>
      </c>
      <c r="AI422" s="3">
        <f>IF(DAY(Table1[[#This Row],[تاريخ بلوغ 60 ]])&lt;&gt;1,1,0)</f>
        <v>1</v>
      </c>
      <c r="AJ422" s="4" t="s">
        <v>465</v>
      </c>
      <c r="AK422" s="4" t="s">
        <v>2636</v>
      </c>
      <c r="AL422" s="62" t="s">
        <v>2412</v>
      </c>
      <c r="AM422" s="62" t="s">
        <v>3088</v>
      </c>
      <c r="AN422" s="2">
        <v>1</v>
      </c>
      <c r="AO422" s="4" t="s">
        <v>2641</v>
      </c>
      <c r="AP422" s="74">
        <v>270.91000000000003</v>
      </c>
      <c r="AQ422" s="4">
        <v>12.5</v>
      </c>
      <c r="AR422" s="4">
        <v>4</v>
      </c>
      <c r="AS422" s="4" t="s">
        <v>2930</v>
      </c>
      <c r="AT422" s="72">
        <v>0</v>
      </c>
      <c r="AU422" s="2">
        <v>8</v>
      </c>
      <c r="AV422" s="4"/>
      <c r="AW422" s="4"/>
      <c r="AX422" s="4"/>
    </row>
    <row r="423" spans="1:50" ht="15" x14ac:dyDescent="0.2">
      <c r="A423" s="3">
        <v>71417</v>
      </c>
      <c r="B423" s="1" t="s">
        <v>470</v>
      </c>
      <c r="C423" s="3">
        <v>1</v>
      </c>
      <c r="D423" s="3" t="s">
        <v>465</v>
      </c>
      <c r="E423" s="3">
        <v>3</v>
      </c>
      <c r="F423" s="3" t="s">
        <v>472</v>
      </c>
      <c r="G423" s="7" t="s">
        <v>434</v>
      </c>
      <c r="H423" s="3">
        <v>41</v>
      </c>
      <c r="I423" s="3" t="s">
        <v>713</v>
      </c>
      <c r="J423" s="3">
        <v>17</v>
      </c>
      <c r="K423" s="3" t="s">
        <v>1530</v>
      </c>
      <c r="L423" s="3">
        <v>8</v>
      </c>
      <c r="M423" s="3" t="s">
        <v>506</v>
      </c>
      <c r="N423" s="3" t="s">
        <v>713</v>
      </c>
      <c r="O423" s="10">
        <v>34041</v>
      </c>
      <c r="P423" s="10">
        <v>42932</v>
      </c>
      <c r="Q423" s="10"/>
      <c r="R423" s="10">
        <v>42932</v>
      </c>
      <c r="S423" s="23">
        <v>2356.0300000000002</v>
      </c>
      <c r="T423" s="3">
        <v>70698421</v>
      </c>
      <c r="U423" s="3">
        <v>29303130300245</v>
      </c>
      <c r="V423" s="4" t="s">
        <v>2416</v>
      </c>
      <c r="W423" s="4"/>
      <c r="X423" s="4" t="s">
        <v>2414</v>
      </c>
      <c r="Y423" s="4">
        <v>2011</v>
      </c>
      <c r="Z423" s="3">
        <f ca="1">DATEDIF(Table1[[#This Row],[تاريخ الميلاد]],TODAY(),"y")</f>
        <v>33</v>
      </c>
      <c r="AA42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33 عام 5  شهر  7  يوم </v>
      </c>
      <c r="AB42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9عام1  شهر  4  يوم </v>
      </c>
      <c r="AC423" s="10">
        <f>DATE(YEAR(Table1[[#This Row],[تاريخ الميلاد]])+60,MONTH(Table1[[#This Row],[تاريخ الميلاد]]),DAY(Table1[[#This Row],[تاريخ الميلاد]]))</f>
        <v>55956</v>
      </c>
      <c r="AD423" s="14">
        <f>DATE(YEAR(Table1[[#This Row],[معاش 01/01]])-1,MONTH(Table1[[#This Row],[تاريخ بلوغ 60 ]]),DAY(Table1[[#This Row],[تاريخ بلوغ 60 ]]))</f>
        <v>55956</v>
      </c>
      <c r="AE42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56321</v>
      </c>
      <c r="AF423" s="10" t="str">
        <f>IFERROR(IF(ISODD(MID(Table1[[#This Row],[الرقم القومي]],13,1)),"ذكر","انثي"),"")</f>
        <v>انثي</v>
      </c>
      <c r="AG423" s="70" t="s">
        <v>2606</v>
      </c>
      <c r="AH423" s="3">
        <f>IF(MONTH(Table1[[#This Row],[تاريخ بلوغ 60 ]])&lt;&gt;1,1,0)</f>
        <v>1</v>
      </c>
      <c r="AI423" s="3">
        <f>IF(DAY(Table1[[#This Row],[تاريخ بلوغ 60 ]])&lt;&gt;1,1,0)</f>
        <v>1</v>
      </c>
      <c r="AJ423" s="4" t="s">
        <v>465</v>
      </c>
      <c r="AK423" s="4" t="s">
        <v>2636</v>
      </c>
      <c r="AL423" s="62" t="s">
        <v>2415</v>
      </c>
      <c r="AM423" s="62" t="s">
        <v>3089</v>
      </c>
      <c r="AN423" s="2">
        <v>1</v>
      </c>
      <c r="AO423" s="4" t="s">
        <v>2641</v>
      </c>
      <c r="AP423" s="74">
        <v>270.91000000000003</v>
      </c>
      <c r="AQ423" s="4">
        <v>12.5</v>
      </c>
      <c r="AR423" s="4">
        <v>1</v>
      </c>
      <c r="AS423" s="4" t="s">
        <v>2635</v>
      </c>
      <c r="AT423" s="72">
        <v>2</v>
      </c>
      <c r="AU423" s="2">
        <v>8</v>
      </c>
      <c r="AV423" s="4"/>
      <c r="AW423" s="4"/>
      <c r="AX423" s="4"/>
    </row>
    <row r="424" spans="1:50" ht="15" x14ac:dyDescent="0.2">
      <c r="A424" s="3">
        <v>72908</v>
      </c>
      <c r="B424" s="1" t="s">
        <v>470</v>
      </c>
      <c r="C424" s="3">
        <v>1</v>
      </c>
      <c r="D424" s="3" t="s">
        <v>465</v>
      </c>
      <c r="E424" s="3">
        <v>3</v>
      </c>
      <c r="F424" s="3" t="s">
        <v>472</v>
      </c>
      <c r="G424" s="7" t="s">
        <v>435</v>
      </c>
      <c r="H424" s="3">
        <v>131</v>
      </c>
      <c r="I424" s="3" t="s">
        <v>1175</v>
      </c>
      <c r="J424" s="3">
        <v>21</v>
      </c>
      <c r="K424" s="3" t="s">
        <v>1533</v>
      </c>
      <c r="L424" s="3">
        <v>9</v>
      </c>
      <c r="M424" s="3" t="s">
        <v>1152</v>
      </c>
      <c r="N424" s="3" t="s">
        <v>1181</v>
      </c>
      <c r="O424" s="10">
        <v>27550</v>
      </c>
      <c r="P424" s="10">
        <v>43528</v>
      </c>
      <c r="Q424" s="10"/>
      <c r="R424" s="10">
        <v>43528</v>
      </c>
      <c r="S424" s="23">
        <v>2152.6</v>
      </c>
      <c r="T424" s="3">
        <v>47810856</v>
      </c>
      <c r="U424" s="3">
        <v>27506051301784</v>
      </c>
      <c r="V424" s="4" t="s">
        <v>2418</v>
      </c>
      <c r="W424" s="4"/>
      <c r="X424" s="4" t="s">
        <v>1583</v>
      </c>
      <c r="Y424" s="4">
        <v>1993</v>
      </c>
      <c r="Z424" s="3">
        <f ca="1">DATEDIF(Table1[[#This Row],[تاريخ الميلاد]],TODAY(),"y")</f>
        <v>51</v>
      </c>
      <c r="AA42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51 عام 2  شهر  15  يوم </v>
      </c>
      <c r="AB42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7عام5  شهر  16  يوم </v>
      </c>
      <c r="AC424" s="10">
        <f>DATE(YEAR(Table1[[#This Row],[تاريخ الميلاد]])+60,MONTH(Table1[[#This Row],[تاريخ الميلاد]]),DAY(Table1[[#This Row],[تاريخ الميلاد]]))</f>
        <v>49465</v>
      </c>
      <c r="AD424" s="14">
        <f>DATE(YEAR(Table1[[#This Row],[معاش 01/01]])-1,MONTH(Table1[[#This Row],[تاريخ بلوغ 60 ]]),DAY(Table1[[#This Row],[تاريخ بلوغ 60 ]]))</f>
        <v>49465</v>
      </c>
      <c r="AE42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49831</v>
      </c>
      <c r="AF424" s="10" t="str">
        <f>IFERROR(IF(ISODD(MID(Table1[[#This Row],[الرقم القومي]],13,1)),"ذكر","انثي"),"")</f>
        <v>انثي</v>
      </c>
      <c r="AG424" s="70" t="s">
        <v>2610</v>
      </c>
      <c r="AH424" s="3">
        <f>IF(MONTH(Table1[[#This Row],[تاريخ بلوغ 60 ]])&lt;&gt;1,1,0)</f>
        <v>1</v>
      </c>
      <c r="AI424" s="3">
        <f>IF(DAY(Table1[[#This Row],[تاريخ بلوغ 60 ]])&lt;&gt;1,1,0)</f>
        <v>1</v>
      </c>
      <c r="AJ424" s="4" t="s">
        <v>465</v>
      </c>
      <c r="AK424" s="4" t="s">
        <v>2636</v>
      </c>
      <c r="AL424" s="62" t="s">
        <v>2417</v>
      </c>
      <c r="AM424" s="62" t="s">
        <v>3090</v>
      </c>
      <c r="AN424" s="2">
        <v>1</v>
      </c>
      <c r="AO424" s="4" t="s">
        <v>2641</v>
      </c>
      <c r="AP424" s="74">
        <v>246.66</v>
      </c>
      <c r="AQ424" s="4">
        <v>12.5</v>
      </c>
      <c r="AR424" s="4">
        <v>4</v>
      </c>
      <c r="AS424" s="4" t="s">
        <v>2930</v>
      </c>
      <c r="AT424" s="72">
        <v>0</v>
      </c>
      <c r="AU424" s="2">
        <v>9</v>
      </c>
      <c r="AV424" s="4"/>
      <c r="AW424" s="4"/>
      <c r="AX424" s="4"/>
    </row>
    <row r="425" spans="1:50" ht="15" x14ac:dyDescent="0.2">
      <c r="A425" s="3">
        <v>74042</v>
      </c>
      <c r="B425" s="1" t="s">
        <v>470</v>
      </c>
      <c r="C425" s="3">
        <v>1</v>
      </c>
      <c r="D425" s="3" t="s">
        <v>465</v>
      </c>
      <c r="E425" s="3">
        <v>3</v>
      </c>
      <c r="F425" s="3" t="s">
        <v>472</v>
      </c>
      <c r="G425" s="7" t="s">
        <v>436</v>
      </c>
      <c r="H425" s="3">
        <v>41</v>
      </c>
      <c r="I425" s="3" t="s">
        <v>713</v>
      </c>
      <c r="J425" s="3">
        <v>17</v>
      </c>
      <c r="K425" s="3" t="s">
        <v>1530</v>
      </c>
      <c r="L425" s="3">
        <v>8</v>
      </c>
      <c r="M425" s="3" t="s">
        <v>506</v>
      </c>
      <c r="N425" s="3" t="s">
        <v>713</v>
      </c>
      <c r="O425" s="10">
        <v>34481</v>
      </c>
      <c r="P425" s="10">
        <v>43752</v>
      </c>
      <c r="Q425" s="10"/>
      <c r="R425" s="10">
        <v>43752</v>
      </c>
      <c r="S425" s="23">
        <v>2266.6999999999998</v>
      </c>
      <c r="T425" s="3">
        <v>75319413</v>
      </c>
      <c r="U425" s="3">
        <v>29405270300099</v>
      </c>
      <c r="V425" s="4" t="s">
        <v>2420</v>
      </c>
      <c r="W425" s="4"/>
      <c r="X425" s="4" t="s">
        <v>1583</v>
      </c>
      <c r="Y425" s="4">
        <v>2012</v>
      </c>
      <c r="Z425" s="3">
        <f ca="1">DATEDIF(Table1[[#This Row],[تاريخ الميلاد]],TODAY(),"y")</f>
        <v>32</v>
      </c>
      <c r="AA42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32 عام 2  شهر  24  يوم </v>
      </c>
      <c r="AB42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6عام10  شهر  6  يوم </v>
      </c>
      <c r="AC425" s="10">
        <f>DATE(YEAR(Table1[[#This Row],[تاريخ الميلاد]])+60,MONTH(Table1[[#This Row],[تاريخ الميلاد]]),DAY(Table1[[#This Row],[تاريخ الميلاد]]))</f>
        <v>56396</v>
      </c>
      <c r="AD425" s="14">
        <f>DATE(YEAR(Table1[[#This Row],[معاش 01/01]])-1,MONTH(Table1[[#This Row],[تاريخ بلوغ 60 ]]),DAY(Table1[[#This Row],[تاريخ بلوغ 60 ]]))</f>
        <v>56396</v>
      </c>
      <c r="AE42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56761</v>
      </c>
      <c r="AF425" s="10" t="str">
        <f>IFERROR(IF(ISODD(MID(Table1[[#This Row],[الرقم القومي]],13,1)),"ذكر","انثي"),"")</f>
        <v>ذكر</v>
      </c>
      <c r="AG425" s="70" t="s">
        <v>2606</v>
      </c>
      <c r="AH425" s="3">
        <f>IF(MONTH(Table1[[#This Row],[تاريخ بلوغ 60 ]])&lt;&gt;1,1,0)</f>
        <v>1</v>
      </c>
      <c r="AI425" s="3">
        <f>IF(DAY(Table1[[#This Row],[تاريخ بلوغ 60 ]])&lt;&gt;1,1,0)</f>
        <v>1</v>
      </c>
      <c r="AJ425" s="4" t="s">
        <v>465</v>
      </c>
      <c r="AK425" s="4" t="s">
        <v>2638</v>
      </c>
      <c r="AL425" s="62" t="s">
        <v>2419</v>
      </c>
      <c r="AM425" s="62" t="s">
        <v>3091</v>
      </c>
      <c r="AN425" s="2">
        <v>1</v>
      </c>
      <c r="AO425" s="4" t="s">
        <v>2641</v>
      </c>
      <c r="AP425" s="74">
        <v>260.05</v>
      </c>
      <c r="AQ425" s="4">
        <v>12.5</v>
      </c>
      <c r="AR425" s="4">
        <v>3</v>
      </c>
      <c r="AS425" s="4" t="s">
        <v>2668</v>
      </c>
      <c r="AT425" s="72">
        <v>6</v>
      </c>
      <c r="AU425" s="2">
        <v>8</v>
      </c>
      <c r="AV425" s="4"/>
      <c r="AW425" s="4"/>
      <c r="AX425" s="4"/>
    </row>
    <row r="426" spans="1:50" ht="15" x14ac:dyDescent="0.2">
      <c r="A426" s="3">
        <v>74044</v>
      </c>
      <c r="B426" s="1" t="s">
        <v>470</v>
      </c>
      <c r="C426" s="3">
        <v>1</v>
      </c>
      <c r="D426" s="3" t="s">
        <v>465</v>
      </c>
      <c r="E426" s="3">
        <v>21</v>
      </c>
      <c r="F426" s="3" t="s">
        <v>474</v>
      </c>
      <c r="G426" s="7" t="s">
        <v>437</v>
      </c>
      <c r="H426" s="3">
        <v>225</v>
      </c>
      <c r="I426" s="3" t="s">
        <v>1551</v>
      </c>
      <c r="J426" s="3">
        <v>18</v>
      </c>
      <c r="K426" s="3" t="s">
        <v>1529</v>
      </c>
      <c r="L426" s="3">
        <v>8</v>
      </c>
      <c r="M426" s="3" t="s">
        <v>506</v>
      </c>
      <c r="N426" s="3" t="s">
        <v>1551</v>
      </c>
      <c r="O426" s="10">
        <v>32571</v>
      </c>
      <c r="P426" s="10">
        <v>43752</v>
      </c>
      <c r="Q426" s="10"/>
      <c r="R426" s="10">
        <v>43752</v>
      </c>
      <c r="S426" s="23">
        <v>2266.6999999999998</v>
      </c>
      <c r="T426" s="3">
        <v>28620077</v>
      </c>
      <c r="U426" s="3">
        <v>28903040300231</v>
      </c>
      <c r="V426" s="4" t="s">
        <v>2422</v>
      </c>
      <c r="W426" s="4"/>
      <c r="X426" s="4" t="s">
        <v>1583</v>
      </c>
      <c r="Y426" s="4">
        <v>2006</v>
      </c>
      <c r="Z426" s="3">
        <f ca="1">DATEDIF(Table1[[#This Row],[تاريخ الميلاد]],TODAY(),"y")</f>
        <v>37</v>
      </c>
      <c r="AA42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5  شهر  16  يوم </v>
      </c>
      <c r="AB42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6عام10  شهر  6  يوم </v>
      </c>
      <c r="AC426" s="10">
        <f>DATE(YEAR(Table1[[#This Row],[تاريخ الميلاد]])+60,MONTH(Table1[[#This Row],[تاريخ الميلاد]]),DAY(Table1[[#This Row],[تاريخ الميلاد]]))</f>
        <v>54486</v>
      </c>
      <c r="AD426" s="14">
        <f>DATE(YEAR(Table1[[#This Row],[معاش 01/01]])-1,MONTH(Table1[[#This Row],[تاريخ بلوغ 60 ]]),DAY(Table1[[#This Row],[تاريخ بلوغ 60 ]]))</f>
        <v>54486</v>
      </c>
      <c r="AE42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54851</v>
      </c>
      <c r="AF426" s="10" t="str">
        <f>IFERROR(IF(ISODD(MID(Table1[[#This Row],[الرقم القومي]],13,1)),"ذكر","انثي"),"")</f>
        <v>ذكر</v>
      </c>
      <c r="AG426" s="70" t="s">
        <v>2606</v>
      </c>
      <c r="AH426" s="3">
        <f>IF(MONTH(Table1[[#This Row],[تاريخ بلوغ 60 ]])&lt;&gt;1,1,0)</f>
        <v>1</v>
      </c>
      <c r="AI426" s="3">
        <f>IF(DAY(Table1[[#This Row],[تاريخ بلوغ 60 ]])&lt;&gt;1,1,0)</f>
        <v>1</v>
      </c>
      <c r="AJ426" s="4" t="s">
        <v>465</v>
      </c>
      <c r="AK426" s="4" t="s">
        <v>2636</v>
      </c>
      <c r="AL426" s="62" t="s">
        <v>2421</v>
      </c>
      <c r="AM426" s="62" t="s">
        <v>3092</v>
      </c>
      <c r="AN426" s="2">
        <v>4</v>
      </c>
      <c r="AO426" s="4" t="s">
        <v>2641</v>
      </c>
      <c r="AP426" s="74">
        <v>520.09</v>
      </c>
      <c r="AQ426" s="4">
        <v>25</v>
      </c>
      <c r="AR426" s="4">
        <v>2</v>
      </c>
      <c r="AS426" s="4" t="s">
        <v>2696</v>
      </c>
      <c r="AT426" s="72">
        <v>4</v>
      </c>
      <c r="AU426" s="2">
        <v>8</v>
      </c>
      <c r="AV426" s="4"/>
      <c r="AW426" s="4"/>
      <c r="AX426" s="4"/>
    </row>
    <row r="427" spans="1:50" ht="15" x14ac:dyDescent="0.2">
      <c r="A427" s="3">
        <v>74511</v>
      </c>
      <c r="B427" s="1" t="s">
        <v>470</v>
      </c>
      <c r="C427" s="3">
        <v>1</v>
      </c>
      <c r="D427" s="3" t="s">
        <v>465</v>
      </c>
      <c r="E427" s="3">
        <v>21</v>
      </c>
      <c r="F427" s="3" t="s">
        <v>474</v>
      </c>
      <c r="G427" s="7" t="s">
        <v>438</v>
      </c>
      <c r="H427" s="3">
        <v>225</v>
      </c>
      <c r="I427" s="3" t="s">
        <v>1551</v>
      </c>
      <c r="J427" s="3">
        <v>18</v>
      </c>
      <c r="K427" s="3" t="s">
        <v>1529</v>
      </c>
      <c r="L427" s="3">
        <v>8</v>
      </c>
      <c r="M427" s="3" t="s">
        <v>506</v>
      </c>
      <c r="N427" s="3" t="s">
        <v>1551</v>
      </c>
      <c r="O427" s="10">
        <v>32908</v>
      </c>
      <c r="P427" s="10">
        <v>43795</v>
      </c>
      <c r="Q427" s="10"/>
      <c r="R427" s="10">
        <v>43795</v>
      </c>
      <c r="S427" s="23">
        <v>2266.6999999999998</v>
      </c>
      <c r="T427" s="3">
        <v>62742556</v>
      </c>
      <c r="U427" s="3">
        <v>29002040300211</v>
      </c>
      <c r="V427" s="4" t="s">
        <v>2424</v>
      </c>
      <c r="W427" s="4"/>
      <c r="X427" s="4" t="s">
        <v>1583</v>
      </c>
      <c r="Y427" s="4">
        <v>2009</v>
      </c>
      <c r="Z427" s="3">
        <f ca="1">DATEDIF(Table1[[#This Row],[تاريخ الميلاد]],TODAY(),"y")</f>
        <v>36</v>
      </c>
      <c r="AA42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36 عام 6  شهر  16  يوم </v>
      </c>
      <c r="AB42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6عام8  شهر  25  يوم </v>
      </c>
      <c r="AC427" s="10">
        <f>DATE(YEAR(Table1[[#This Row],[تاريخ الميلاد]])+60,MONTH(Table1[[#This Row],[تاريخ الميلاد]]),DAY(Table1[[#This Row],[تاريخ الميلاد]]))</f>
        <v>54823</v>
      </c>
      <c r="AD427" s="14">
        <f>DATE(YEAR(Table1[[#This Row],[معاش 01/01]])-1,MONTH(Table1[[#This Row],[تاريخ بلوغ 60 ]]),DAY(Table1[[#This Row],[تاريخ بلوغ 60 ]]))</f>
        <v>54823</v>
      </c>
      <c r="AE42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55188</v>
      </c>
      <c r="AF427" s="10" t="str">
        <f>IFERROR(IF(ISODD(MID(Table1[[#This Row],[الرقم القومي]],13,1)),"ذكر","انثي"),"")</f>
        <v>ذكر</v>
      </c>
      <c r="AG427" s="70" t="s">
        <v>2606</v>
      </c>
      <c r="AH427" s="3">
        <f>IF(MONTH(Table1[[#This Row],[تاريخ بلوغ 60 ]])&lt;&gt;1,1,0)</f>
        <v>1</v>
      </c>
      <c r="AI427" s="3">
        <f>IF(DAY(Table1[[#This Row],[تاريخ بلوغ 60 ]])&lt;&gt;1,1,0)</f>
        <v>1</v>
      </c>
      <c r="AJ427" s="4" t="s">
        <v>465</v>
      </c>
      <c r="AK427" s="4" t="s">
        <v>2666</v>
      </c>
      <c r="AL427" s="62" t="s">
        <v>2423</v>
      </c>
      <c r="AM427" s="62" t="s">
        <v>3093</v>
      </c>
      <c r="AN427" s="2">
        <v>4</v>
      </c>
      <c r="AO427" s="4" t="s">
        <v>2641</v>
      </c>
      <c r="AP427" s="74">
        <v>520.09</v>
      </c>
      <c r="AQ427" s="4">
        <v>25</v>
      </c>
      <c r="AR427" s="4">
        <v>3</v>
      </c>
      <c r="AS427" s="4" t="s">
        <v>2668</v>
      </c>
      <c r="AT427" s="72">
        <v>6</v>
      </c>
      <c r="AU427" s="2">
        <v>8</v>
      </c>
      <c r="AV427" s="4"/>
      <c r="AW427" s="4"/>
      <c r="AX427" s="4"/>
    </row>
    <row r="428" spans="1:50" ht="15" x14ac:dyDescent="0.2">
      <c r="A428" s="3">
        <v>200081</v>
      </c>
      <c r="B428" s="1" t="s">
        <v>471</v>
      </c>
      <c r="C428" s="3">
        <v>1</v>
      </c>
      <c r="D428" s="3" t="s">
        <v>465</v>
      </c>
      <c r="E428" s="3">
        <v>3</v>
      </c>
      <c r="F428" s="3" t="s">
        <v>472</v>
      </c>
      <c r="G428" s="7" t="s">
        <v>352</v>
      </c>
      <c r="H428" s="3">
        <v>1012</v>
      </c>
      <c r="I428" s="3" t="s">
        <v>533</v>
      </c>
      <c r="J428" s="3">
        <v>38</v>
      </c>
      <c r="K428" s="3" t="s">
        <v>1522</v>
      </c>
      <c r="L428" s="3">
        <v>0</v>
      </c>
      <c r="M428" s="3" t="s">
        <v>1522</v>
      </c>
      <c r="N428" s="3" t="s">
        <v>533</v>
      </c>
      <c r="O428" s="10">
        <v>26310</v>
      </c>
      <c r="P428" s="10">
        <v>42389</v>
      </c>
      <c r="Q428" s="10"/>
      <c r="R428" s="10">
        <v>42389</v>
      </c>
      <c r="S428" s="23">
        <v>3876.99</v>
      </c>
      <c r="T428" s="3">
        <v>34680589</v>
      </c>
      <c r="U428" s="3">
        <v>27201121201027</v>
      </c>
      <c r="V428" s="4" t="s">
        <v>2426</v>
      </c>
      <c r="W428" s="4"/>
      <c r="X428" s="4" t="s">
        <v>2427</v>
      </c>
      <c r="Y428" s="4">
        <v>1994</v>
      </c>
      <c r="Z428" s="3">
        <f ca="1">DATEDIF(Table1[[#This Row],[تاريخ الميلاد]],TODAY(),"y")</f>
        <v>54</v>
      </c>
      <c r="AA42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54 عام 7  شهر  8  يوم </v>
      </c>
      <c r="AB42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10عام7  شهر  0  يوم </v>
      </c>
      <c r="AC428" s="10">
        <f>DATE(YEAR(Table1[[#This Row],[تاريخ الميلاد]])+60,MONTH(Table1[[#This Row],[تاريخ الميلاد]]),DAY(Table1[[#This Row],[تاريخ الميلاد]]))</f>
        <v>48225</v>
      </c>
      <c r="AD428" s="14">
        <f>DATE(YEAR(Table1[[#This Row],[معاش 01/01]])-1,MONTH(Table1[[#This Row],[تاريخ بلوغ 60 ]]),DAY(Table1[[#This Row],[تاريخ بلوغ 60 ]]))</f>
        <v>48225</v>
      </c>
      <c r="AE42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48591</v>
      </c>
      <c r="AF428" s="10" t="str">
        <f>IFERROR(IF(ISODD(MID(Table1[[#This Row],[الرقم القومي]],13,1)),"ذكر","انثي"),"")</f>
        <v>انثي</v>
      </c>
      <c r="AG428" s="70" t="s">
        <v>1635</v>
      </c>
      <c r="AH428" s="3">
        <f>IF(MONTH(Table1[[#This Row],[تاريخ بلوغ 60 ]])&lt;&gt;1,1,0)</f>
        <v>0</v>
      </c>
      <c r="AI428" s="3">
        <f>IF(DAY(Table1[[#This Row],[تاريخ بلوغ 60 ]])&lt;&gt;1,1,0)</f>
        <v>1</v>
      </c>
      <c r="AJ428" s="4" t="s">
        <v>465</v>
      </c>
      <c r="AK428" s="4">
        <v>0</v>
      </c>
      <c r="AL428" s="62" t="s">
        <v>2425</v>
      </c>
      <c r="AM428" s="62" t="s">
        <v>3094</v>
      </c>
      <c r="AN428" s="2">
        <v>0</v>
      </c>
      <c r="AO428" s="4" t="s">
        <v>2634</v>
      </c>
      <c r="AP428" s="74">
        <v>0</v>
      </c>
      <c r="AQ428" s="4">
        <v>0</v>
      </c>
      <c r="AR428" s="4">
        <v>0</v>
      </c>
      <c r="AS428" s="4">
        <v>0</v>
      </c>
      <c r="AT428" s="72">
        <v>0</v>
      </c>
      <c r="AU428" s="2">
        <v>0</v>
      </c>
      <c r="AV428" s="4"/>
      <c r="AW428" s="4"/>
      <c r="AX428" s="4"/>
    </row>
    <row r="429" spans="1:50" ht="15" x14ac:dyDescent="0.2">
      <c r="A429" s="3">
        <v>200084</v>
      </c>
      <c r="B429" s="1" t="s">
        <v>471</v>
      </c>
      <c r="C429" s="3">
        <v>1</v>
      </c>
      <c r="D429" s="3" t="s">
        <v>465</v>
      </c>
      <c r="E429" s="3">
        <v>3</v>
      </c>
      <c r="F429" s="3" t="s">
        <v>472</v>
      </c>
      <c r="G429" s="7" t="s">
        <v>353</v>
      </c>
      <c r="H429" s="3">
        <v>1001</v>
      </c>
      <c r="I429" s="3" t="s">
        <v>522</v>
      </c>
      <c r="J429" s="3">
        <v>38</v>
      </c>
      <c r="K429" s="3" t="s">
        <v>1522</v>
      </c>
      <c r="L429" s="3">
        <v>0</v>
      </c>
      <c r="M429" s="3" t="s">
        <v>1522</v>
      </c>
      <c r="N429" s="3" t="s">
        <v>522</v>
      </c>
      <c r="O429" s="10">
        <v>29718</v>
      </c>
      <c r="P429" s="10">
        <v>42389</v>
      </c>
      <c r="Q429" s="10"/>
      <c r="R429" s="10">
        <v>42389</v>
      </c>
      <c r="S429" s="23">
        <v>3876.99</v>
      </c>
      <c r="T429" s="3">
        <v>52332603</v>
      </c>
      <c r="U429" s="3">
        <v>28105120300263</v>
      </c>
      <c r="V429" s="4" t="s">
        <v>2429</v>
      </c>
      <c r="W429" s="4"/>
      <c r="X429" s="4" t="s">
        <v>2427</v>
      </c>
      <c r="Y429" s="4">
        <v>1998</v>
      </c>
      <c r="Z429" s="3">
        <f ca="1">DATEDIF(Table1[[#This Row],[تاريخ الميلاد]],TODAY(),"y")</f>
        <v>45</v>
      </c>
      <c r="AA42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45 عام 3  شهر  8  يوم </v>
      </c>
      <c r="AB42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10عام7  شهر  0  يوم </v>
      </c>
      <c r="AC429" s="10">
        <f>DATE(YEAR(Table1[[#This Row],[تاريخ الميلاد]])+60,MONTH(Table1[[#This Row],[تاريخ الميلاد]]),DAY(Table1[[#This Row],[تاريخ الميلاد]]))</f>
        <v>51633</v>
      </c>
      <c r="AD429" s="14">
        <f>DATE(YEAR(Table1[[#This Row],[معاش 01/01]])-1,MONTH(Table1[[#This Row],[تاريخ بلوغ 60 ]]),DAY(Table1[[#This Row],[تاريخ بلوغ 60 ]]))</f>
        <v>51633</v>
      </c>
      <c r="AE42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51998</v>
      </c>
      <c r="AF429" s="10" t="str">
        <f>IFERROR(IF(ISODD(MID(Table1[[#This Row],[الرقم القومي]],13,1)),"ذكر","انثي"),"")</f>
        <v>انثي</v>
      </c>
      <c r="AG429" s="70" t="s">
        <v>2606</v>
      </c>
      <c r="AH429" s="3">
        <f>IF(MONTH(Table1[[#This Row],[تاريخ بلوغ 60 ]])&lt;&gt;1,1,0)</f>
        <v>1</v>
      </c>
      <c r="AI429" s="3">
        <f>IF(DAY(Table1[[#This Row],[تاريخ بلوغ 60 ]])&lt;&gt;1,1,0)</f>
        <v>1</v>
      </c>
      <c r="AJ429" s="4" t="s">
        <v>465</v>
      </c>
      <c r="AK429" s="4" t="s">
        <v>2636</v>
      </c>
      <c r="AL429" s="62" t="s">
        <v>2428</v>
      </c>
      <c r="AM429" s="62" t="s">
        <v>3095</v>
      </c>
      <c r="AN429" s="2">
        <v>0</v>
      </c>
      <c r="AO429" s="4" t="s">
        <v>2634</v>
      </c>
      <c r="AP429" s="74">
        <v>0</v>
      </c>
      <c r="AQ429" s="4">
        <v>0</v>
      </c>
      <c r="AR429" s="4">
        <v>0</v>
      </c>
      <c r="AS429" s="4">
        <v>0</v>
      </c>
      <c r="AT429" s="72">
        <v>0</v>
      </c>
      <c r="AU429" s="2">
        <v>0</v>
      </c>
      <c r="AV429" s="4"/>
      <c r="AW429" s="4"/>
      <c r="AX429" s="4"/>
    </row>
    <row r="430" spans="1:50" ht="15" x14ac:dyDescent="0.2">
      <c r="A430" s="3">
        <v>200112</v>
      </c>
      <c r="B430" s="1" t="s">
        <v>471</v>
      </c>
      <c r="C430" s="3">
        <v>1</v>
      </c>
      <c r="D430" s="3" t="s">
        <v>465</v>
      </c>
      <c r="E430" s="3">
        <v>3</v>
      </c>
      <c r="F430" s="3" t="s">
        <v>472</v>
      </c>
      <c r="G430" s="7" t="s">
        <v>354</v>
      </c>
      <c r="H430" s="3">
        <v>1007</v>
      </c>
      <c r="I430" s="3" t="s">
        <v>528</v>
      </c>
      <c r="J430" s="3">
        <v>38</v>
      </c>
      <c r="K430" s="3" t="s">
        <v>1522</v>
      </c>
      <c r="L430" s="3">
        <v>0</v>
      </c>
      <c r="M430" s="3" t="s">
        <v>1522</v>
      </c>
      <c r="N430" s="3" t="s">
        <v>528</v>
      </c>
      <c r="O430" s="10">
        <v>27707</v>
      </c>
      <c r="P430" s="10">
        <v>42389</v>
      </c>
      <c r="Q430" s="10"/>
      <c r="R430" s="10">
        <v>42389</v>
      </c>
      <c r="S430" s="23">
        <v>3876.99</v>
      </c>
      <c r="T430" s="3">
        <v>27231529</v>
      </c>
      <c r="U430" s="3">
        <v>27511091700421</v>
      </c>
      <c r="V430" s="4" t="s">
        <v>2431</v>
      </c>
      <c r="W430" s="4"/>
      <c r="X430" s="4" t="s">
        <v>2427</v>
      </c>
      <c r="Y430" s="4">
        <v>1993</v>
      </c>
      <c r="Z430" s="3">
        <f ca="1">DATEDIF(Table1[[#This Row],[تاريخ الميلاد]],TODAY(),"y")</f>
        <v>50</v>
      </c>
      <c r="AA43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50 عام 9  شهر  11  يوم </v>
      </c>
      <c r="AB43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10عام7  شهر  0  يوم </v>
      </c>
      <c r="AC430" s="10">
        <f>DATE(YEAR(Table1[[#This Row],[تاريخ الميلاد]])+60,MONTH(Table1[[#This Row],[تاريخ الميلاد]]),DAY(Table1[[#This Row],[تاريخ الميلاد]]))</f>
        <v>49622</v>
      </c>
      <c r="AD430" s="14">
        <f>DATE(YEAR(Table1[[#This Row],[معاش 01/01]])-1,MONTH(Table1[[#This Row],[تاريخ بلوغ 60 ]]),DAY(Table1[[#This Row],[تاريخ بلوغ 60 ]]))</f>
        <v>49622</v>
      </c>
      <c r="AE43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49988</v>
      </c>
      <c r="AF430" s="10" t="str">
        <f>IFERROR(IF(ISODD(MID(Table1[[#This Row],[الرقم القومي]],13,1)),"ذكر","انثي"),"")</f>
        <v>انثي</v>
      </c>
      <c r="AG430" s="70" t="s">
        <v>2614</v>
      </c>
      <c r="AH430" s="3">
        <f>IF(MONTH(Table1[[#This Row],[تاريخ بلوغ 60 ]])&lt;&gt;1,1,0)</f>
        <v>1</v>
      </c>
      <c r="AI430" s="3">
        <f>IF(DAY(Table1[[#This Row],[تاريخ بلوغ 60 ]])&lt;&gt;1,1,0)</f>
        <v>1</v>
      </c>
      <c r="AJ430" s="4" t="s">
        <v>465</v>
      </c>
      <c r="AK430" s="4" t="s">
        <v>2636</v>
      </c>
      <c r="AL430" s="62" t="s">
        <v>2430</v>
      </c>
      <c r="AM430" s="62" t="s">
        <v>3096</v>
      </c>
      <c r="AN430" s="2">
        <v>0</v>
      </c>
      <c r="AO430" s="4" t="s">
        <v>2634</v>
      </c>
      <c r="AP430" s="74">
        <v>0</v>
      </c>
      <c r="AQ430" s="4">
        <v>0</v>
      </c>
      <c r="AR430" s="4">
        <v>0</v>
      </c>
      <c r="AS430" s="4">
        <v>0</v>
      </c>
      <c r="AT430" s="72">
        <v>0</v>
      </c>
      <c r="AU430" s="2">
        <v>0</v>
      </c>
      <c r="AV430" s="4"/>
      <c r="AW430" s="4"/>
      <c r="AX430" s="4"/>
    </row>
    <row r="431" spans="1:50" ht="15" x14ac:dyDescent="0.2">
      <c r="A431" s="3">
        <v>200122</v>
      </c>
      <c r="B431" s="1" t="s">
        <v>471</v>
      </c>
      <c r="C431" s="3">
        <v>1</v>
      </c>
      <c r="D431" s="3" t="s">
        <v>465</v>
      </c>
      <c r="E431" s="3">
        <v>3</v>
      </c>
      <c r="F431" s="3" t="s">
        <v>472</v>
      </c>
      <c r="G431" s="7" t="s">
        <v>355</v>
      </c>
      <c r="H431" s="3">
        <v>1007</v>
      </c>
      <c r="I431" s="3" t="s">
        <v>528</v>
      </c>
      <c r="J431" s="3">
        <v>38</v>
      </c>
      <c r="K431" s="3" t="s">
        <v>1522</v>
      </c>
      <c r="L431" s="3">
        <v>0</v>
      </c>
      <c r="M431" s="3" t="s">
        <v>1522</v>
      </c>
      <c r="N431" s="3" t="s">
        <v>528</v>
      </c>
      <c r="O431" s="10">
        <v>31446</v>
      </c>
      <c r="P431" s="10">
        <v>42389</v>
      </c>
      <c r="Q431" s="10"/>
      <c r="R431" s="10">
        <v>42389</v>
      </c>
      <c r="S431" s="23">
        <v>3876.99</v>
      </c>
      <c r="T431" s="3">
        <v>3353694</v>
      </c>
      <c r="U431" s="3">
        <v>28602030300403</v>
      </c>
      <c r="V431" s="4" t="s">
        <v>2433</v>
      </c>
      <c r="W431" s="4"/>
      <c r="X431" s="4" t="s">
        <v>2427</v>
      </c>
      <c r="Y431" s="4">
        <v>2004</v>
      </c>
      <c r="Z431" s="3">
        <f ca="1">DATEDIF(Table1[[#This Row],[تاريخ الميلاد]],TODAY(),"y")</f>
        <v>40</v>
      </c>
      <c r="AA43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40 عام 6  شهر  17  يوم </v>
      </c>
      <c r="AB43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10عام7  شهر  0  يوم </v>
      </c>
      <c r="AC431" s="10">
        <f>DATE(YEAR(Table1[[#This Row],[تاريخ الميلاد]])+60,MONTH(Table1[[#This Row],[تاريخ الميلاد]]),DAY(Table1[[#This Row],[تاريخ الميلاد]]))</f>
        <v>53361</v>
      </c>
      <c r="AD431" s="14">
        <f>DATE(YEAR(Table1[[#This Row],[معاش 01/01]])-1,MONTH(Table1[[#This Row],[تاريخ بلوغ 60 ]]),DAY(Table1[[#This Row],[تاريخ بلوغ 60 ]]))</f>
        <v>53361</v>
      </c>
      <c r="AE43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53726</v>
      </c>
      <c r="AF431" s="10" t="str">
        <f>IFERROR(IF(ISODD(MID(Table1[[#This Row],[الرقم القومي]],13,1)),"ذكر","انثي"),"")</f>
        <v>انثي</v>
      </c>
      <c r="AG431" s="70" t="s">
        <v>2606</v>
      </c>
      <c r="AH431" s="3">
        <f>IF(MONTH(Table1[[#This Row],[تاريخ بلوغ 60 ]])&lt;&gt;1,1,0)</f>
        <v>1</v>
      </c>
      <c r="AI431" s="3">
        <f>IF(DAY(Table1[[#This Row],[تاريخ بلوغ 60 ]])&lt;&gt;1,1,0)</f>
        <v>1</v>
      </c>
      <c r="AJ431" s="4" t="s">
        <v>465</v>
      </c>
      <c r="AK431" s="4">
        <v>0</v>
      </c>
      <c r="AL431" s="62" t="s">
        <v>2432</v>
      </c>
      <c r="AM431" s="62" t="s">
        <v>3097</v>
      </c>
      <c r="AN431" s="2">
        <v>0</v>
      </c>
      <c r="AO431" s="4" t="s">
        <v>2634</v>
      </c>
      <c r="AP431" s="74">
        <v>0</v>
      </c>
      <c r="AQ431" s="4">
        <v>0</v>
      </c>
      <c r="AR431" s="4">
        <v>0</v>
      </c>
      <c r="AS431" s="4">
        <v>0</v>
      </c>
      <c r="AT431" s="72">
        <v>0</v>
      </c>
      <c r="AU431" s="2">
        <v>0</v>
      </c>
      <c r="AV431" s="4"/>
      <c r="AW431" s="4"/>
      <c r="AX431" s="4"/>
    </row>
    <row r="432" spans="1:50" ht="15" x14ac:dyDescent="0.2">
      <c r="A432" s="3">
        <v>200143</v>
      </c>
      <c r="B432" s="1" t="s">
        <v>471</v>
      </c>
      <c r="C432" s="3">
        <v>1</v>
      </c>
      <c r="D432" s="3" t="s">
        <v>465</v>
      </c>
      <c r="E432" s="3">
        <v>3</v>
      </c>
      <c r="F432" s="3" t="s">
        <v>472</v>
      </c>
      <c r="G432" s="7" t="s">
        <v>356</v>
      </c>
      <c r="H432" s="3">
        <v>1001</v>
      </c>
      <c r="I432" s="3" t="s">
        <v>522</v>
      </c>
      <c r="J432" s="3">
        <v>38</v>
      </c>
      <c r="K432" s="3" t="s">
        <v>1522</v>
      </c>
      <c r="L432" s="3">
        <v>0</v>
      </c>
      <c r="M432" s="3" t="s">
        <v>1522</v>
      </c>
      <c r="N432" s="3" t="s">
        <v>522</v>
      </c>
      <c r="O432" s="10">
        <v>25052</v>
      </c>
      <c r="P432" s="10">
        <v>42389</v>
      </c>
      <c r="Q432" s="10"/>
      <c r="R432" s="10">
        <v>42389</v>
      </c>
      <c r="S432" s="23">
        <v>3876.99</v>
      </c>
      <c r="T432" s="3">
        <v>52284283</v>
      </c>
      <c r="U432" s="3">
        <v>26808020300065</v>
      </c>
      <c r="V432" s="4" t="s">
        <v>2435</v>
      </c>
      <c r="W432" s="4"/>
      <c r="X432" s="4" t="s">
        <v>2427</v>
      </c>
      <c r="Y432" s="4">
        <v>1990</v>
      </c>
      <c r="Z432" s="3">
        <f ca="1">DATEDIF(Table1[[#This Row],[تاريخ الميلاد]],TODAY(),"y")</f>
        <v>58</v>
      </c>
      <c r="AA43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58 عام 0  شهر  18  يوم </v>
      </c>
      <c r="AB43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10عام7  شهر  0  يوم </v>
      </c>
      <c r="AC432" s="10">
        <f>DATE(YEAR(Table1[[#This Row],[تاريخ الميلاد]])+60,MONTH(Table1[[#This Row],[تاريخ الميلاد]]),DAY(Table1[[#This Row],[تاريخ الميلاد]]))</f>
        <v>46967</v>
      </c>
      <c r="AD432" s="14">
        <f>DATE(YEAR(Table1[[#This Row],[معاش 01/01]])-1,MONTH(Table1[[#This Row],[تاريخ بلوغ 60 ]]),DAY(Table1[[#This Row],[تاريخ بلوغ 60 ]]))</f>
        <v>46967</v>
      </c>
      <c r="AE43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47332</v>
      </c>
      <c r="AF432" s="10" t="str">
        <f>IFERROR(IF(ISODD(MID(Table1[[#This Row],[الرقم القومي]],13,1)),"ذكر","انثي"),"")</f>
        <v>انثي</v>
      </c>
      <c r="AG432" s="70" t="s">
        <v>2606</v>
      </c>
      <c r="AH432" s="3">
        <f>IF(MONTH(Table1[[#This Row],[تاريخ بلوغ 60 ]])&lt;&gt;1,1,0)</f>
        <v>1</v>
      </c>
      <c r="AI432" s="3">
        <f>IF(DAY(Table1[[#This Row],[تاريخ بلوغ 60 ]])&lt;&gt;1,1,0)</f>
        <v>1</v>
      </c>
      <c r="AJ432" s="4" t="s">
        <v>465</v>
      </c>
      <c r="AK432" s="4">
        <v>0</v>
      </c>
      <c r="AL432" s="62" t="s">
        <v>2434</v>
      </c>
      <c r="AM432" s="62" t="s">
        <v>3098</v>
      </c>
      <c r="AN432" s="2">
        <v>0</v>
      </c>
      <c r="AO432" s="4" t="s">
        <v>2634</v>
      </c>
      <c r="AP432" s="74">
        <v>0</v>
      </c>
      <c r="AQ432" s="4">
        <v>0</v>
      </c>
      <c r="AR432" s="4">
        <v>6</v>
      </c>
      <c r="AS432" s="4" t="s">
        <v>3099</v>
      </c>
      <c r="AT432" s="72">
        <v>4</v>
      </c>
      <c r="AU432" s="2">
        <v>0</v>
      </c>
      <c r="AV432" s="4"/>
      <c r="AW432" s="4"/>
      <c r="AX432" s="4"/>
    </row>
    <row r="433" spans="1:50" ht="15" x14ac:dyDescent="0.2">
      <c r="A433" s="3">
        <v>200147</v>
      </c>
      <c r="B433" s="1" t="s">
        <v>471</v>
      </c>
      <c r="C433" s="3">
        <v>1</v>
      </c>
      <c r="D433" s="3" t="s">
        <v>465</v>
      </c>
      <c r="E433" s="3">
        <v>3</v>
      </c>
      <c r="F433" s="3" t="s">
        <v>472</v>
      </c>
      <c r="G433" s="7" t="s">
        <v>357</v>
      </c>
      <c r="H433" s="3">
        <v>1007</v>
      </c>
      <c r="I433" s="3" t="s">
        <v>528</v>
      </c>
      <c r="J433" s="3">
        <v>38</v>
      </c>
      <c r="K433" s="3" t="s">
        <v>1522</v>
      </c>
      <c r="L433" s="3">
        <v>0</v>
      </c>
      <c r="M433" s="3" t="s">
        <v>1522</v>
      </c>
      <c r="N433" s="3" t="s">
        <v>528</v>
      </c>
      <c r="O433" s="10">
        <v>25709</v>
      </c>
      <c r="P433" s="10">
        <v>42389</v>
      </c>
      <c r="Q433" s="10"/>
      <c r="R433" s="10">
        <v>42389</v>
      </c>
      <c r="S433" s="23">
        <v>3876.99</v>
      </c>
      <c r="T433" s="3">
        <v>19786201</v>
      </c>
      <c r="U433" s="3">
        <v>27005211203009</v>
      </c>
      <c r="V433" s="4" t="s">
        <v>2437</v>
      </c>
      <c r="W433" s="4"/>
      <c r="X433" s="4" t="s">
        <v>2427</v>
      </c>
      <c r="Y433" s="4">
        <v>1988</v>
      </c>
      <c r="Z433" s="3">
        <f ca="1">DATEDIF(Table1[[#This Row],[تاريخ الميلاد]],TODAY(),"y")</f>
        <v>56</v>
      </c>
      <c r="AA43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56 عام 2  شهر  30  يوم </v>
      </c>
      <c r="AB43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10عام7  شهر  0  يوم </v>
      </c>
      <c r="AC433" s="10">
        <f>DATE(YEAR(Table1[[#This Row],[تاريخ الميلاد]])+60,MONTH(Table1[[#This Row],[تاريخ الميلاد]]),DAY(Table1[[#This Row],[تاريخ الميلاد]]))</f>
        <v>47624</v>
      </c>
      <c r="AD433" s="14">
        <f>DATE(YEAR(Table1[[#This Row],[معاش 01/01]])-1,MONTH(Table1[[#This Row],[تاريخ بلوغ 60 ]]),DAY(Table1[[#This Row],[تاريخ بلوغ 60 ]]))</f>
        <v>47624</v>
      </c>
      <c r="AE43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47989</v>
      </c>
      <c r="AF433" s="10" t="str">
        <f>IFERROR(IF(ISODD(MID(Table1[[#This Row],[الرقم القومي]],13,1)),"ذكر","انثي"),"")</f>
        <v>انثي</v>
      </c>
      <c r="AG433" s="70" t="s">
        <v>1635</v>
      </c>
      <c r="AH433" s="3">
        <f>IF(MONTH(Table1[[#This Row],[تاريخ بلوغ 60 ]])&lt;&gt;1,1,0)</f>
        <v>1</v>
      </c>
      <c r="AI433" s="3">
        <f>IF(DAY(Table1[[#This Row],[تاريخ بلوغ 60 ]])&lt;&gt;1,1,0)</f>
        <v>1</v>
      </c>
      <c r="AJ433" s="4" t="s">
        <v>465</v>
      </c>
      <c r="AK433" s="4" t="s">
        <v>2636</v>
      </c>
      <c r="AL433" s="62" t="s">
        <v>2436</v>
      </c>
      <c r="AM433" s="62" t="s">
        <v>3100</v>
      </c>
      <c r="AN433" s="2">
        <v>0</v>
      </c>
      <c r="AO433" s="4" t="s">
        <v>2634</v>
      </c>
      <c r="AP433" s="74">
        <v>0</v>
      </c>
      <c r="AQ433" s="4">
        <v>0</v>
      </c>
      <c r="AR433" s="4">
        <v>0</v>
      </c>
      <c r="AS433" s="4">
        <v>0</v>
      </c>
      <c r="AT433" s="72">
        <v>0</v>
      </c>
      <c r="AU433" s="2">
        <v>0</v>
      </c>
      <c r="AV433" s="4"/>
      <c r="AW433" s="4"/>
      <c r="AX433" s="4"/>
    </row>
    <row r="434" spans="1:50" ht="15" x14ac:dyDescent="0.2">
      <c r="A434" s="3">
        <v>200148</v>
      </c>
      <c r="B434" s="1" t="s">
        <v>471</v>
      </c>
      <c r="C434" s="3">
        <v>1</v>
      </c>
      <c r="D434" s="3" t="s">
        <v>465</v>
      </c>
      <c r="E434" s="3">
        <v>3</v>
      </c>
      <c r="F434" s="3" t="s">
        <v>472</v>
      </c>
      <c r="G434" s="7" t="s">
        <v>358</v>
      </c>
      <c r="H434" s="3">
        <v>1007</v>
      </c>
      <c r="I434" s="3" t="s">
        <v>528</v>
      </c>
      <c r="J434" s="3">
        <v>38</v>
      </c>
      <c r="K434" s="3" t="s">
        <v>1522</v>
      </c>
      <c r="L434" s="3">
        <v>0</v>
      </c>
      <c r="M434" s="3" t="s">
        <v>1522</v>
      </c>
      <c r="N434" s="3" t="s">
        <v>528</v>
      </c>
      <c r="O434" s="10">
        <v>30465</v>
      </c>
      <c r="P434" s="10">
        <v>42389</v>
      </c>
      <c r="Q434" s="10"/>
      <c r="R434" s="10">
        <v>42389</v>
      </c>
      <c r="S434" s="23">
        <v>3876.99</v>
      </c>
      <c r="T434" s="3">
        <v>31957528</v>
      </c>
      <c r="U434" s="3">
        <v>28305290300348</v>
      </c>
      <c r="V434" s="4" t="s">
        <v>2439</v>
      </c>
      <c r="W434" s="4"/>
      <c r="X434" s="4" t="s">
        <v>2427</v>
      </c>
      <c r="Y434" s="4">
        <v>2000</v>
      </c>
      <c r="Z434" s="3">
        <f ca="1">DATEDIF(Table1[[#This Row],[تاريخ الميلاد]],TODAY(),"y")</f>
        <v>43</v>
      </c>
      <c r="AA43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43 عام 2  شهر  22  يوم </v>
      </c>
      <c r="AB43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10عام7  شهر  0  يوم </v>
      </c>
      <c r="AC434" s="10">
        <f>DATE(YEAR(Table1[[#This Row],[تاريخ الميلاد]])+60,MONTH(Table1[[#This Row],[تاريخ الميلاد]]),DAY(Table1[[#This Row],[تاريخ الميلاد]]))</f>
        <v>52380</v>
      </c>
      <c r="AD434" s="14">
        <f>DATE(YEAR(Table1[[#This Row],[معاش 01/01]])-1,MONTH(Table1[[#This Row],[تاريخ بلوغ 60 ]]),DAY(Table1[[#This Row],[تاريخ بلوغ 60 ]]))</f>
        <v>52380</v>
      </c>
      <c r="AE43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52746</v>
      </c>
      <c r="AF434" s="10" t="str">
        <f>IFERROR(IF(ISODD(MID(Table1[[#This Row],[الرقم القومي]],13,1)),"ذكر","انثي"),"")</f>
        <v>انثي</v>
      </c>
      <c r="AG434" s="70" t="s">
        <v>2606</v>
      </c>
      <c r="AH434" s="3">
        <f>IF(MONTH(Table1[[#This Row],[تاريخ بلوغ 60 ]])&lt;&gt;1,1,0)</f>
        <v>1</v>
      </c>
      <c r="AI434" s="3">
        <f>IF(DAY(Table1[[#This Row],[تاريخ بلوغ 60 ]])&lt;&gt;1,1,0)</f>
        <v>1</v>
      </c>
      <c r="AJ434" s="4" t="s">
        <v>465</v>
      </c>
      <c r="AK434" s="4" t="s">
        <v>2636</v>
      </c>
      <c r="AL434" s="62" t="s">
        <v>2438</v>
      </c>
      <c r="AM434" s="62" t="s">
        <v>3101</v>
      </c>
      <c r="AN434" s="2">
        <v>0</v>
      </c>
      <c r="AO434" s="4" t="s">
        <v>2634</v>
      </c>
      <c r="AP434" s="74">
        <v>0</v>
      </c>
      <c r="AQ434" s="4">
        <v>0</v>
      </c>
      <c r="AR434" s="4">
        <v>1</v>
      </c>
      <c r="AS434" s="4" t="s">
        <v>2635</v>
      </c>
      <c r="AT434" s="72">
        <v>2</v>
      </c>
      <c r="AU434" s="2">
        <v>0</v>
      </c>
      <c r="AV434" s="4"/>
      <c r="AW434" s="4"/>
      <c r="AX434" s="4"/>
    </row>
    <row r="435" spans="1:50" ht="15" x14ac:dyDescent="0.2">
      <c r="A435" s="3">
        <v>200151</v>
      </c>
      <c r="B435" s="1" t="s">
        <v>471</v>
      </c>
      <c r="C435" s="3">
        <v>1</v>
      </c>
      <c r="D435" s="3" t="s">
        <v>465</v>
      </c>
      <c r="E435" s="3">
        <v>3</v>
      </c>
      <c r="F435" s="3" t="s">
        <v>472</v>
      </c>
      <c r="G435" s="7" t="s">
        <v>359</v>
      </c>
      <c r="H435" s="3">
        <v>1001</v>
      </c>
      <c r="I435" s="3" t="s">
        <v>522</v>
      </c>
      <c r="J435" s="3">
        <v>38</v>
      </c>
      <c r="K435" s="3" t="s">
        <v>1522</v>
      </c>
      <c r="L435" s="3">
        <v>0</v>
      </c>
      <c r="M435" s="3" t="s">
        <v>1522</v>
      </c>
      <c r="N435" s="3" t="s">
        <v>522</v>
      </c>
      <c r="O435" s="10">
        <v>28387</v>
      </c>
      <c r="P435" s="10">
        <v>42389</v>
      </c>
      <c r="Q435" s="10"/>
      <c r="R435" s="10">
        <v>42389</v>
      </c>
      <c r="S435" s="23">
        <v>3876.99</v>
      </c>
      <c r="T435" s="3">
        <v>13808727</v>
      </c>
      <c r="U435" s="3">
        <v>27709190300324</v>
      </c>
      <c r="V435" s="4" t="s">
        <v>2441</v>
      </c>
      <c r="W435" s="4"/>
      <c r="X435" s="4" t="s">
        <v>2427</v>
      </c>
      <c r="Y435" s="4">
        <v>1995</v>
      </c>
      <c r="Z435" s="3">
        <f ca="1">DATEDIF(Table1[[#This Row],[تاريخ الميلاد]],TODAY(),"y")</f>
        <v>48</v>
      </c>
      <c r="AA43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48 عام 11  شهر  1  يوم </v>
      </c>
      <c r="AB43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10عام7  شهر  0  يوم </v>
      </c>
      <c r="AC435" s="10">
        <f>DATE(YEAR(Table1[[#This Row],[تاريخ الميلاد]])+60,MONTH(Table1[[#This Row],[تاريخ الميلاد]]),DAY(Table1[[#This Row],[تاريخ الميلاد]]))</f>
        <v>50302</v>
      </c>
      <c r="AD435" s="14">
        <f>DATE(YEAR(Table1[[#This Row],[معاش 01/01]])-1,MONTH(Table1[[#This Row],[تاريخ بلوغ 60 ]]),DAY(Table1[[#This Row],[تاريخ بلوغ 60 ]]))</f>
        <v>50302</v>
      </c>
      <c r="AE43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50667</v>
      </c>
      <c r="AF435" s="10" t="str">
        <f>IFERROR(IF(ISODD(MID(Table1[[#This Row],[الرقم القومي]],13,1)),"ذكر","انثي"),"")</f>
        <v>انثي</v>
      </c>
      <c r="AG435" s="70" t="s">
        <v>2606</v>
      </c>
      <c r="AH435" s="3">
        <f>IF(MONTH(Table1[[#This Row],[تاريخ بلوغ 60 ]])&lt;&gt;1,1,0)</f>
        <v>1</v>
      </c>
      <c r="AI435" s="3">
        <f>IF(DAY(Table1[[#This Row],[تاريخ بلوغ 60 ]])&lt;&gt;1,1,0)</f>
        <v>1</v>
      </c>
      <c r="AJ435" s="4" t="s">
        <v>465</v>
      </c>
      <c r="AK435" s="4" t="s">
        <v>2636</v>
      </c>
      <c r="AL435" s="62" t="s">
        <v>2440</v>
      </c>
      <c r="AM435" s="62" t="s">
        <v>3102</v>
      </c>
      <c r="AN435" s="2">
        <v>0</v>
      </c>
      <c r="AO435" s="4" t="s">
        <v>2634</v>
      </c>
      <c r="AP435" s="74">
        <v>0</v>
      </c>
      <c r="AQ435" s="4">
        <v>0</v>
      </c>
      <c r="AR435" s="4">
        <v>7</v>
      </c>
      <c r="AS435" s="4" t="s">
        <v>2642</v>
      </c>
      <c r="AT435" s="72">
        <v>0</v>
      </c>
      <c r="AU435" s="2">
        <v>0</v>
      </c>
      <c r="AV435" s="4"/>
      <c r="AW435" s="4"/>
      <c r="AX435" s="4"/>
    </row>
    <row r="436" spans="1:50" ht="15" x14ac:dyDescent="0.2">
      <c r="A436" s="3">
        <v>200157</v>
      </c>
      <c r="B436" s="1" t="s">
        <v>471</v>
      </c>
      <c r="C436" s="3">
        <v>1</v>
      </c>
      <c r="D436" s="3" t="s">
        <v>465</v>
      </c>
      <c r="E436" s="3">
        <v>3</v>
      </c>
      <c r="F436" s="3" t="s">
        <v>472</v>
      </c>
      <c r="G436" s="7" t="s">
        <v>360</v>
      </c>
      <c r="H436" s="3">
        <v>1007</v>
      </c>
      <c r="I436" s="3" t="s">
        <v>528</v>
      </c>
      <c r="J436" s="3">
        <v>38</v>
      </c>
      <c r="K436" s="3" t="s">
        <v>1522</v>
      </c>
      <c r="L436" s="3">
        <v>0</v>
      </c>
      <c r="M436" s="3" t="s">
        <v>1522</v>
      </c>
      <c r="N436" s="3" t="s">
        <v>528</v>
      </c>
      <c r="O436" s="10">
        <v>32457</v>
      </c>
      <c r="P436" s="10">
        <v>42389</v>
      </c>
      <c r="Q436" s="10"/>
      <c r="R436" s="10">
        <v>42389</v>
      </c>
      <c r="S436" s="23">
        <v>3876.99</v>
      </c>
      <c r="T436" s="3">
        <v>26014251</v>
      </c>
      <c r="U436" s="3">
        <v>28811100300102</v>
      </c>
      <c r="V436" s="4" t="s">
        <v>2443</v>
      </c>
      <c r="W436" s="4"/>
      <c r="X436" s="4" t="s">
        <v>2427</v>
      </c>
      <c r="Y436" s="4">
        <v>2005</v>
      </c>
      <c r="Z436" s="3">
        <f ca="1">DATEDIF(Table1[[#This Row],[تاريخ الميلاد]],TODAY(),"y")</f>
        <v>37</v>
      </c>
      <c r="AA43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9  شهر  10  يوم </v>
      </c>
      <c r="AB43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10عام7  شهر  0  يوم </v>
      </c>
      <c r="AC436" s="10">
        <f>DATE(YEAR(Table1[[#This Row],[تاريخ الميلاد]])+60,MONTH(Table1[[#This Row],[تاريخ الميلاد]]),DAY(Table1[[#This Row],[تاريخ الميلاد]]))</f>
        <v>54372</v>
      </c>
      <c r="AD436" s="14">
        <f>DATE(YEAR(Table1[[#This Row],[معاش 01/01]])-1,MONTH(Table1[[#This Row],[تاريخ بلوغ 60 ]]),DAY(Table1[[#This Row],[تاريخ بلوغ 60 ]]))</f>
        <v>54372</v>
      </c>
      <c r="AE43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54737</v>
      </c>
      <c r="AF436" s="10" t="str">
        <f>IFERROR(IF(ISODD(MID(Table1[[#This Row],[الرقم القومي]],13,1)),"ذكر","انثي"),"")</f>
        <v>انثي</v>
      </c>
      <c r="AG436" s="70" t="s">
        <v>2606</v>
      </c>
      <c r="AH436" s="3">
        <f>IF(MONTH(Table1[[#This Row],[تاريخ بلوغ 60 ]])&lt;&gt;1,1,0)</f>
        <v>1</v>
      </c>
      <c r="AI436" s="3">
        <f>IF(DAY(Table1[[#This Row],[تاريخ بلوغ 60 ]])&lt;&gt;1,1,0)</f>
        <v>1</v>
      </c>
      <c r="AJ436" s="4" t="s">
        <v>465</v>
      </c>
      <c r="AK436" s="4">
        <v>0</v>
      </c>
      <c r="AL436" s="62" t="s">
        <v>2442</v>
      </c>
      <c r="AM436" s="62" t="s">
        <v>3103</v>
      </c>
      <c r="AN436" s="2">
        <v>0</v>
      </c>
      <c r="AO436" s="4" t="s">
        <v>2634</v>
      </c>
      <c r="AP436" s="74">
        <v>0</v>
      </c>
      <c r="AQ436" s="4">
        <v>0</v>
      </c>
      <c r="AR436" s="4">
        <v>7</v>
      </c>
      <c r="AS436" s="4" t="s">
        <v>2642</v>
      </c>
      <c r="AT436" s="72">
        <v>0</v>
      </c>
      <c r="AU436" s="2">
        <v>0</v>
      </c>
      <c r="AV436" s="4"/>
      <c r="AW436" s="4"/>
      <c r="AX436" s="4"/>
    </row>
    <row r="437" spans="1:50" ht="15" x14ac:dyDescent="0.2">
      <c r="A437" s="3">
        <v>200158</v>
      </c>
      <c r="B437" s="1" t="s">
        <v>471</v>
      </c>
      <c r="C437" s="3">
        <v>1</v>
      </c>
      <c r="D437" s="3" t="s">
        <v>465</v>
      </c>
      <c r="E437" s="3">
        <v>3</v>
      </c>
      <c r="F437" s="3" t="s">
        <v>472</v>
      </c>
      <c r="G437" s="7" t="s">
        <v>361</v>
      </c>
      <c r="H437" s="3">
        <v>1001</v>
      </c>
      <c r="I437" s="3" t="s">
        <v>522</v>
      </c>
      <c r="J437" s="3">
        <v>38</v>
      </c>
      <c r="K437" s="3" t="s">
        <v>1522</v>
      </c>
      <c r="L437" s="3">
        <v>0</v>
      </c>
      <c r="M437" s="3" t="s">
        <v>1522</v>
      </c>
      <c r="N437" s="3" t="s">
        <v>522</v>
      </c>
      <c r="O437" s="10">
        <v>30205</v>
      </c>
      <c r="P437" s="10">
        <v>42389</v>
      </c>
      <c r="Q437" s="10"/>
      <c r="R437" s="10">
        <v>42389</v>
      </c>
      <c r="S437" s="23">
        <v>3876.99</v>
      </c>
      <c r="T437" s="3">
        <v>21833680</v>
      </c>
      <c r="U437" s="3">
        <v>28209110300222</v>
      </c>
      <c r="V437" s="4" t="s">
        <v>2445</v>
      </c>
      <c r="W437" s="4"/>
      <c r="X437" s="4" t="s">
        <v>2427</v>
      </c>
      <c r="Y437" s="4">
        <v>1999</v>
      </c>
      <c r="Z437" s="3">
        <f ca="1">DATEDIF(Table1[[#This Row],[تاريخ الميلاد]],TODAY(),"y")</f>
        <v>43</v>
      </c>
      <c r="AA43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43 عام 11  شهر  9  يوم </v>
      </c>
      <c r="AB43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10عام7  شهر  0  يوم </v>
      </c>
      <c r="AC437" s="10">
        <f>DATE(YEAR(Table1[[#This Row],[تاريخ الميلاد]])+60,MONTH(Table1[[#This Row],[تاريخ الميلاد]]),DAY(Table1[[#This Row],[تاريخ الميلاد]]))</f>
        <v>52120</v>
      </c>
      <c r="AD437" s="14">
        <f>DATE(YEAR(Table1[[#This Row],[معاش 01/01]])-1,MONTH(Table1[[#This Row],[تاريخ بلوغ 60 ]]),DAY(Table1[[#This Row],[تاريخ بلوغ 60 ]]))</f>
        <v>52120</v>
      </c>
      <c r="AE43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52485</v>
      </c>
      <c r="AF437" s="10" t="str">
        <f>IFERROR(IF(ISODD(MID(Table1[[#This Row],[الرقم القومي]],13,1)),"ذكر","انثي"),"")</f>
        <v>انثي</v>
      </c>
      <c r="AG437" s="70" t="s">
        <v>2606</v>
      </c>
      <c r="AH437" s="3">
        <f>IF(MONTH(Table1[[#This Row],[تاريخ بلوغ 60 ]])&lt;&gt;1,1,0)</f>
        <v>1</v>
      </c>
      <c r="AI437" s="3">
        <f>IF(DAY(Table1[[#This Row],[تاريخ بلوغ 60 ]])&lt;&gt;1,1,0)</f>
        <v>1</v>
      </c>
      <c r="AJ437" s="4" t="s">
        <v>465</v>
      </c>
      <c r="AK437" s="4">
        <v>0</v>
      </c>
      <c r="AL437" s="62" t="s">
        <v>2444</v>
      </c>
      <c r="AM437" s="62" t="s">
        <v>3104</v>
      </c>
      <c r="AN437" s="2">
        <v>0</v>
      </c>
      <c r="AO437" s="4" t="s">
        <v>2634</v>
      </c>
      <c r="AP437" s="74">
        <v>0</v>
      </c>
      <c r="AQ437" s="4">
        <v>0</v>
      </c>
      <c r="AR437" s="4">
        <v>1</v>
      </c>
      <c r="AS437" s="4" t="s">
        <v>2635</v>
      </c>
      <c r="AT437" s="72">
        <v>2</v>
      </c>
      <c r="AU437" s="2">
        <v>0</v>
      </c>
      <c r="AV437" s="4"/>
      <c r="AW437" s="4"/>
      <c r="AX437" s="4"/>
    </row>
    <row r="438" spans="1:50" ht="15" x14ac:dyDescent="0.2">
      <c r="A438" s="3">
        <v>200159</v>
      </c>
      <c r="B438" s="1" t="s">
        <v>471</v>
      </c>
      <c r="C438" s="3">
        <v>1</v>
      </c>
      <c r="D438" s="3" t="s">
        <v>465</v>
      </c>
      <c r="E438" s="3">
        <v>3</v>
      </c>
      <c r="F438" s="3" t="s">
        <v>472</v>
      </c>
      <c r="G438" s="7" t="s">
        <v>362</v>
      </c>
      <c r="H438" s="3">
        <v>1007</v>
      </c>
      <c r="I438" s="3" t="s">
        <v>528</v>
      </c>
      <c r="J438" s="3">
        <v>38</v>
      </c>
      <c r="K438" s="3" t="s">
        <v>1522</v>
      </c>
      <c r="L438" s="3">
        <v>0</v>
      </c>
      <c r="M438" s="3" t="s">
        <v>1522</v>
      </c>
      <c r="N438" s="3" t="s">
        <v>528</v>
      </c>
      <c r="O438" s="10">
        <v>30692</v>
      </c>
      <c r="P438" s="10">
        <v>42389</v>
      </c>
      <c r="Q438" s="10"/>
      <c r="R438" s="10">
        <v>42389</v>
      </c>
      <c r="S438" s="23">
        <v>3876.99</v>
      </c>
      <c r="T438" s="3">
        <v>45341444</v>
      </c>
      <c r="U438" s="3">
        <v>28401110300328</v>
      </c>
      <c r="V438" s="4" t="s">
        <v>2447</v>
      </c>
      <c r="W438" s="4"/>
      <c r="X438" s="4" t="s">
        <v>2427</v>
      </c>
      <c r="Y438" s="4">
        <v>2001</v>
      </c>
      <c r="Z438" s="3">
        <f ca="1">DATEDIF(Table1[[#This Row],[تاريخ الميلاد]],TODAY(),"y")</f>
        <v>42</v>
      </c>
      <c r="AA43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42 عام 7  شهر  9  يوم </v>
      </c>
      <c r="AB43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10عام7  شهر  0  يوم </v>
      </c>
      <c r="AC438" s="10">
        <f>DATE(YEAR(Table1[[#This Row],[تاريخ الميلاد]])+60,MONTH(Table1[[#This Row],[تاريخ الميلاد]]),DAY(Table1[[#This Row],[تاريخ الميلاد]]))</f>
        <v>52607</v>
      </c>
      <c r="AD438" s="14">
        <f>DATE(YEAR(Table1[[#This Row],[معاش 01/01]])-1,MONTH(Table1[[#This Row],[تاريخ بلوغ 60 ]]),DAY(Table1[[#This Row],[تاريخ بلوغ 60 ]]))</f>
        <v>52607</v>
      </c>
      <c r="AE43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52973</v>
      </c>
      <c r="AF438" s="10" t="str">
        <f>IFERROR(IF(ISODD(MID(Table1[[#This Row],[الرقم القومي]],13,1)),"ذكر","انثي"),"")</f>
        <v>انثي</v>
      </c>
      <c r="AG438" s="70" t="s">
        <v>2606</v>
      </c>
      <c r="AH438" s="3">
        <f>IF(MONTH(Table1[[#This Row],[تاريخ بلوغ 60 ]])&lt;&gt;1,1,0)</f>
        <v>0</v>
      </c>
      <c r="AI438" s="3">
        <f>IF(DAY(Table1[[#This Row],[تاريخ بلوغ 60 ]])&lt;&gt;1,1,0)</f>
        <v>1</v>
      </c>
      <c r="AJ438" s="4" t="s">
        <v>465</v>
      </c>
      <c r="AK438" s="4" t="s">
        <v>2636</v>
      </c>
      <c r="AL438" s="62" t="s">
        <v>2446</v>
      </c>
      <c r="AM438" s="62" t="s">
        <v>3105</v>
      </c>
      <c r="AN438" s="2">
        <v>0</v>
      </c>
      <c r="AO438" s="4" t="s">
        <v>2634</v>
      </c>
      <c r="AP438" s="74">
        <v>0</v>
      </c>
      <c r="AQ438" s="4">
        <v>0</v>
      </c>
      <c r="AR438" s="4">
        <v>1</v>
      </c>
      <c r="AS438" s="4" t="s">
        <v>2635</v>
      </c>
      <c r="AT438" s="72">
        <v>2</v>
      </c>
      <c r="AU438" s="2">
        <v>0</v>
      </c>
      <c r="AV438" s="4"/>
      <c r="AW438" s="4"/>
      <c r="AX438" s="4"/>
    </row>
    <row r="439" spans="1:50" ht="15" x14ac:dyDescent="0.2">
      <c r="A439" s="3">
        <v>200161</v>
      </c>
      <c r="B439" s="1" t="s">
        <v>471</v>
      </c>
      <c r="C439" s="3">
        <v>1</v>
      </c>
      <c r="D439" s="3" t="s">
        <v>465</v>
      </c>
      <c r="E439" s="3">
        <v>6</v>
      </c>
      <c r="F439" s="3" t="s">
        <v>473</v>
      </c>
      <c r="G439" s="7" t="s">
        <v>363</v>
      </c>
      <c r="H439" s="3">
        <v>1010</v>
      </c>
      <c r="I439" s="3" t="s">
        <v>531</v>
      </c>
      <c r="J439" s="3">
        <v>38</v>
      </c>
      <c r="K439" s="3" t="s">
        <v>1522</v>
      </c>
      <c r="L439" s="3">
        <v>0</v>
      </c>
      <c r="M439" s="3" t="s">
        <v>1522</v>
      </c>
      <c r="N439" s="3" t="s">
        <v>531</v>
      </c>
      <c r="O439" s="10">
        <v>26497</v>
      </c>
      <c r="P439" s="10">
        <v>42389</v>
      </c>
      <c r="Q439" s="10"/>
      <c r="R439" s="10">
        <v>42389</v>
      </c>
      <c r="S439" s="23">
        <v>3566.13</v>
      </c>
      <c r="T439" s="3">
        <v>53162234</v>
      </c>
      <c r="U439" s="3">
        <v>27207171200577</v>
      </c>
      <c r="V439" s="4" t="s">
        <v>2449</v>
      </c>
      <c r="W439" s="4"/>
      <c r="X439" s="4" t="s">
        <v>2450</v>
      </c>
      <c r="Z439" s="3">
        <f ca="1">DATEDIF(Table1[[#This Row],[تاريخ الميلاد]],TODAY(),"y")</f>
        <v>54</v>
      </c>
      <c r="AA43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54 عام 1  شهر  3  يوم </v>
      </c>
      <c r="AB43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10عام7  شهر  0  يوم </v>
      </c>
      <c r="AC439" s="10">
        <f>DATE(YEAR(Table1[[#This Row],[تاريخ الميلاد]])+60,MONTH(Table1[[#This Row],[تاريخ الميلاد]]),DAY(Table1[[#This Row],[تاريخ الميلاد]]))</f>
        <v>48412</v>
      </c>
      <c r="AD439" s="14">
        <f>DATE(YEAR(Table1[[#This Row],[معاش 01/01]])-1,MONTH(Table1[[#This Row],[تاريخ بلوغ 60 ]]),DAY(Table1[[#This Row],[تاريخ بلوغ 60 ]]))</f>
        <v>48412</v>
      </c>
      <c r="AE43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48777</v>
      </c>
      <c r="AF439" s="10" t="str">
        <f>IFERROR(IF(ISODD(MID(Table1[[#This Row],[الرقم القومي]],13,1)),"ذكر","انثي"),"")</f>
        <v>ذكر</v>
      </c>
      <c r="AG439" s="70" t="s">
        <v>1635</v>
      </c>
      <c r="AH439" s="3">
        <f>IF(MONTH(Table1[[#This Row],[تاريخ بلوغ 60 ]])&lt;&gt;1,1,0)</f>
        <v>1</v>
      </c>
      <c r="AI439" s="3">
        <f>IF(DAY(Table1[[#This Row],[تاريخ بلوغ 60 ]])&lt;&gt;1,1,0)</f>
        <v>1</v>
      </c>
      <c r="AJ439" s="4" t="s">
        <v>465</v>
      </c>
      <c r="AK439" s="4" t="s">
        <v>2689</v>
      </c>
      <c r="AL439" s="62" t="s">
        <v>2448</v>
      </c>
      <c r="AM439" s="62" t="s">
        <v>3106</v>
      </c>
      <c r="AN439" s="2">
        <v>0</v>
      </c>
      <c r="AO439" s="4" t="s">
        <v>2634</v>
      </c>
      <c r="AP439" s="74">
        <v>0</v>
      </c>
      <c r="AQ439" s="4">
        <v>0</v>
      </c>
      <c r="AR439" s="4">
        <v>0</v>
      </c>
      <c r="AS439" s="4">
        <v>0</v>
      </c>
      <c r="AT439" s="72">
        <v>0</v>
      </c>
      <c r="AU439" s="2">
        <v>0</v>
      </c>
      <c r="AV439" s="4"/>
      <c r="AW439" s="4"/>
      <c r="AX439" s="4"/>
    </row>
    <row r="440" spans="1:50" ht="15" x14ac:dyDescent="0.2">
      <c r="A440" s="3">
        <v>200226</v>
      </c>
      <c r="B440" s="1" t="s">
        <v>471</v>
      </c>
      <c r="C440" s="3">
        <v>1</v>
      </c>
      <c r="D440" s="3" t="s">
        <v>465</v>
      </c>
      <c r="E440" s="3">
        <v>3</v>
      </c>
      <c r="F440" s="3" t="s">
        <v>472</v>
      </c>
      <c r="G440" s="7" t="s">
        <v>364</v>
      </c>
      <c r="H440" s="3">
        <v>1007</v>
      </c>
      <c r="I440" s="3" t="s">
        <v>528</v>
      </c>
      <c r="J440" s="3">
        <v>38</v>
      </c>
      <c r="K440" s="3" t="s">
        <v>1522</v>
      </c>
      <c r="L440" s="3">
        <v>0</v>
      </c>
      <c r="M440" s="3" t="s">
        <v>1522</v>
      </c>
      <c r="N440" s="3" t="s">
        <v>528</v>
      </c>
      <c r="O440" s="10">
        <v>29930</v>
      </c>
      <c r="P440" s="10">
        <v>42389</v>
      </c>
      <c r="Q440" s="10"/>
      <c r="R440" s="10">
        <v>42389</v>
      </c>
      <c r="S440" s="23">
        <v>3876.99</v>
      </c>
      <c r="T440" s="3">
        <v>64789815</v>
      </c>
      <c r="U440" s="3">
        <v>28112100300344</v>
      </c>
      <c r="V440" s="4" t="s">
        <v>2452</v>
      </c>
      <c r="W440" s="4"/>
      <c r="X440" s="4" t="s">
        <v>2427</v>
      </c>
      <c r="Y440" s="4">
        <v>1998</v>
      </c>
      <c r="Z440" s="3">
        <f ca="1">DATEDIF(Table1[[#This Row],[تاريخ الميلاد]],TODAY(),"y")</f>
        <v>44</v>
      </c>
      <c r="AA44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44 عام 8  شهر  10  يوم </v>
      </c>
      <c r="AB44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10عام7  شهر  0  يوم </v>
      </c>
      <c r="AC440" s="10">
        <f>DATE(YEAR(Table1[[#This Row],[تاريخ الميلاد]])+60,MONTH(Table1[[#This Row],[تاريخ الميلاد]]),DAY(Table1[[#This Row],[تاريخ الميلاد]]))</f>
        <v>51845</v>
      </c>
      <c r="AD440" s="14">
        <f>DATE(YEAR(Table1[[#This Row],[معاش 01/01]])-1,MONTH(Table1[[#This Row],[تاريخ بلوغ 60 ]]),DAY(Table1[[#This Row],[تاريخ بلوغ 60 ]]))</f>
        <v>51845</v>
      </c>
      <c r="AE44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52210</v>
      </c>
      <c r="AF440" s="10" t="str">
        <f>IFERROR(IF(ISODD(MID(Table1[[#This Row],[الرقم القومي]],13,1)),"ذكر","انثي"),"")</f>
        <v>انثي</v>
      </c>
      <c r="AG440" s="70" t="s">
        <v>2606</v>
      </c>
      <c r="AH440" s="3">
        <f>IF(MONTH(Table1[[#This Row],[تاريخ بلوغ 60 ]])&lt;&gt;1,1,0)</f>
        <v>1</v>
      </c>
      <c r="AI440" s="3">
        <f>IF(DAY(Table1[[#This Row],[تاريخ بلوغ 60 ]])&lt;&gt;1,1,0)</f>
        <v>1</v>
      </c>
      <c r="AJ440" s="4" t="s">
        <v>465</v>
      </c>
      <c r="AK440" s="4">
        <v>0</v>
      </c>
      <c r="AL440" s="62" t="s">
        <v>2451</v>
      </c>
      <c r="AM440" s="62" t="s">
        <v>3107</v>
      </c>
      <c r="AN440" s="2">
        <v>0</v>
      </c>
      <c r="AO440" s="4" t="s">
        <v>2634</v>
      </c>
      <c r="AP440" s="74">
        <v>0</v>
      </c>
      <c r="AQ440" s="4">
        <v>0</v>
      </c>
      <c r="AR440" s="4">
        <v>7</v>
      </c>
      <c r="AS440" s="4" t="s">
        <v>2642</v>
      </c>
      <c r="AT440" s="72">
        <v>0</v>
      </c>
      <c r="AU440" s="2">
        <v>0</v>
      </c>
      <c r="AV440" s="4"/>
      <c r="AW440" s="4"/>
      <c r="AX440" s="4"/>
    </row>
    <row r="441" spans="1:50" ht="15" x14ac:dyDescent="0.2">
      <c r="A441" s="3">
        <v>200228</v>
      </c>
      <c r="B441" s="1" t="s">
        <v>471</v>
      </c>
      <c r="C441" s="3">
        <v>1</v>
      </c>
      <c r="D441" s="3" t="s">
        <v>465</v>
      </c>
      <c r="E441" s="3">
        <v>6</v>
      </c>
      <c r="F441" s="3" t="s">
        <v>473</v>
      </c>
      <c r="G441" s="7" t="s">
        <v>365</v>
      </c>
      <c r="H441" s="3">
        <v>1001</v>
      </c>
      <c r="I441" s="3" t="s">
        <v>522</v>
      </c>
      <c r="J441" s="3">
        <v>38</v>
      </c>
      <c r="K441" s="3" t="s">
        <v>1522</v>
      </c>
      <c r="L441" s="3">
        <v>0</v>
      </c>
      <c r="M441" s="3" t="s">
        <v>1522</v>
      </c>
      <c r="N441" s="3" t="s">
        <v>522</v>
      </c>
      <c r="O441" s="10">
        <v>32143</v>
      </c>
      <c r="P441" s="10">
        <v>42389</v>
      </c>
      <c r="Q441" s="10"/>
      <c r="R441" s="10">
        <v>42389</v>
      </c>
      <c r="S441" s="23">
        <v>3876.99</v>
      </c>
      <c r="T441" s="3">
        <v>18145784</v>
      </c>
      <c r="U441" s="3">
        <v>28801010300949</v>
      </c>
      <c r="V441" s="4" t="s">
        <v>2454</v>
      </c>
      <c r="W441" s="4"/>
      <c r="X441" s="4" t="s">
        <v>2427</v>
      </c>
      <c r="Z441" s="3">
        <f ca="1">DATEDIF(Table1[[#This Row],[تاريخ الميلاد]],TODAY(),"y")</f>
        <v>38</v>
      </c>
      <c r="AA44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7  شهر  19  يوم </v>
      </c>
      <c r="AB44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10عام7  شهر  0  يوم </v>
      </c>
      <c r="AC441" s="10">
        <f>DATE(YEAR(Table1[[#This Row],[تاريخ الميلاد]])+60,MONTH(Table1[[#This Row],[تاريخ الميلاد]]),DAY(Table1[[#This Row],[تاريخ الميلاد]]))</f>
        <v>54058</v>
      </c>
      <c r="AD441" s="14">
        <f>DATE(YEAR(Table1[[#This Row],[معاش 01/01]])-1,MONTH(Table1[[#This Row],[تاريخ بلوغ 60 ]]),DAY(Table1[[#This Row],[تاريخ بلوغ 60 ]]))</f>
        <v>53693</v>
      </c>
      <c r="AE44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54058</v>
      </c>
      <c r="AF441" s="10" t="str">
        <f>IFERROR(IF(ISODD(MID(Table1[[#This Row],[الرقم القومي]],13,1)),"ذكر","انثي"),"")</f>
        <v>انثي</v>
      </c>
      <c r="AG441" s="70" t="s">
        <v>2606</v>
      </c>
      <c r="AH441" s="3">
        <f>IF(MONTH(Table1[[#This Row],[تاريخ بلوغ 60 ]])&lt;&gt;1,1,0)</f>
        <v>0</v>
      </c>
      <c r="AI441" s="3">
        <f>IF(DAY(Table1[[#This Row],[تاريخ بلوغ 60 ]])&lt;&gt;1,1,0)</f>
        <v>0</v>
      </c>
      <c r="AJ441" s="4" t="s">
        <v>465</v>
      </c>
      <c r="AK441" s="4" t="s">
        <v>2636</v>
      </c>
      <c r="AL441" s="62" t="s">
        <v>2453</v>
      </c>
      <c r="AM441" s="62" t="s">
        <v>3108</v>
      </c>
      <c r="AN441" s="2">
        <v>0</v>
      </c>
      <c r="AO441" s="4" t="s">
        <v>2634</v>
      </c>
      <c r="AP441" s="74">
        <v>0</v>
      </c>
      <c r="AQ441" s="4">
        <v>0</v>
      </c>
      <c r="AR441" s="4">
        <v>0</v>
      </c>
      <c r="AS441" s="4">
        <v>0</v>
      </c>
      <c r="AT441" s="72">
        <v>0</v>
      </c>
      <c r="AU441" s="2">
        <v>0</v>
      </c>
      <c r="AV441" s="4"/>
      <c r="AW441" s="4"/>
      <c r="AX441" s="4"/>
    </row>
    <row r="442" spans="1:50" ht="15" x14ac:dyDescent="0.2">
      <c r="A442" s="3">
        <v>200328</v>
      </c>
      <c r="B442" s="1" t="s">
        <v>471</v>
      </c>
      <c r="C442" s="3">
        <v>1</v>
      </c>
      <c r="D442" s="3" t="s">
        <v>465</v>
      </c>
      <c r="E442" s="3">
        <v>21</v>
      </c>
      <c r="F442" s="3" t="s">
        <v>474</v>
      </c>
      <c r="G442" s="7" t="s">
        <v>366</v>
      </c>
      <c r="H442" s="3">
        <v>1011</v>
      </c>
      <c r="I442" s="3" t="s">
        <v>532</v>
      </c>
      <c r="J442" s="3">
        <v>38</v>
      </c>
      <c r="K442" s="3" t="s">
        <v>1522</v>
      </c>
      <c r="L442" s="3">
        <v>0</v>
      </c>
      <c r="M442" s="3" t="s">
        <v>1522</v>
      </c>
      <c r="N442" s="3" t="s">
        <v>532</v>
      </c>
      <c r="O442" s="10">
        <v>25055</v>
      </c>
      <c r="P442" s="10">
        <v>42647</v>
      </c>
      <c r="Q442" s="10"/>
      <c r="R442" s="10">
        <v>42647</v>
      </c>
      <c r="S442" s="23">
        <v>3687</v>
      </c>
      <c r="T442" s="3">
        <v>44005363</v>
      </c>
      <c r="U442" s="3">
        <v>26808050300116</v>
      </c>
      <c r="V442" s="4" t="s">
        <v>2455</v>
      </c>
      <c r="W442" s="4"/>
      <c r="X442" s="4" t="s">
        <v>2427</v>
      </c>
      <c r="Z442" s="3">
        <f ca="1">DATEDIF(Table1[[#This Row],[تاريخ الميلاد]],TODAY(),"y")</f>
        <v>58</v>
      </c>
      <c r="AA44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58 عام 0  شهر  15  يوم </v>
      </c>
      <c r="AB44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9عام10  شهر  16  يوم </v>
      </c>
      <c r="AC442" s="10">
        <f>DATE(YEAR(Table1[[#This Row],[تاريخ الميلاد]])+60,MONTH(Table1[[#This Row],[تاريخ الميلاد]]),DAY(Table1[[#This Row],[تاريخ الميلاد]]))</f>
        <v>46970</v>
      </c>
      <c r="AD442" s="14">
        <f>DATE(YEAR(Table1[[#This Row],[معاش 01/01]])-1,MONTH(Table1[[#This Row],[تاريخ بلوغ 60 ]]),DAY(Table1[[#This Row],[تاريخ بلوغ 60 ]]))</f>
        <v>46970</v>
      </c>
      <c r="AE44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47335</v>
      </c>
      <c r="AF442" s="10" t="str">
        <f>IFERROR(IF(ISODD(MID(Table1[[#This Row],[الرقم القومي]],13,1)),"ذكر","انثي"),"")</f>
        <v>ذكر</v>
      </c>
      <c r="AG442" s="70" t="s">
        <v>2606</v>
      </c>
      <c r="AH442" s="3">
        <f>IF(MONTH(Table1[[#This Row],[تاريخ بلوغ 60 ]])&lt;&gt;1,1,0)</f>
        <v>1</v>
      </c>
      <c r="AI442" s="3">
        <f>IF(DAY(Table1[[#This Row],[تاريخ بلوغ 60 ]])&lt;&gt;1,1,0)</f>
        <v>1</v>
      </c>
      <c r="AJ442" s="4" t="s">
        <v>465</v>
      </c>
      <c r="AK442" s="4" t="s">
        <v>2770</v>
      </c>
      <c r="AL442" s="62" t="s">
        <v>3110</v>
      </c>
      <c r="AM442" s="62" t="s">
        <v>3109</v>
      </c>
      <c r="AN442" s="2">
        <v>0</v>
      </c>
      <c r="AO442" s="4" t="s">
        <v>2634</v>
      </c>
      <c r="AP442" s="74">
        <v>0</v>
      </c>
      <c r="AQ442" s="4">
        <v>0</v>
      </c>
      <c r="AR442" s="4">
        <v>1</v>
      </c>
      <c r="AS442" s="4" t="s">
        <v>2635</v>
      </c>
      <c r="AT442" s="72">
        <v>2</v>
      </c>
      <c r="AU442" s="2">
        <v>0</v>
      </c>
      <c r="AV442" s="4"/>
      <c r="AW442" s="4"/>
      <c r="AX442" s="4"/>
    </row>
    <row r="443" spans="1:50" ht="15" x14ac:dyDescent="0.2">
      <c r="A443" s="3">
        <v>200350</v>
      </c>
      <c r="B443" s="1" t="s">
        <v>471</v>
      </c>
      <c r="C443" s="3">
        <v>1</v>
      </c>
      <c r="D443" s="3" t="s">
        <v>465</v>
      </c>
      <c r="E443" s="3">
        <v>3</v>
      </c>
      <c r="F443" s="3" t="s">
        <v>472</v>
      </c>
      <c r="G443" s="7" t="s">
        <v>367</v>
      </c>
      <c r="H443" s="3">
        <v>1007</v>
      </c>
      <c r="I443" s="3" t="s">
        <v>528</v>
      </c>
      <c r="J443" s="3">
        <v>38</v>
      </c>
      <c r="K443" s="3" t="s">
        <v>1522</v>
      </c>
      <c r="L443" s="3">
        <v>0</v>
      </c>
      <c r="M443" s="3" t="s">
        <v>1522</v>
      </c>
      <c r="N443" s="3" t="s">
        <v>528</v>
      </c>
      <c r="O443" s="10">
        <v>33663</v>
      </c>
      <c r="P443" s="10">
        <v>42647</v>
      </c>
      <c r="Q443" s="10"/>
      <c r="R443" s="10">
        <v>42647</v>
      </c>
      <c r="S443" s="23">
        <v>3687</v>
      </c>
      <c r="T443" s="3">
        <v>64819257</v>
      </c>
      <c r="U443" s="3">
        <v>29202290300101</v>
      </c>
      <c r="V443" s="4" t="s">
        <v>2457</v>
      </c>
      <c r="W443" s="4"/>
      <c r="X443" s="4" t="s">
        <v>2427</v>
      </c>
      <c r="Y443" s="4">
        <v>2009</v>
      </c>
      <c r="Z443" s="3">
        <f ca="1">DATEDIF(Table1[[#This Row],[تاريخ الميلاد]],TODAY(),"y")</f>
        <v>34</v>
      </c>
      <c r="AA44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34 عام 5  شهر  22  يوم </v>
      </c>
      <c r="AB44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9عام10  شهر  16  يوم </v>
      </c>
      <c r="AC443" s="10">
        <f>DATE(YEAR(Table1[[#This Row],[تاريخ الميلاد]])+60,MONTH(Table1[[#This Row],[تاريخ الميلاد]]),DAY(Table1[[#This Row],[تاريخ الميلاد]]))</f>
        <v>55578</v>
      </c>
      <c r="AD443" s="14">
        <f>DATE(YEAR(Table1[[#This Row],[معاش 01/01]])-1,MONTH(Table1[[#This Row],[تاريخ بلوغ 60 ]]),DAY(Table1[[#This Row],[تاريخ بلوغ 60 ]]))</f>
        <v>55578</v>
      </c>
      <c r="AE44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55944</v>
      </c>
      <c r="AF443" s="10" t="str">
        <f>IFERROR(IF(ISODD(MID(Table1[[#This Row],[الرقم القومي]],13,1)),"ذكر","انثي"),"")</f>
        <v>انثي</v>
      </c>
      <c r="AG443" s="70" t="s">
        <v>2606</v>
      </c>
      <c r="AH443" s="3">
        <f>IF(MONTH(Table1[[#This Row],[تاريخ بلوغ 60 ]])&lt;&gt;1,1,0)</f>
        <v>1</v>
      </c>
      <c r="AI443" s="3">
        <f>IF(DAY(Table1[[#This Row],[تاريخ بلوغ 60 ]])&lt;&gt;1,1,0)</f>
        <v>1</v>
      </c>
      <c r="AJ443" s="4" t="s">
        <v>465</v>
      </c>
      <c r="AK443" s="4">
        <v>0</v>
      </c>
      <c r="AL443" s="62" t="s">
        <v>2456</v>
      </c>
      <c r="AM443" s="62" t="s">
        <v>3111</v>
      </c>
      <c r="AN443" s="2">
        <v>0</v>
      </c>
      <c r="AO443" s="4" t="s">
        <v>2634</v>
      </c>
      <c r="AP443" s="74">
        <v>0</v>
      </c>
      <c r="AQ443" s="4">
        <v>0</v>
      </c>
      <c r="AR443" s="4">
        <v>1</v>
      </c>
      <c r="AS443" s="4" t="s">
        <v>2635</v>
      </c>
      <c r="AT443" s="72">
        <v>2</v>
      </c>
      <c r="AU443" s="2">
        <v>0</v>
      </c>
      <c r="AV443" s="4"/>
      <c r="AW443" s="4"/>
      <c r="AX443" s="4"/>
    </row>
    <row r="444" spans="1:50" ht="15" x14ac:dyDescent="0.2">
      <c r="A444" s="3">
        <v>200364</v>
      </c>
      <c r="B444" s="1" t="s">
        <v>471</v>
      </c>
      <c r="C444" s="3">
        <v>1</v>
      </c>
      <c r="D444" s="3" t="s">
        <v>465</v>
      </c>
      <c r="E444" s="3">
        <v>3</v>
      </c>
      <c r="F444" s="3" t="s">
        <v>472</v>
      </c>
      <c r="G444" s="7" t="s">
        <v>368</v>
      </c>
      <c r="H444" s="3">
        <v>1001</v>
      </c>
      <c r="I444" s="3" t="s">
        <v>522</v>
      </c>
      <c r="J444" s="3">
        <v>38</v>
      </c>
      <c r="K444" s="3" t="s">
        <v>1522</v>
      </c>
      <c r="L444" s="3">
        <v>0</v>
      </c>
      <c r="M444" s="3" t="s">
        <v>1522</v>
      </c>
      <c r="N444" s="3" t="s">
        <v>522</v>
      </c>
      <c r="O444" s="10">
        <v>32621</v>
      </c>
      <c r="P444" s="10">
        <v>42647</v>
      </c>
      <c r="Q444" s="10"/>
      <c r="R444" s="10">
        <v>42647</v>
      </c>
      <c r="S444" s="23">
        <v>3687</v>
      </c>
      <c r="T444" s="3">
        <v>29150679</v>
      </c>
      <c r="U444" s="3">
        <v>28904230300366</v>
      </c>
      <c r="V444" s="4" t="s">
        <v>2459</v>
      </c>
      <c r="W444" s="4"/>
      <c r="X444" s="4" t="s">
        <v>2427</v>
      </c>
      <c r="Y444" s="4">
        <v>2006</v>
      </c>
      <c r="Z444" s="3">
        <f ca="1">DATEDIF(Table1[[#This Row],[تاريخ الميلاد]],TODAY(),"y")</f>
        <v>37</v>
      </c>
      <c r="AA44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3  شهر  28  يوم </v>
      </c>
      <c r="AB44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9عام10  شهر  16  يوم </v>
      </c>
      <c r="AC444" s="10">
        <f>DATE(YEAR(Table1[[#This Row],[تاريخ الميلاد]])+60,MONTH(Table1[[#This Row],[تاريخ الميلاد]]),DAY(Table1[[#This Row],[تاريخ الميلاد]]))</f>
        <v>54536</v>
      </c>
      <c r="AD444" s="14">
        <f>DATE(YEAR(Table1[[#This Row],[معاش 01/01]])-1,MONTH(Table1[[#This Row],[تاريخ بلوغ 60 ]]),DAY(Table1[[#This Row],[تاريخ بلوغ 60 ]]))</f>
        <v>54536</v>
      </c>
      <c r="AE44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54901</v>
      </c>
      <c r="AF444" s="10" t="str">
        <f>IFERROR(IF(ISODD(MID(Table1[[#This Row],[الرقم القومي]],13,1)),"ذكر","انثي"),"")</f>
        <v>انثي</v>
      </c>
      <c r="AG444" s="70" t="s">
        <v>2606</v>
      </c>
      <c r="AH444" s="3">
        <f>IF(MONTH(Table1[[#This Row],[تاريخ بلوغ 60 ]])&lt;&gt;1,1,0)</f>
        <v>1</v>
      </c>
      <c r="AI444" s="3">
        <f>IF(DAY(Table1[[#This Row],[تاريخ بلوغ 60 ]])&lt;&gt;1,1,0)</f>
        <v>1</v>
      </c>
      <c r="AJ444" s="4" t="s">
        <v>465</v>
      </c>
      <c r="AK444" s="4" t="s">
        <v>2636</v>
      </c>
      <c r="AL444" s="62" t="s">
        <v>2458</v>
      </c>
      <c r="AM444" s="62" t="s">
        <v>3112</v>
      </c>
      <c r="AN444" s="2">
        <v>0</v>
      </c>
      <c r="AO444" s="4" t="s">
        <v>2634</v>
      </c>
      <c r="AP444" s="74">
        <v>0</v>
      </c>
      <c r="AQ444" s="4">
        <v>0</v>
      </c>
      <c r="AR444" s="4">
        <v>2</v>
      </c>
      <c r="AS444" s="4" t="s">
        <v>2696</v>
      </c>
      <c r="AT444" s="72">
        <v>4</v>
      </c>
      <c r="AU444" s="2">
        <v>0</v>
      </c>
      <c r="AV444" s="4"/>
      <c r="AW444" s="4"/>
      <c r="AX444" s="4"/>
    </row>
    <row r="445" spans="1:50" ht="15" x14ac:dyDescent="0.2">
      <c r="A445" s="3">
        <v>200375</v>
      </c>
      <c r="B445" s="1" t="s">
        <v>471</v>
      </c>
      <c r="C445" s="3">
        <v>1</v>
      </c>
      <c r="D445" s="3" t="s">
        <v>465</v>
      </c>
      <c r="E445" s="3">
        <v>3</v>
      </c>
      <c r="F445" s="3" t="s">
        <v>472</v>
      </c>
      <c r="G445" s="7" t="s">
        <v>2460</v>
      </c>
      <c r="H445" s="3">
        <v>1001</v>
      </c>
      <c r="I445" s="3" t="s">
        <v>522</v>
      </c>
      <c r="J445" s="3">
        <v>38</v>
      </c>
      <c r="K445" s="3" t="s">
        <v>1522</v>
      </c>
      <c r="L445" s="3">
        <v>0</v>
      </c>
      <c r="M445" s="3" t="s">
        <v>1522</v>
      </c>
      <c r="N445" s="3" t="s">
        <v>522</v>
      </c>
      <c r="O445" s="10">
        <v>33503</v>
      </c>
      <c r="P445" s="10">
        <v>42647</v>
      </c>
      <c r="Q445" s="10"/>
      <c r="R445" s="10">
        <v>42647</v>
      </c>
      <c r="S445" s="23">
        <v>3687</v>
      </c>
      <c r="T445" s="3">
        <v>64940896</v>
      </c>
      <c r="U445" s="3">
        <v>29109220300227</v>
      </c>
      <c r="V445" s="4" t="s">
        <v>2462</v>
      </c>
      <c r="W445" s="4"/>
      <c r="X445" s="4" t="s">
        <v>2427</v>
      </c>
      <c r="Y445" s="4">
        <v>2008</v>
      </c>
      <c r="Z445" s="3">
        <f ca="1">DATEDIF(Table1[[#This Row],[تاريخ الميلاد]],TODAY(),"y")</f>
        <v>34</v>
      </c>
      <c r="AA44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34 عام 10  شهر  29  يوم </v>
      </c>
      <c r="AB44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9عام10  شهر  16  يوم </v>
      </c>
      <c r="AC445" s="10">
        <f>DATE(YEAR(Table1[[#This Row],[تاريخ الميلاد]])+60,MONTH(Table1[[#This Row],[تاريخ الميلاد]]),DAY(Table1[[#This Row],[تاريخ الميلاد]]))</f>
        <v>55418</v>
      </c>
      <c r="AD445" s="14">
        <f>DATE(YEAR(Table1[[#This Row],[معاش 01/01]])-1,MONTH(Table1[[#This Row],[تاريخ بلوغ 60 ]]),DAY(Table1[[#This Row],[تاريخ بلوغ 60 ]]))</f>
        <v>55418</v>
      </c>
      <c r="AE44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55784</v>
      </c>
      <c r="AF445" s="10" t="str">
        <f>IFERROR(IF(ISODD(MID(Table1[[#This Row],[الرقم القومي]],13,1)),"ذكر","انثي"),"")</f>
        <v>انثي</v>
      </c>
      <c r="AG445" s="70" t="s">
        <v>2606</v>
      </c>
      <c r="AH445" s="3">
        <f>IF(MONTH(Table1[[#This Row],[تاريخ بلوغ 60 ]])&lt;&gt;1,1,0)</f>
        <v>1</v>
      </c>
      <c r="AI445" s="3">
        <f>IF(DAY(Table1[[#This Row],[تاريخ بلوغ 60 ]])&lt;&gt;1,1,0)</f>
        <v>1</v>
      </c>
      <c r="AJ445" s="4" t="s">
        <v>465</v>
      </c>
      <c r="AK445" s="4" t="s">
        <v>2636</v>
      </c>
      <c r="AL445" s="62" t="s">
        <v>2461</v>
      </c>
      <c r="AM445" s="62" t="s">
        <v>3113</v>
      </c>
      <c r="AN445" s="2">
        <v>0</v>
      </c>
      <c r="AO445" s="4" t="s">
        <v>2634</v>
      </c>
      <c r="AP445" s="74">
        <v>0</v>
      </c>
      <c r="AQ445" s="4">
        <v>0</v>
      </c>
      <c r="AR445" s="4">
        <v>1</v>
      </c>
      <c r="AS445" s="4" t="s">
        <v>2635</v>
      </c>
      <c r="AT445" s="72">
        <v>2</v>
      </c>
      <c r="AU445" s="2">
        <v>0</v>
      </c>
      <c r="AV445" s="4"/>
      <c r="AW445" s="4"/>
      <c r="AX445" s="4"/>
    </row>
    <row r="446" spans="1:50" ht="15" x14ac:dyDescent="0.2">
      <c r="A446" s="3">
        <v>200379</v>
      </c>
      <c r="B446" s="1" t="s">
        <v>471</v>
      </c>
      <c r="C446" s="3">
        <v>1</v>
      </c>
      <c r="D446" s="3" t="s">
        <v>465</v>
      </c>
      <c r="E446" s="3">
        <v>3</v>
      </c>
      <c r="F446" s="3" t="s">
        <v>472</v>
      </c>
      <c r="G446" s="7" t="s">
        <v>369</v>
      </c>
      <c r="H446" s="3">
        <v>1001</v>
      </c>
      <c r="I446" s="3" t="s">
        <v>522</v>
      </c>
      <c r="J446" s="3">
        <v>38</v>
      </c>
      <c r="K446" s="3" t="s">
        <v>1522</v>
      </c>
      <c r="L446" s="3">
        <v>0</v>
      </c>
      <c r="M446" s="3" t="s">
        <v>1522</v>
      </c>
      <c r="N446" s="3" t="s">
        <v>522</v>
      </c>
      <c r="O446" s="10">
        <v>32143</v>
      </c>
      <c r="P446" s="10">
        <v>42647</v>
      </c>
      <c r="Q446" s="10"/>
      <c r="R446" s="10">
        <v>42647</v>
      </c>
      <c r="S446" s="23">
        <v>3687</v>
      </c>
      <c r="T446" s="3">
        <v>64940906</v>
      </c>
      <c r="U446" s="3">
        <v>28801010301627</v>
      </c>
      <c r="V446" s="4" t="s">
        <v>2464</v>
      </c>
      <c r="W446" s="4"/>
      <c r="X446" s="4" t="s">
        <v>2427</v>
      </c>
      <c r="Y446" s="4">
        <v>2004</v>
      </c>
      <c r="Z446" s="3">
        <f ca="1">DATEDIF(Table1[[#This Row],[تاريخ الميلاد]],TODAY(),"y")</f>
        <v>38</v>
      </c>
      <c r="AA44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7  شهر  19  يوم </v>
      </c>
      <c r="AB44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9عام10  شهر  16  يوم </v>
      </c>
      <c r="AC446" s="10">
        <f>DATE(YEAR(Table1[[#This Row],[تاريخ الميلاد]])+60,MONTH(Table1[[#This Row],[تاريخ الميلاد]]),DAY(Table1[[#This Row],[تاريخ الميلاد]]))</f>
        <v>54058</v>
      </c>
      <c r="AD446" s="14">
        <f>DATE(YEAR(Table1[[#This Row],[معاش 01/01]])-1,MONTH(Table1[[#This Row],[تاريخ بلوغ 60 ]]),DAY(Table1[[#This Row],[تاريخ بلوغ 60 ]]))</f>
        <v>53693</v>
      </c>
      <c r="AE44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54058</v>
      </c>
      <c r="AF446" s="10" t="str">
        <f>IFERROR(IF(ISODD(MID(Table1[[#This Row],[الرقم القومي]],13,1)),"ذكر","انثي"),"")</f>
        <v>انثي</v>
      </c>
      <c r="AG446" s="70" t="s">
        <v>2606</v>
      </c>
      <c r="AH446" s="3">
        <f>IF(MONTH(Table1[[#This Row],[تاريخ بلوغ 60 ]])&lt;&gt;1,1,0)</f>
        <v>0</v>
      </c>
      <c r="AI446" s="3">
        <f>IF(DAY(Table1[[#This Row],[تاريخ بلوغ 60 ]])&lt;&gt;1,1,0)</f>
        <v>0</v>
      </c>
      <c r="AJ446" s="4" t="s">
        <v>465</v>
      </c>
      <c r="AK446" s="4" t="s">
        <v>2636</v>
      </c>
      <c r="AL446" s="62" t="s">
        <v>2463</v>
      </c>
      <c r="AM446" s="62" t="s">
        <v>3114</v>
      </c>
      <c r="AN446" s="2">
        <v>0</v>
      </c>
      <c r="AO446" s="4" t="s">
        <v>2634</v>
      </c>
      <c r="AP446" s="74">
        <v>0</v>
      </c>
      <c r="AQ446" s="4">
        <v>0</v>
      </c>
      <c r="AR446" s="4">
        <v>0</v>
      </c>
      <c r="AS446" s="4" t="s">
        <v>2645</v>
      </c>
      <c r="AT446" s="72">
        <v>0</v>
      </c>
      <c r="AU446" s="2">
        <v>0</v>
      </c>
      <c r="AV446" s="4"/>
      <c r="AW446" s="4"/>
      <c r="AX446" s="4"/>
    </row>
    <row r="447" spans="1:50" ht="15" x14ac:dyDescent="0.2">
      <c r="A447" s="3">
        <v>200380</v>
      </c>
      <c r="B447" s="1" t="s">
        <v>471</v>
      </c>
      <c r="C447" s="3">
        <v>1</v>
      </c>
      <c r="D447" s="3" t="s">
        <v>465</v>
      </c>
      <c r="E447" s="3">
        <v>6</v>
      </c>
      <c r="F447" s="3" t="s">
        <v>473</v>
      </c>
      <c r="G447" s="7" t="s">
        <v>370</v>
      </c>
      <c r="H447" s="3">
        <v>1001</v>
      </c>
      <c r="I447" s="3" t="s">
        <v>522</v>
      </c>
      <c r="J447" s="3">
        <v>38</v>
      </c>
      <c r="K447" s="3" t="s">
        <v>1522</v>
      </c>
      <c r="L447" s="3">
        <v>0</v>
      </c>
      <c r="M447" s="3" t="s">
        <v>1522</v>
      </c>
      <c r="N447" s="3" t="s">
        <v>522</v>
      </c>
      <c r="O447" s="10">
        <v>31987</v>
      </c>
      <c r="P447" s="10">
        <v>42647</v>
      </c>
      <c r="Q447" s="10"/>
      <c r="R447" s="10">
        <v>42647</v>
      </c>
      <c r="S447" s="23">
        <v>3687</v>
      </c>
      <c r="T447" s="3">
        <v>17142871</v>
      </c>
      <c r="U447" s="3">
        <v>28707290300322</v>
      </c>
      <c r="V447" s="4" t="s">
        <v>2466</v>
      </c>
      <c r="W447" s="4"/>
      <c r="X447" s="4" t="s">
        <v>2427</v>
      </c>
      <c r="Z447" s="3">
        <f ca="1">DATEDIF(Table1[[#This Row],[تاريخ الميلاد]],TODAY(),"y")</f>
        <v>39</v>
      </c>
      <c r="AA44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39 عام 0  شهر  22  يوم </v>
      </c>
      <c r="AB44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9عام10  شهر  16  يوم </v>
      </c>
      <c r="AC447" s="10">
        <f>DATE(YEAR(Table1[[#This Row],[تاريخ الميلاد]])+60,MONTH(Table1[[#This Row],[تاريخ الميلاد]]),DAY(Table1[[#This Row],[تاريخ الميلاد]]))</f>
        <v>53902</v>
      </c>
      <c r="AD447" s="14">
        <f>DATE(YEAR(Table1[[#This Row],[معاش 01/01]])-1,MONTH(Table1[[#This Row],[تاريخ بلوغ 60 ]]),DAY(Table1[[#This Row],[تاريخ بلوغ 60 ]]))</f>
        <v>53902</v>
      </c>
      <c r="AE44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54268</v>
      </c>
      <c r="AF447" s="10" t="str">
        <f>IFERROR(IF(ISODD(MID(Table1[[#This Row],[الرقم القومي]],13,1)),"ذكر","انثي"),"")</f>
        <v>انثي</v>
      </c>
      <c r="AG447" s="70" t="s">
        <v>2606</v>
      </c>
      <c r="AH447" s="3">
        <f>IF(MONTH(Table1[[#This Row],[تاريخ بلوغ 60 ]])&lt;&gt;1,1,0)</f>
        <v>1</v>
      </c>
      <c r="AI447" s="3">
        <f>IF(DAY(Table1[[#This Row],[تاريخ بلوغ 60 ]])&lt;&gt;1,1,0)</f>
        <v>1</v>
      </c>
      <c r="AJ447" s="4" t="s">
        <v>465</v>
      </c>
      <c r="AK447" s="4" t="s">
        <v>2636</v>
      </c>
      <c r="AL447" s="62" t="s">
        <v>2465</v>
      </c>
      <c r="AM447" s="62" t="s">
        <v>3115</v>
      </c>
      <c r="AN447" s="2">
        <v>0</v>
      </c>
      <c r="AO447" s="4" t="s">
        <v>2634</v>
      </c>
      <c r="AP447" s="74">
        <v>0</v>
      </c>
      <c r="AQ447" s="4">
        <v>0</v>
      </c>
      <c r="AR447" s="4">
        <v>1</v>
      </c>
      <c r="AS447" s="4" t="s">
        <v>2635</v>
      </c>
      <c r="AT447" s="72">
        <v>2</v>
      </c>
      <c r="AU447" s="2">
        <v>0</v>
      </c>
      <c r="AV447" s="4"/>
      <c r="AW447" s="4"/>
      <c r="AX447" s="4"/>
    </row>
    <row r="448" spans="1:50" ht="15" x14ac:dyDescent="0.2">
      <c r="A448" s="3">
        <v>200384</v>
      </c>
      <c r="B448" s="1" t="s">
        <v>471</v>
      </c>
      <c r="C448" s="3">
        <v>1</v>
      </c>
      <c r="D448" s="3" t="s">
        <v>465</v>
      </c>
      <c r="E448" s="3">
        <v>3</v>
      </c>
      <c r="F448" s="3" t="s">
        <v>472</v>
      </c>
      <c r="G448" s="7" t="s">
        <v>371</v>
      </c>
      <c r="H448" s="3">
        <v>1001</v>
      </c>
      <c r="I448" s="3" t="s">
        <v>522</v>
      </c>
      <c r="J448" s="3">
        <v>38</v>
      </c>
      <c r="K448" s="3" t="s">
        <v>1522</v>
      </c>
      <c r="L448" s="3">
        <v>0</v>
      </c>
      <c r="M448" s="3" t="s">
        <v>1522</v>
      </c>
      <c r="N448" s="3" t="s">
        <v>522</v>
      </c>
      <c r="O448" s="10">
        <v>29200</v>
      </c>
      <c r="P448" s="10">
        <v>42647</v>
      </c>
      <c r="Q448" s="10"/>
      <c r="R448" s="10">
        <v>42647</v>
      </c>
      <c r="S448" s="23">
        <v>3687</v>
      </c>
      <c r="T448" s="3">
        <v>5529003</v>
      </c>
      <c r="U448" s="3">
        <v>27912110300086</v>
      </c>
      <c r="V448" s="4" t="s">
        <v>2468</v>
      </c>
      <c r="W448" s="4"/>
      <c r="X448" s="4" t="s">
        <v>2427</v>
      </c>
      <c r="Y448" s="4">
        <v>1996</v>
      </c>
      <c r="Z448" s="3">
        <f ca="1">DATEDIF(Table1[[#This Row],[تاريخ الميلاد]],TODAY(),"y")</f>
        <v>46</v>
      </c>
      <c r="AA44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46 عام 8  شهر  9  يوم </v>
      </c>
      <c r="AB44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9عام10  شهر  16  يوم </v>
      </c>
      <c r="AC448" s="10">
        <f>DATE(YEAR(Table1[[#This Row],[تاريخ الميلاد]])+60,MONTH(Table1[[#This Row],[تاريخ الميلاد]]),DAY(Table1[[#This Row],[تاريخ الميلاد]]))</f>
        <v>51115</v>
      </c>
      <c r="AD448" s="14">
        <f>DATE(YEAR(Table1[[#This Row],[معاش 01/01]])-1,MONTH(Table1[[#This Row],[تاريخ بلوغ 60 ]]),DAY(Table1[[#This Row],[تاريخ بلوغ 60 ]]))</f>
        <v>51115</v>
      </c>
      <c r="AE44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51481</v>
      </c>
      <c r="AF448" s="10" t="str">
        <f>IFERROR(IF(ISODD(MID(Table1[[#This Row],[الرقم القومي]],13,1)),"ذكر","انثي"),"")</f>
        <v>انثي</v>
      </c>
      <c r="AG448" s="70" t="s">
        <v>2606</v>
      </c>
      <c r="AH448" s="3">
        <f>IF(MONTH(Table1[[#This Row],[تاريخ بلوغ 60 ]])&lt;&gt;1,1,0)</f>
        <v>1</v>
      </c>
      <c r="AI448" s="3">
        <f>IF(DAY(Table1[[#This Row],[تاريخ بلوغ 60 ]])&lt;&gt;1,1,0)</f>
        <v>1</v>
      </c>
      <c r="AJ448" s="4" t="s">
        <v>465</v>
      </c>
      <c r="AK448" s="4">
        <v>0</v>
      </c>
      <c r="AL448" s="62" t="s">
        <v>2467</v>
      </c>
      <c r="AM448" s="62" t="s">
        <v>3116</v>
      </c>
      <c r="AN448" s="2">
        <v>0</v>
      </c>
      <c r="AO448" s="4" t="s">
        <v>2634</v>
      </c>
      <c r="AP448" s="74">
        <v>0</v>
      </c>
      <c r="AQ448" s="4">
        <v>0</v>
      </c>
      <c r="AR448" s="4">
        <v>1</v>
      </c>
      <c r="AS448" s="4" t="s">
        <v>2635</v>
      </c>
      <c r="AT448" s="72">
        <v>2</v>
      </c>
      <c r="AU448" s="2">
        <v>0</v>
      </c>
      <c r="AV448" s="4"/>
      <c r="AW448" s="4"/>
      <c r="AX448" s="4"/>
    </row>
    <row r="449" spans="1:50" ht="15" x14ac:dyDescent="0.2">
      <c r="A449" s="3">
        <v>200393</v>
      </c>
      <c r="B449" s="1" t="s">
        <v>471</v>
      </c>
      <c r="C449" s="3">
        <v>1</v>
      </c>
      <c r="D449" s="3" t="s">
        <v>465</v>
      </c>
      <c r="E449" s="3">
        <v>3</v>
      </c>
      <c r="F449" s="3" t="s">
        <v>472</v>
      </c>
      <c r="G449" s="7" t="s">
        <v>2469</v>
      </c>
      <c r="H449" s="3">
        <v>1007</v>
      </c>
      <c r="I449" s="3" t="s">
        <v>528</v>
      </c>
      <c r="J449" s="3">
        <v>38</v>
      </c>
      <c r="K449" s="3" t="s">
        <v>1522</v>
      </c>
      <c r="L449" s="3">
        <v>0</v>
      </c>
      <c r="M449" s="3" t="s">
        <v>1522</v>
      </c>
      <c r="N449" s="3" t="s">
        <v>528</v>
      </c>
      <c r="O449" s="10">
        <v>30394</v>
      </c>
      <c r="P449" s="10">
        <v>42647</v>
      </c>
      <c r="Q449" s="10"/>
      <c r="R449" s="10">
        <v>42647</v>
      </c>
      <c r="S449" s="23">
        <v>3687</v>
      </c>
      <c r="T449" s="3">
        <v>59668960</v>
      </c>
      <c r="U449" s="3">
        <v>28303190300381</v>
      </c>
      <c r="V449" s="4" t="s">
        <v>2471</v>
      </c>
      <c r="W449" s="4"/>
      <c r="X449" s="4" t="s">
        <v>2427</v>
      </c>
      <c r="Z449" s="3">
        <f ca="1">DATEDIF(Table1[[#This Row],[تاريخ الميلاد]],TODAY(),"y")</f>
        <v>43</v>
      </c>
      <c r="AA44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43 عام 5  شهر  1  يوم </v>
      </c>
      <c r="AB44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9عام10  شهر  16  يوم </v>
      </c>
      <c r="AC449" s="10">
        <f>DATE(YEAR(Table1[[#This Row],[تاريخ الميلاد]])+60,MONTH(Table1[[#This Row],[تاريخ الميلاد]]),DAY(Table1[[#This Row],[تاريخ الميلاد]]))</f>
        <v>52309</v>
      </c>
      <c r="AD449" s="14">
        <f>DATE(YEAR(Table1[[#This Row],[معاش 01/01]])-1,MONTH(Table1[[#This Row],[تاريخ بلوغ 60 ]]),DAY(Table1[[#This Row],[تاريخ بلوغ 60 ]]))</f>
        <v>52309</v>
      </c>
      <c r="AE44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52675</v>
      </c>
      <c r="AF449" s="10" t="str">
        <f>IFERROR(IF(ISODD(MID(Table1[[#This Row],[الرقم القومي]],13,1)),"ذكر","انثي"),"")</f>
        <v>انثي</v>
      </c>
      <c r="AG449" s="70" t="s">
        <v>2606</v>
      </c>
      <c r="AH449" s="3">
        <f>IF(MONTH(Table1[[#This Row],[تاريخ بلوغ 60 ]])&lt;&gt;1,1,0)</f>
        <v>1</v>
      </c>
      <c r="AI449" s="3">
        <f>IF(DAY(Table1[[#This Row],[تاريخ بلوغ 60 ]])&lt;&gt;1,1,0)</f>
        <v>1</v>
      </c>
      <c r="AJ449" s="4" t="s">
        <v>465</v>
      </c>
      <c r="AK449" s="4" t="s">
        <v>2730</v>
      </c>
      <c r="AL449" s="62" t="s">
        <v>2470</v>
      </c>
      <c r="AM449" s="62" t="s">
        <v>3117</v>
      </c>
      <c r="AN449" s="2">
        <v>0</v>
      </c>
      <c r="AO449" s="4" t="s">
        <v>2634</v>
      </c>
      <c r="AP449" s="74">
        <v>0</v>
      </c>
      <c r="AQ449" s="4">
        <v>0</v>
      </c>
      <c r="AR449" s="4">
        <v>1</v>
      </c>
      <c r="AS449" s="4" t="s">
        <v>2635</v>
      </c>
      <c r="AT449" s="72">
        <v>2</v>
      </c>
      <c r="AU449" s="2">
        <v>0</v>
      </c>
      <c r="AV449" s="4"/>
      <c r="AW449" s="4"/>
      <c r="AX449" s="4"/>
    </row>
    <row r="450" spans="1:50" ht="15" x14ac:dyDescent="0.2">
      <c r="A450" s="3">
        <v>200400</v>
      </c>
      <c r="B450" s="1" t="s">
        <v>471</v>
      </c>
      <c r="C450" s="3">
        <v>1</v>
      </c>
      <c r="D450" s="3" t="s">
        <v>465</v>
      </c>
      <c r="E450" s="3">
        <v>3</v>
      </c>
      <c r="F450" s="3" t="s">
        <v>472</v>
      </c>
      <c r="G450" s="7" t="s">
        <v>2472</v>
      </c>
      <c r="H450" s="3">
        <v>1001</v>
      </c>
      <c r="I450" s="3" t="s">
        <v>522</v>
      </c>
      <c r="J450" s="3">
        <v>38</v>
      </c>
      <c r="K450" s="3" t="s">
        <v>1522</v>
      </c>
      <c r="L450" s="3">
        <v>0</v>
      </c>
      <c r="M450" s="3" t="s">
        <v>1522</v>
      </c>
      <c r="N450" s="3" t="s">
        <v>522</v>
      </c>
      <c r="O450" s="10">
        <v>30551</v>
      </c>
      <c r="P450" s="10">
        <v>42647</v>
      </c>
      <c r="Q450" s="10"/>
      <c r="R450" s="10">
        <v>42647</v>
      </c>
      <c r="S450" s="23">
        <v>3687</v>
      </c>
      <c r="T450" s="3">
        <v>31915583</v>
      </c>
      <c r="U450" s="3">
        <v>28308230300046</v>
      </c>
      <c r="V450" s="4" t="s">
        <v>2474</v>
      </c>
      <c r="W450" s="4"/>
      <c r="X450" s="4" t="s">
        <v>2427</v>
      </c>
      <c r="Y450" s="4">
        <v>2000</v>
      </c>
      <c r="Z450" s="3">
        <f ca="1">DATEDIF(Table1[[#This Row],[تاريخ الميلاد]],TODAY(),"y")</f>
        <v>42</v>
      </c>
      <c r="AA45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42 عام 11  شهر  28  يوم </v>
      </c>
      <c r="AB45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9عام10  شهر  16  يوم </v>
      </c>
      <c r="AC450" s="10">
        <f>DATE(YEAR(Table1[[#This Row],[تاريخ الميلاد]])+60,MONTH(Table1[[#This Row],[تاريخ الميلاد]]),DAY(Table1[[#This Row],[تاريخ الميلاد]]))</f>
        <v>52466</v>
      </c>
      <c r="AD450" s="14">
        <f>DATE(YEAR(Table1[[#This Row],[معاش 01/01]])-1,MONTH(Table1[[#This Row],[تاريخ بلوغ 60 ]]),DAY(Table1[[#This Row],[تاريخ بلوغ 60 ]]))</f>
        <v>52466</v>
      </c>
      <c r="AE45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52832</v>
      </c>
      <c r="AF450" s="10" t="str">
        <f>IFERROR(IF(ISODD(MID(Table1[[#This Row],[الرقم القومي]],13,1)),"ذكر","انثي"),"")</f>
        <v>انثي</v>
      </c>
      <c r="AG450" s="70" t="s">
        <v>2606</v>
      </c>
      <c r="AH450" s="3">
        <f>IF(MONTH(Table1[[#This Row],[تاريخ بلوغ 60 ]])&lt;&gt;1,1,0)</f>
        <v>1</v>
      </c>
      <c r="AI450" s="3">
        <f>IF(DAY(Table1[[#This Row],[تاريخ بلوغ 60 ]])&lt;&gt;1,1,0)</f>
        <v>1</v>
      </c>
      <c r="AJ450" s="4" t="s">
        <v>465</v>
      </c>
      <c r="AK450" s="4" t="s">
        <v>2636</v>
      </c>
      <c r="AL450" s="62" t="s">
        <v>2473</v>
      </c>
      <c r="AM450" s="62" t="s">
        <v>3118</v>
      </c>
      <c r="AN450" s="2">
        <v>0</v>
      </c>
      <c r="AO450" s="4" t="s">
        <v>2634</v>
      </c>
      <c r="AP450" s="74">
        <v>0</v>
      </c>
      <c r="AQ450" s="4">
        <v>0</v>
      </c>
      <c r="AR450" s="4">
        <v>0</v>
      </c>
      <c r="AS450" s="4" t="s">
        <v>2645</v>
      </c>
      <c r="AT450" s="72">
        <v>0</v>
      </c>
      <c r="AU450" s="2">
        <v>0</v>
      </c>
      <c r="AV450" s="4"/>
      <c r="AW450" s="4"/>
      <c r="AX450" s="4"/>
    </row>
    <row r="451" spans="1:50" ht="15" x14ac:dyDescent="0.2">
      <c r="A451" s="3">
        <v>200405</v>
      </c>
      <c r="B451" s="1" t="s">
        <v>471</v>
      </c>
      <c r="C451" s="3">
        <v>1</v>
      </c>
      <c r="D451" s="3" t="s">
        <v>465</v>
      </c>
      <c r="E451" s="3">
        <v>21</v>
      </c>
      <c r="F451" s="3" t="s">
        <v>474</v>
      </c>
      <c r="G451" s="7" t="s">
        <v>372</v>
      </c>
      <c r="H451" s="3">
        <v>1011</v>
      </c>
      <c r="I451" s="3" t="s">
        <v>532</v>
      </c>
      <c r="J451" s="3">
        <v>38</v>
      </c>
      <c r="K451" s="3" t="s">
        <v>1522</v>
      </c>
      <c r="L451" s="3">
        <v>0</v>
      </c>
      <c r="M451" s="3" t="s">
        <v>1522</v>
      </c>
      <c r="N451" s="3" t="s">
        <v>532</v>
      </c>
      <c r="O451" s="10">
        <v>25999</v>
      </c>
      <c r="P451" s="10">
        <v>42647</v>
      </c>
      <c r="Q451" s="10"/>
      <c r="R451" s="10">
        <v>42647</v>
      </c>
      <c r="S451" s="23">
        <v>3687</v>
      </c>
      <c r="T451" s="3">
        <v>46484542</v>
      </c>
      <c r="U451" s="3">
        <v>27103071201215</v>
      </c>
      <c r="V451" s="4" t="s">
        <v>2476</v>
      </c>
      <c r="W451" s="4"/>
      <c r="X451" s="4" t="s">
        <v>2427</v>
      </c>
      <c r="Z451" s="3">
        <f ca="1">DATEDIF(Table1[[#This Row],[تاريخ الميلاد]],TODAY(),"y")</f>
        <v>55</v>
      </c>
      <c r="AA45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55 عام 5  شهر  13  يوم </v>
      </c>
      <c r="AB45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9عام10  شهر  16  يوم </v>
      </c>
      <c r="AC451" s="10">
        <f>DATE(YEAR(Table1[[#This Row],[تاريخ الميلاد]])+60,MONTH(Table1[[#This Row],[تاريخ الميلاد]]),DAY(Table1[[#This Row],[تاريخ الميلاد]]))</f>
        <v>47914</v>
      </c>
      <c r="AD451" s="14">
        <f>DATE(YEAR(Table1[[#This Row],[معاش 01/01]])-1,MONTH(Table1[[#This Row],[تاريخ بلوغ 60 ]]),DAY(Table1[[#This Row],[تاريخ بلوغ 60 ]]))</f>
        <v>47914</v>
      </c>
      <c r="AE45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48280</v>
      </c>
      <c r="AF451" s="10" t="str">
        <f>IFERROR(IF(ISODD(MID(Table1[[#This Row],[الرقم القومي]],13,1)),"ذكر","انثي"),"")</f>
        <v>ذكر</v>
      </c>
      <c r="AG451" s="70" t="s">
        <v>1635</v>
      </c>
      <c r="AH451" s="3">
        <f>IF(MONTH(Table1[[#This Row],[تاريخ بلوغ 60 ]])&lt;&gt;1,1,0)</f>
        <v>1</v>
      </c>
      <c r="AI451" s="3">
        <f>IF(DAY(Table1[[#This Row],[تاريخ بلوغ 60 ]])&lt;&gt;1,1,0)</f>
        <v>1</v>
      </c>
      <c r="AJ451" s="4" t="s">
        <v>465</v>
      </c>
      <c r="AK451" s="4" t="s">
        <v>2689</v>
      </c>
      <c r="AL451" s="62" t="s">
        <v>2475</v>
      </c>
      <c r="AM451" s="62" t="s">
        <v>3119</v>
      </c>
      <c r="AN451" s="2">
        <v>0</v>
      </c>
      <c r="AO451" s="4" t="s">
        <v>2634</v>
      </c>
      <c r="AP451" s="74">
        <v>0</v>
      </c>
      <c r="AQ451" s="4">
        <v>0</v>
      </c>
      <c r="AR451" s="4">
        <v>1</v>
      </c>
      <c r="AS451" s="4" t="s">
        <v>2635</v>
      </c>
      <c r="AT451" s="72">
        <v>2</v>
      </c>
      <c r="AU451" s="2">
        <v>0</v>
      </c>
      <c r="AV451" s="4"/>
      <c r="AW451" s="4"/>
      <c r="AX451" s="4"/>
    </row>
    <row r="452" spans="1:50" ht="15" x14ac:dyDescent="0.2">
      <c r="A452" s="3">
        <v>200406</v>
      </c>
      <c r="B452" s="1" t="s">
        <v>471</v>
      </c>
      <c r="C452" s="3">
        <v>1</v>
      </c>
      <c r="D452" s="3" t="s">
        <v>465</v>
      </c>
      <c r="E452" s="3">
        <v>21</v>
      </c>
      <c r="F452" s="3" t="s">
        <v>474</v>
      </c>
      <c r="G452" s="7" t="s">
        <v>373</v>
      </c>
      <c r="H452" s="3">
        <v>1011</v>
      </c>
      <c r="I452" s="3" t="s">
        <v>532</v>
      </c>
      <c r="J452" s="3">
        <v>38</v>
      </c>
      <c r="K452" s="3" t="s">
        <v>1522</v>
      </c>
      <c r="L452" s="3">
        <v>0</v>
      </c>
      <c r="M452" s="3" t="s">
        <v>1522</v>
      </c>
      <c r="N452" s="3" t="s">
        <v>532</v>
      </c>
      <c r="O452" s="10">
        <v>30193</v>
      </c>
      <c r="P452" s="10">
        <v>42647</v>
      </c>
      <c r="Q452" s="10"/>
      <c r="R452" s="10">
        <v>42647</v>
      </c>
      <c r="S452" s="23">
        <v>3687</v>
      </c>
      <c r="T452" s="3">
        <v>12258958</v>
      </c>
      <c r="U452" s="3">
        <v>28208300300257</v>
      </c>
      <c r="V452" s="4" t="s">
        <v>2478</v>
      </c>
      <c r="W452" s="4"/>
      <c r="X452" s="4" t="s">
        <v>2427</v>
      </c>
      <c r="Z452" s="3">
        <f ca="1">DATEDIF(Table1[[#This Row],[تاريخ الميلاد]],TODAY(),"y")</f>
        <v>43</v>
      </c>
      <c r="AA45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43 عام 11  شهر  21  يوم </v>
      </c>
      <c r="AB45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9عام10  شهر  16  يوم </v>
      </c>
      <c r="AC452" s="10">
        <f>DATE(YEAR(Table1[[#This Row],[تاريخ الميلاد]])+60,MONTH(Table1[[#This Row],[تاريخ الميلاد]]),DAY(Table1[[#This Row],[تاريخ الميلاد]]))</f>
        <v>52108</v>
      </c>
      <c r="AD452" s="14">
        <f>DATE(YEAR(Table1[[#This Row],[معاش 01/01]])-1,MONTH(Table1[[#This Row],[تاريخ بلوغ 60 ]]),DAY(Table1[[#This Row],[تاريخ بلوغ 60 ]]))</f>
        <v>52108</v>
      </c>
      <c r="AE45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52473</v>
      </c>
      <c r="AF452" s="10" t="str">
        <f>IFERROR(IF(ISODD(MID(Table1[[#This Row],[الرقم القومي]],13,1)),"ذكر","انثي"),"")</f>
        <v>ذكر</v>
      </c>
      <c r="AG452" s="70" t="s">
        <v>2606</v>
      </c>
      <c r="AH452" s="3">
        <f>IF(MONTH(Table1[[#This Row],[تاريخ بلوغ 60 ]])&lt;&gt;1,1,0)</f>
        <v>1</v>
      </c>
      <c r="AI452" s="3">
        <f>IF(DAY(Table1[[#This Row],[تاريخ بلوغ 60 ]])&lt;&gt;1,1,0)</f>
        <v>1</v>
      </c>
      <c r="AJ452" s="4" t="s">
        <v>465</v>
      </c>
      <c r="AK452" s="4" t="s">
        <v>2689</v>
      </c>
      <c r="AL452" s="62" t="s">
        <v>2477</v>
      </c>
      <c r="AM452" s="62" t="s">
        <v>3120</v>
      </c>
      <c r="AN452" s="2">
        <v>0</v>
      </c>
      <c r="AO452" s="4" t="s">
        <v>2634</v>
      </c>
      <c r="AP452" s="74">
        <v>0</v>
      </c>
      <c r="AQ452" s="4">
        <v>0</v>
      </c>
      <c r="AR452" s="4">
        <v>1</v>
      </c>
      <c r="AS452" s="4" t="s">
        <v>2635</v>
      </c>
      <c r="AT452" s="72">
        <v>2</v>
      </c>
      <c r="AU452" s="2">
        <v>0</v>
      </c>
      <c r="AV452" s="4"/>
      <c r="AW452" s="4"/>
      <c r="AX452" s="4"/>
    </row>
    <row r="453" spans="1:50" ht="15" x14ac:dyDescent="0.2">
      <c r="A453" s="3">
        <v>200487</v>
      </c>
      <c r="B453" s="1" t="s">
        <v>471</v>
      </c>
      <c r="C453" s="3">
        <v>1</v>
      </c>
      <c r="D453" s="3" t="s">
        <v>465</v>
      </c>
      <c r="E453" s="3">
        <v>21</v>
      </c>
      <c r="F453" s="3" t="s">
        <v>474</v>
      </c>
      <c r="G453" s="7" t="s">
        <v>374</v>
      </c>
      <c r="H453" s="3">
        <v>1011</v>
      </c>
      <c r="I453" s="3" t="s">
        <v>532</v>
      </c>
      <c r="J453" s="3">
        <v>38</v>
      </c>
      <c r="K453" s="3" t="s">
        <v>1522</v>
      </c>
      <c r="L453" s="3">
        <v>0</v>
      </c>
      <c r="M453" s="3" t="s">
        <v>1522</v>
      </c>
      <c r="N453" s="3" t="s">
        <v>532</v>
      </c>
      <c r="O453" s="10">
        <v>26979</v>
      </c>
      <c r="P453" s="10">
        <v>42663</v>
      </c>
      <c r="Q453" s="10"/>
      <c r="R453" s="10">
        <v>42663</v>
      </c>
      <c r="S453" s="23">
        <v>3687</v>
      </c>
      <c r="T453" s="3">
        <v>4690507</v>
      </c>
      <c r="U453" s="3">
        <v>27311111100494</v>
      </c>
      <c r="V453" s="4" t="s">
        <v>2480</v>
      </c>
      <c r="W453" s="4"/>
      <c r="X453" s="4" t="s">
        <v>2427</v>
      </c>
      <c r="Z453" s="3">
        <f ca="1">DATEDIF(Table1[[#This Row],[تاريخ الميلاد]],TODAY(),"y")</f>
        <v>52</v>
      </c>
      <c r="AA45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52 عام 9  شهر  9  يوم </v>
      </c>
      <c r="AB45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9عام10  شهر  0  يوم </v>
      </c>
      <c r="AC453" s="10">
        <f>DATE(YEAR(Table1[[#This Row],[تاريخ الميلاد]])+60,MONTH(Table1[[#This Row],[تاريخ الميلاد]]),DAY(Table1[[#This Row],[تاريخ الميلاد]]))</f>
        <v>48894</v>
      </c>
      <c r="AD453" s="14">
        <f>DATE(YEAR(Table1[[#This Row],[معاش 01/01]])-1,MONTH(Table1[[#This Row],[تاريخ بلوغ 60 ]]),DAY(Table1[[#This Row],[تاريخ بلوغ 60 ]]))</f>
        <v>48894</v>
      </c>
      <c r="AE45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49259</v>
      </c>
      <c r="AF453" s="10" t="str">
        <f>IFERROR(IF(ISODD(MID(Table1[[#This Row],[الرقم القومي]],13,1)),"ذكر","انثي"),"")</f>
        <v>ذكر</v>
      </c>
      <c r="AG453" s="70" t="s">
        <v>2609</v>
      </c>
      <c r="AH453" s="3">
        <f>IF(MONTH(Table1[[#This Row],[تاريخ بلوغ 60 ]])&lt;&gt;1,1,0)</f>
        <v>1</v>
      </c>
      <c r="AI453" s="3">
        <f>IF(DAY(Table1[[#This Row],[تاريخ بلوغ 60 ]])&lt;&gt;1,1,0)</f>
        <v>1</v>
      </c>
      <c r="AJ453" s="4" t="s">
        <v>465</v>
      </c>
      <c r="AK453" s="4" t="s">
        <v>2636</v>
      </c>
      <c r="AL453" s="62" t="s">
        <v>2479</v>
      </c>
      <c r="AM453" s="62" t="s">
        <v>3121</v>
      </c>
      <c r="AN453" s="2">
        <v>0</v>
      </c>
      <c r="AO453" s="4" t="s">
        <v>2634</v>
      </c>
      <c r="AP453" s="74">
        <v>0</v>
      </c>
      <c r="AQ453" s="4">
        <v>0</v>
      </c>
      <c r="AR453" s="4">
        <v>1</v>
      </c>
      <c r="AS453" s="4" t="s">
        <v>2635</v>
      </c>
      <c r="AT453" s="72">
        <v>2</v>
      </c>
      <c r="AU453" s="2">
        <v>0</v>
      </c>
      <c r="AV453" s="4"/>
      <c r="AW453" s="4"/>
      <c r="AX453" s="4"/>
    </row>
    <row r="454" spans="1:50" ht="15" x14ac:dyDescent="0.2">
      <c r="A454" s="3">
        <v>200501</v>
      </c>
      <c r="B454" s="1" t="s">
        <v>471</v>
      </c>
      <c r="C454" s="3">
        <v>1</v>
      </c>
      <c r="D454" s="3" t="s">
        <v>465</v>
      </c>
      <c r="E454" s="3">
        <v>3</v>
      </c>
      <c r="F454" s="3" t="s">
        <v>472</v>
      </c>
      <c r="G454" s="7" t="s">
        <v>375</v>
      </c>
      <c r="H454" s="3">
        <v>1007</v>
      </c>
      <c r="I454" s="3" t="s">
        <v>528</v>
      </c>
      <c r="J454" s="3">
        <v>38</v>
      </c>
      <c r="K454" s="3" t="s">
        <v>1522</v>
      </c>
      <c r="L454" s="3">
        <v>0</v>
      </c>
      <c r="M454" s="3" t="s">
        <v>1522</v>
      </c>
      <c r="N454" s="3" t="s">
        <v>528</v>
      </c>
      <c r="O454" s="10">
        <v>32645</v>
      </c>
      <c r="P454" s="10">
        <v>42729</v>
      </c>
      <c r="Q454" s="10"/>
      <c r="R454" s="10">
        <v>42729</v>
      </c>
      <c r="S454" s="23">
        <v>3687</v>
      </c>
      <c r="T454" s="3">
        <v>29352697</v>
      </c>
      <c r="U454" s="3">
        <v>28905170300261</v>
      </c>
      <c r="V454" s="4" t="s">
        <v>2482</v>
      </c>
      <c r="W454" s="4"/>
      <c r="X454" s="4" t="s">
        <v>2427</v>
      </c>
      <c r="Y454" s="4">
        <v>2006</v>
      </c>
      <c r="Z454" s="3">
        <f ca="1">DATEDIF(Table1[[#This Row],[تاريخ الميلاد]],TODAY(),"y")</f>
        <v>37</v>
      </c>
      <c r="AA45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3  شهر  3  يوم </v>
      </c>
      <c r="AB45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9عام7  شهر  26  يوم </v>
      </c>
      <c r="AC454" s="10">
        <f>DATE(YEAR(Table1[[#This Row],[تاريخ الميلاد]])+60,MONTH(Table1[[#This Row],[تاريخ الميلاد]]),DAY(Table1[[#This Row],[تاريخ الميلاد]]))</f>
        <v>54560</v>
      </c>
      <c r="AD454" s="14">
        <f>DATE(YEAR(Table1[[#This Row],[معاش 01/01]])-1,MONTH(Table1[[#This Row],[تاريخ بلوغ 60 ]]),DAY(Table1[[#This Row],[تاريخ بلوغ 60 ]]))</f>
        <v>54560</v>
      </c>
      <c r="AE45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54925</v>
      </c>
      <c r="AF454" s="10" t="str">
        <f>IFERROR(IF(ISODD(MID(Table1[[#This Row],[الرقم القومي]],13,1)),"ذكر","انثي"),"")</f>
        <v>انثي</v>
      </c>
      <c r="AG454" s="70" t="s">
        <v>2606</v>
      </c>
      <c r="AH454" s="3">
        <f>IF(MONTH(Table1[[#This Row],[تاريخ بلوغ 60 ]])&lt;&gt;1,1,0)</f>
        <v>1</v>
      </c>
      <c r="AI454" s="3">
        <f>IF(DAY(Table1[[#This Row],[تاريخ بلوغ 60 ]])&lt;&gt;1,1,0)</f>
        <v>1</v>
      </c>
      <c r="AJ454" s="4" t="s">
        <v>465</v>
      </c>
      <c r="AK454" s="4">
        <v>0</v>
      </c>
      <c r="AL454" s="62" t="s">
        <v>2481</v>
      </c>
      <c r="AM454" s="62" t="s">
        <v>3122</v>
      </c>
      <c r="AN454" s="2">
        <v>0</v>
      </c>
      <c r="AO454" s="4" t="s">
        <v>2634</v>
      </c>
      <c r="AP454" s="74">
        <v>0</v>
      </c>
      <c r="AQ454" s="4">
        <v>0</v>
      </c>
      <c r="AR454" s="4">
        <v>1</v>
      </c>
      <c r="AS454" s="4" t="s">
        <v>2635</v>
      </c>
      <c r="AT454" s="72">
        <v>2</v>
      </c>
      <c r="AU454" s="2">
        <v>0</v>
      </c>
      <c r="AV454" s="4"/>
      <c r="AW454" s="4"/>
      <c r="AX454" s="4"/>
    </row>
    <row r="455" spans="1:50" ht="15" x14ac:dyDescent="0.2">
      <c r="A455" s="3">
        <v>200502</v>
      </c>
      <c r="B455" s="1" t="s">
        <v>471</v>
      </c>
      <c r="C455" s="3">
        <v>1</v>
      </c>
      <c r="D455" s="3" t="s">
        <v>465</v>
      </c>
      <c r="E455" s="3">
        <v>3</v>
      </c>
      <c r="F455" s="3" t="s">
        <v>472</v>
      </c>
      <c r="G455" s="7" t="s">
        <v>2483</v>
      </c>
      <c r="H455" s="3">
        <v>1007</v>
      </c>
      <c r="I455" s="3" t="s">
        <v>528</v>
      </c>
      <c r="J455" s="3">
        <v>38</v>
      </c>
      <c r="K455" s="3" t="s">
        <v>1522</v>
      </c>
      <c r="L455" s="3">
        <v>0</v>
      </c>
      <c r="M455" s="3" t="s">
        <v>1522</v>
      </c>
      <c r="N455" s="3" t="s">
        <v>528</v>
      </c>
      <c r="O455" s="10">
        <v>31207</v>
      </c>
      <c r="P455" s="10">
        <v>42729</v>
      </c>
      <c r="Q455" s="10"/>
      <c r="R455" s="10">
        <v>42729</v>
      </c>
      <c r="S455" s="23">
        <v>3687</v>
      </c>
      <c r="T455" s="3">
        <v>52966247</v>
      </c>
      <c r="U455" s="3">
        <v>28506090300241</v>
      </c>
      <c r="V455" s="4" t="s">
        <v>2485</v>
      </c>
      <c r="W455" s="4"/>
      <c r="X455" s="4" t="s">
        <v>2427</v>
      </c>
      <c r="Y455" s="4">
        <v>2002</v>
      </c>
      <c r="Z455" s="3">
        <f ca="1">DATEDIF(Table1[[#This Row],[تاريخ الميلاد]],TODAY(),"y")</f>
        <v>41</v>
      </c>
      <c r="AA45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41 عام 2  شهر  11  يوم </v>
      </c>
      <c r="AB45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9عام7  شهر  26  يوم </v>
      </c>
      <c r="AC455" s="10">
        <f>DATE(YEAR(Table1[[#This Row],[تاريخ الميلاد]])+60,MONTH(Table1[[#This Row],[تاريخ الميلاد]]),DAY(Table1[[#This Row],[تاريخ الميلاد]]))</f>
        <v>53122</v>
      </c>
      <c r="AD455" s="14">
        <f>DATE(YEAR(Table1[[#This Row],[معاش 01/01]])-1,MONTH(Table1[[#This Row],[تاريخ بلوغ 60 ]]),DAY(Table1[[#This Row],[تاريخ بلوغ 60 ]]))</f>
        <v>53122</v>
      </c>
      <c r="AE45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53487</v>
      </c>
      <c r="AF455" s="10" t="str">
        <f>IFERROR(IF(ISODD(MID(Table1[[#This Row],[الرقم القومي]],13,1)),"ذكر","انثي"),"")</f>
        <v>انثي</v>
      </c>
      <c r="AG455" s="70" t="s">
        <v>2606</v>
      </c>
      <c r="AH455" s="3">
        <f>IF(MONTH(Table1[[#This Row],[تاريخ بلوغ 60 ]])&lt;&gt;1,1,0)</f>
        <v>1</v>
      </c>
      <c r="AI455" s="3">
        <f>IF(DAY(Table1[[#This Row],[تاريخ بلوغ 60 ]])&lt;&gt;1,1,0)</f>
        <v>1</v>
      </c>
      <c r="AJ455" s="4" t="s">
        <v>465</v>
      </c>
      <c r="AK455" s="4">
        <v>0</v>
      </c>
      <c r="AL455" s="62" t="s">
        <v>2484</v>
      </c>
      <c r="AM455" s="62" t="s">
        <v>3123</v>
      </c>
      <c r="AN455" s="2">
        <v>0</v>
      </c>
      <c r="AO455" s="4" t="s">
        <v>2634</v>
      </c>
      <c r="AP455" s="74">
        <v>0</v>
      </c>
      <c r="AQ455" s="4">
        <v>0</v>
      </c>
      <c r="AR455" s="4">
        <v>4</v>
      </c>
      <c r="AS455" s="4" t="s">
        <v>2930</v>
      </c>
      <c r="AT455" s="72">
        <v>0</v>
      </c>
      <c r="AU455" s="2">
        <v>0</v>
      </c>
      <c r="AV455" s="4"/>
      <c r="AW455" s="4"/>
      <c r="AX455" s="4"/>
    </row>
    <row r="456" spans="1:50" ht="15" x14ac:dyDescent="0.2">
      <c r="A456" s="3">
        <v>200508</v>
      </c>
      <c r="B456" s="1" t="s">
        <v>471</v>
      </c>
      <c r="C456" s="3">
        <v>1</v>
      </c>
      <c r="D456" s="3" t="s">
        <v>465</v>
      </c>
      <c r="E456" s="3">
        <v>3</v>
      </c>
      <c r="F456" s="3" t="s">
        <v>472</v>
      </c>
      <c r="G456" s="7" t="s">
        <v>2486</v>
      </c>
      <c r="H456" s="3">
        <v>1001</v>
      </c>
      <c r="I456" s="3" t="s">
        <v>522</v>
      </c>
      <c r="J456" s="3">
        <v>38</v>
      </c>
      <c r="K456" s="3" t="s">
        <v>1522</v>
      </c>
      <c r="L456" s="3">
        <v>0</v>
      </c>
      <c r="M456" s="3" t="s">
        <v>1522</v>
      </c>
      <c r="N456" s="3" t="s">
        <v>522</v>
      </c>
      <c r="O456" s="10">
        <v>32381</v>
      </c>
      <c r="P456" s="10">
        <v>42729</v>
      </c>
      <c r="Q456" s="10"/>
      <c r="R456" s="10">
        <v>42729</v>
      </c>
      <c r="S456" s="23">
        <v>3687</v>
      </c>
      <c r="T456" s="3">
        <v>14644370</v>
      </c>
      <c r="U456" s="3">
        <v>28808260300388</v>
      </c>
      <c r="V456" s="4" t="s">
        <v>2488</v>
      </c>
      <c r="W456" s="4"/>
      <c r="X456" s="4" t="s">
        <v>2427</v>
      </c>
      <c r="Y456" s="4">
        <v>2005</v>
      </c>
      <c r="Z456" s="3">
        <f ca="1">DATEDIF(Table1[[#This Row],[تاريخ الميلاد]],TODAY(),"y")</f>
        <v>37</v>
      </c>
      <c r="AA45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11  شهر  25  يوم </v>
      </c>
      <c r="AB45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9عام7  شهر  26  يوم </v>
      </c>
      <c r="AC456" s="10">
        <f>DATE(YEAR(Table1[[#This Row],[تاريخ الميلاد]])+60,MONTH(Table1[[#This Row],[تاريخ الميلاد]]),DAY(Table1[[#This Row],[تاريخ الميلاد]]))</f>
        <v>54296</v>
      </c>
      <c r="AD456" s="14">
        <f>DATE(YEAR(Table1[[#This Row],[معاش 01/01]])-1,MONTH(Table1[[#This Row],[تاريخ بلوغ 60 ]]),DAY(Table1[[#This Row],[تاريخ بلوغ 60 ]]))</f>
        <v>54296</v>
      </c>
      <c r="AE45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54661</v>
      </c>
      <c r="AF456" s="10" t="str">
        <f>IFERROR(IF(ISODD(MID(Table1[[#This Row],[الرقم القومي]],13,1)),"ذكر","انثي"),"")</f>
        <v>انثي</v>
      </c>
      <c r="AG456" s="70" t="s">
        <v>2606</v>
      </c>
      <c r="AH456" s="3">
        <f>IF(MONTH(Table1[[#This Row],[تاريخ بلوغ 60 ]])&lt;&gt;1,1,0)</f>
        <v>1</v>
      </c>
      <c r="AI456" s="3">
        <f>IF(DAY(Table1[[#This Row],[تاريخ بلوغ 60 ]])&lt;&gt;1,1,0)</f>
        <v>1</v>
      </c>
      <c r="AJ456" s="4" t="s">
        <v>465</v>
      </c>
      <c r="AK456" s="4" t="s">
        <v>2636</v>
      </c>
      <c r="AL456" s="62" t="s">
        <v>2487</v>
      </c>
      <c r="AM456" s="62" t="s">
        <v>3124</v>
      </c>
      <c r="AN456" s="2">
        <v>0</v>
      </c>
      <c r="AO456" s="4" t="s">
        <v>2634</v>
      </c>
      <c r="AP456" s="74">
        <v>0</v>
      </c>
      <c r="AQ456" s="4">
        <v>0</v>
      </c>
      <c r="AR456" s="4">
        <v>7</v>
      </c>
      <c r="AS456" s="4" t="s">
        <v>2642</v>
      </c>
      <c r="AT456" s="72">
        <v>0</v>
      </c>
      <c r="AU456" s="2">
        <v>0</v>
      </c>
      <c r="AV456" s="4"/>
      <c r="AW456" s="4"/>
      <c r="AX456" s="4"/>
    </row>
    <row r="457" spans="1:50" ht="15" x14ac:dyDescent="0.2">
      <c r="A457" s="3">
        <v>200512</v>
      </c>
      <c r="B457" s="1" t="s">
        <v>471</v>
      </c>
      <c r="C457" s="3">
        <v>1</v>
      </c>
      <c r="D457" s="3" t="s">
        <v>465</v>
      </c>
      <c r="E457" s="3">
        <v>3</v>
      </c>
      <c r="F457" s="3" t="s">
        <v>472</v>
      </c>
      <c r="G457" s="7" t="s">
        <v>376</v>
      </c>
      <c r="H457" s="3">
        <v>1010</v>
      </c>
      <c r="I457" s="3" t="s">
        <v>531</v>
      </c>
      <c r="J457" s="3">
        <v>38</v>
      </c>
      <c r="K457" s="3" t="s">
        <v>1522</v>
      </c>
      <c r="L457" s="3">
        <v>0</v>
      </c>
      <c r="M457" s="3" t="s">
        <v>1522</v>
      </c>
      <c r="N457" s="3" t="s">
        <v>531</v>
      </c>
      <c r="O457" s="10">
        <v>32139</v>
      </c>
      <c r="P457" s="10">
        <v>42729</v>
      </c>
      <c r="Q457" s="10"/>
      <c r="R457" s="10">
        <v>42729</v>
      </c>
      <c r="S457" s="23">
        <v>3397.26</v>
      </c>
      <c r="T457" s="3">
        <v>65642989</v>
      </c>
      <c r="U457" s="3">
        <v>28712280300387</v>
      </c>
      <c r="V457" s="4" t="s">
        <v>2490</v>
      </c>
      <c r="W457" s="4"/>
      <c r="X457" s="4" t="s">
        <v>2450</v>
      </c>
      <c r="Y457" s="4">
        <v>2004</v>
      </c>
      <c r="Z457" s="3">
        <f ca="1">DATEDIF(Table1[[#This Row],[تاريخ الميلاد]],TODAY(),"y")</f>
        <v>38</v>
      </c>
      <c r="AA45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7  شهر  23  يوم </v>
      </c>
      <c r="AB45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9عام7  شهر  26  يوم </v>
      </c>
      <c r="AC457" s="10">
        <f>DATE(YEAR(Table1[[#This Row],[تاريخ الميلاد]])+60,MONTH(Table1[[#This Row],[تاريخ الميلاد]]),DAY(Table1[[#This Row],[تاريخ الميلاد]]))</f>
        <v>54054</v>
      </c>
      <c r="AD457" s="14">
        <f>DATE(YEAR(Table1[[#This Row],[معاش 01/01]])-1,MONTH(Table1[[#This Row],[تاريخ بلوغ 60 ]]),DAY(Table1[[#This Row],[تاريخ بلوغ 60 ]]))</f>
        <v>54054</v>
      </c>
      <c r="AE45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54420</v>
      </c>
      <c r="AF457" s="10" t="str">
        <f>IFERROR(IF(ISODD(MID(Table1[[#This Row],[الرقم القومي]],13,1)),"ذكر","انثي"),"")</f>
        <v>انثي</v>
      </c>
      <c r="AG457" s="70" t="s">
        <v>2606</v>
      </c>
      <c r="AH457" s="3">
        <f>IF(MONTH(Table1[[#This Row],[تاريخ بلوغ 60 ]])&lt;&gt;1,1,0)</f>
        <v>1</v>
      </c>
      <c r="AI457" s="3">
        <f>IF(DAY(Table1[[#This Row],[تاريخ بلوغ 60 ]])&lt;&gt;1,1,0)</f>
        <v>1</v>
      </c>
      <c r="AJ457" s="4" t="s">
        <v>465</v>
      </c>
      <c r="AK457" s="4">
        <v>0</v>
      </c>
      <c r="AL457" s="62" t="s">
        <v>2489</v>
      </c>
      <c r="AM457" s="62" t="s">
        <v>3125</v>
      </c>
      <c r="AN457" s="2">
        <v>0</v>
      </c>
      <c r="AO457" s="4" t="s">
        <v>2634</v>
      </c>
      <c r="AP457" s="74">
        <v>0</v>
      </c>
      <c r="AQ457" s="4">
        <v>0</v>
      </c>
      <c r="AR457" s="4">
        <v>1</v>
      </c>
      <c r="AS457" s="4" t="s">
        <v>2635</v>
      </c>
      <c r="AT457" s="72">
        <v>2</v>
      </c>
      <c r="AU457" s="2">
        <v>0</v>
      </c>
      <c r="AV457" s="4"/>
      <c r="AW457" s="4"/>
      <c r="AX457" s="4"/>
    </row>
    <row r="458" spans="1:50" ht="15" x14ac:dyDescent="0.2">
      <c r="A458" s="3">
        <v>200515</v>
      </c>
      <c r="B458" s="1" t="s">
        <v>471</v>
      </c>
      <c r="C458" s="3">
        <v>1</v>
      </c>
      <c r="D458" s="3" t="s">
        <v>465</v>
      </c>
      <c r="E458" s="3">
        <v>3</v>
      </c>
      <c r="F458" s="3" t="s">
        <v>472</v>
      </c>
      <c r="G458" s="7" t="s">
        <v>377</v>
      </c>
      <c r="H458" s="3">
        <v>1007</v>
      </c>
      <c r="I458" s="3" t="s">
        <v>528</v>
      </c>
      <c r="J458" s="3">
        <v>38</v>
      </c>
      <c r="K458" s="3" t="s">
        <v>1522</v>
      </c>
      <c r="L458" s="3">
        <v>0</v>
      </c>
      <c r="M458" s="3" t="s">
        <v>1522</v>
      </c>
      <c r="N458" s="3" t="s">
        <v>528</v>
      </c>
      <c r="O458" s="10">
        <v>28667</v>
      </c>
      <c r="P458" s="10">
        <v>42729</v>
      </c>
      <c r="Q458" s="10"/>
      <c r="R458" s="10">
        <v>42729</v>
      </c>
      <c r="S458" s="23">
        <v>3687</v>
      </c>
      <c r="T458" s="3">
        <v>5530780</v>
      </c>
      <c r="U458" s="3">
        <v>27806260300161</v>
      </c>
      <c r="V458" s="4" t="s">
        <v>2492</v>
      </c>
      <c r="W458" s="4"/>
      <c r="X458" s="4" t="s">
        <v>2427</v>
      </c>
      <c r="Y458" s="4">
        <v>1995</v>
      </c>
      <c r="Z458" s="3">
        <f ca="1">DATEDIF(Table1[[#This Row],[تاريخ الميلاد]],TODAY(),"y")</f>
        <v>48</v>
      </c>
      <c r="AA45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48 عام 1  شهر  25  يوم </v>
      </c>
      <c r="AB45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9عام7  شهر  26  يوم </v>
      </c>
      <c r="AC458" s="10">
        <f>DATE(YEAR(Table1[[#This Row],[تاريخ الميلاد]])+60,MONTH(Table1[[#This Row],[تاريخ الميلاد]]),DAY(Table1[[#This Row],[تاريخ الميلاد]]))</f>
        <v>50582</v>
      </c>
      <c r="AD458" s="14">
        <f>DATE(YEAR(Table1[[#This Row],[معاش 01/01]])-1,MONTH(Table1[[#This Row],[تاريخ بلوغ 60 ]]),DAY(Table1[[#This Row],[تاريخ بلوغ 60 ]]))</f>
        <v>50582</v>
      </c>
      <c r="AE45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50947</v>
      </c>
      <c r="AF458" s="10" t="str">
        <f>IFERROR(IF(ISODD(MID(Table1[[#This Row],[الرقم القومي]],13,1)),"ذكر","انثي"),"")</f>
        <v>انثي</v>
      </c>
      <c r="AG458" s="70" t="s">
        <v>2606</v>
      </c>
      <c r="AH458" s="3">
        <f>IF(MONTH(Table1[[#This Row],[تاريخ بلوغ 60 ]])&lt;&gt;1,1,0)</f>
        <v>1</v>
      </c>
      <c r="AI458" s="3">
        <f>IF(DAY(Table1[[#This Row],[تاريخ بلوغ 60 ]])&lt;&gt;1,1,0)</f>
        <v>1</v>
      </c>
      <c r="AJ458" s="4" t="s">
        <v>465</v>
      </c>
      <c r="AK458" s="4" t="s">
        <v>2636</v>
      </c>
      <c r="AL458" s="62" t="s">
        <v>2491</v>
      </c>
      <c r="AM458" s="62" t="s">
        <v>3126</v>
      </c>
      <c r="AN458" s="2">
        <v>0</v>
      </c>
      <c r="AO458" s="4" t="s">
        <v>2634</v>
      </c>
      <c r="AP458" s="74">
        <v>0</v>
      </c>
      <c r="AQ458" s="4">
        <v>0</v>
      </c>
      <c r="AR458" s="4">
        <v>7</v>
      </c>
      <c r="AS458" s="4" t="s">
        <v>2642</v>
      </c>
      <c r="AT458" s="72">
        <v>0</v>
      </c>
      <c r="AU458" s="2">
        <v>0</v>
      </c>
      <c r="AV458" s="4"/>
      <c r="AW458" s="4"/>
      <c r="AX458" s="4"/>
    </row>
    <row r="459" spans="1:50" ht="15" x14ac:dyDescent="0.2">
      <c r="A459" s="3">
        <v>200516</v>
      </c>
      <c r="B459" s="1" t="s">
        <v>471</v>
      </c>
      <c r="C459" s="3">
        <v>1</v>
      </c>
      <c r="D459" s="3" t="s">
        <v>465</v>
      </c>
      <c r="E459" s="3">
        <v>3</v>
      </c>
      <c r="F459" s="3" t="s">
        <v>472</v>
      </c>
      <c r="G459" s="7" t="s">
        <v>378</v>
      </c>
      <c r="H459" s="3">
        <v>1007</v>
      </c>
      <c r="I459" s="3" t="s">
        <v>528</v>
      </c>
      <c r="J459" s="3">
        <v>38</v>
      </c>
      <c r="K459" s="3" t="s">
        <v>1522</v>
      </c>
      <c r="L459" s="3">
        <v>0</v>
      </c>
      <c r="M459" s="3" t="s">
        <v>1522</v>
      </c>
      <c r="N459" s="3" t="s">
        <v>528</v>
      </c>
      <c r="O459" s="10">
        <v>25702</v>
      </c>
      <c r="P459" s="10">
        <v>42729</v>
      </c>
      <c r="Q459" s="10"/>
      <c r="R459" s="10">
        <v>42729</v>
      </c>
      <c r="S459" s="23">
        <v>3687</v>
      </c>
      <c r="T459" s="3">
        <v>33016348</v>
      </c>
      <c r="U459" s="3">
        <v>27005141200627</v>
      </c>
      <c r="V459" s="4" t="s">
        <v>2494</v>
      </c>
      <c r="W459" s="4"/>
      <c r="X459" s="4" t="s">
        <v>2427</v>
      </c>
      <c r="Y459" s="4">
        <v>1988</v>
      </c>
      <c r="Z459" s="3">
        <f ca="1">DATEDIF(Table1[[#This Row],[تاريخ الميلاد]],TODAY(),"y")</f>
        <v>56</v>
      </c>
      <c r="AA45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56 عام 3  شهر  6  يوم </v>
      </c>
      <c r="AB45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9عام7  شهر  26  يوم </v>
      </c>
      <c r="AC459" s="10">
        <f>DATE(YEAR(Table1[[#This Row],[تاريخ الميلاد]])+60,MONTH(Table1[[#This Row],[تاريخ الميلاد]]),DAY(Table1[[#This Row],[تاريخ الميلاد]]))</f>
        <v>47617</v>
      </c>
      <c r="AD459" s="14">
        <f>DATE(YEAR(Table1[[#This Row],[معاش 01/01]])-1,MONTH(Table1[[#This Row],[تاريخ بلوغ 60 ]]),DAY(Table1[[#This Row],[تاريخ بلوغ 60 ]]))</f>
        <v>47617</v>
      </c>
      <c r="AE45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47982</v>
      </c>
      <c r="AF459" s="10" t="str">
        <f>IFERROR(IF(ISODD(MID(Table1[[#This Row],[الرقم القومي]],13,1)),"ذكر","انثي"),"")</f>
        <v>انثي</v>
      </c>
      <c r="AG459" s="70" t="s">
        <v>1635</v>
      </c>
      <c r="AH459" s="3">
        <f>IF(MONTH(Table1[[#This Row],[تاريخ بلوغ 60 ]])&lt;&gt;1,1,0)</f>
        <v>1</v>
      </c>
      <c r="AI459" s="3">
        <f>IF(DAY(Table1[[#This Row],[تاريخ بلوغ 60 ]])&lt;&gt;1,1,0)</f>
        <v>1</v>
      </c>
      <c r="AJ459" s="4" t="s">
        <v>465</v>
      </c>
      <c r="AK459" s="4">
        <v>0</v>
      </c>
      <c r="AL459" s="62" t="s">
        <v>2493</v>
      </c>
      <c r="AM459" s="62" t="s">
        <v>3127</v>
      </c>
      <c r="AN459" s="2">
        <v>0</v>
      </c>
      <c r="AO459" s="4" t="s">
        <v>2634</v>
      </c>
      <c r="AP459" s="74">
        <v>0</v>
      </c>
      <c r="AQ459" s="4">
        <v>0</v>
      </c>
      <c r="AR459" s="4">
        <v>1</v>
      </c>
      <c r="AS459" s="4" t="s">
        <v>2635</v>
      </c>
      <c r="AT459" s="72">
        <v>2</v>
      </c>
      <c r="AU459" s="2">
        <v>0</v>
      </c>
      <c r="AV459" s="4"/>
      <c r="AW459" s="4"/>
      <c r="AX459" s="4"/>
    </row>
    <row r="460" spans="1:50" ht="15" x14ac:dyDescent="0.2">
      <c r="A460" s="3">
        <v>200521</v>
      </c>
      <c r="B460" s="1" t="s">
        <v>471</v>
      </c>
      <c r="C460" s="3">
        <v>1</v>
      </c>
      <c r="D460" s="3" t="s">
        <v>465</v>
      </c>
      <c r="E460" s="3">
        <v>3</v>
      </c>
      <c r="F460" s="3" t="s">
        <v>472</v>
      </c>
      <c r="G460" s="7" t="s">
        <v>379</v>
      </c>
      <c r="H460" s="3">
        <v>1001</v>
      </c>
      <c r="I460" s="3" t="s">
        <v>522</v>
      </c>
      <c r="J460" s="3">
        <v>38</v>
      </c>
      <c r="K460" s="3" t="s">
        <v>1522</v>
      </c>
      <c r="L460" s="3">
        <v>0</v>
      </c>
      <c r="M460" s="3" t="s">
        <v>1522</v>
      </c>
      <c r="N460" s="3" t="s">
        <v>522</v>
      </c>
      <c r="O460" s="10">
        <v>29376</v>
      </c>
      <c r="P460" s="10">
        <v>42729</v>
      </c>
      <c r="Q460" s="10"/>
      <c r="R460" s="10">
        <v>42729</v>
      </c>
      <c r="S460" s="23">
        <v>3687</v>
      </c>
      <c r="T460" s="3">
        <v>15467912</v>
      </c>
      <c r="U460" s="3">
        <v>28006040300086</v>
      </c>
      <c r="V460" s="4" t="s">
        <v>2496</v>
      </c>
      <c r="W460" s="4"/>
      <c r="X460" s="4" t="s">
        <v>2427</v>
      </c>
      <c r="Y460" s="4">
        <v>1998</v>
      </c>
      <c r="Z460" s="3">
        <f ca="1">DATEDIF(Table1[[#This Row],[تاريخ الميلاد]],TODAY(),"y")</f>
        <v>46</v>
      </c>
      <c r="AA46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46 عام 2  شهر  16  يوم </v>
      </c>
      <c r="AB46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9عام7  شهر  26  يوم </v>
      </c>
      <c r="AC460" s="10">
        <f>DATE(YEAR(Table1[[#This Row],[تاريخ الميلاد]])+60,MONTH(Table1[[#This Row],[تاريخ الميلاد]]),DAY(Table1[[#This Row],[تاريخ الميلاد]]))</f>
        <v>51291</v>
      </c>
      <c r="AD460" s="14">
        <f>DATE(YEAR(Table1[[#This Row],[معاش 01/01]])-1,MONTH(Table1[[#This Row],[تاريخ بلوغ 60 ]]),DAY(Table1[[#This Row],[تاريخ بلوغ 60 ]]))</f>
        <v>51291</v>
      </c>
      <c r="AE46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51656</v>
      </c>
      <c r="AF460" s="10" t="str">
        <f>IFERROR(IF(ISODD(MID(Table1[[#This Row],[الرقم القومي]],13,1)),"ذكر","انثي"),"")</f>
        <v>انثي</v>
      </c>
      <c r="AG460" s="70" t="s">
        <v>2606</v>
      </c>
      <c r="AH460" s="3">
        <f>IF(MONTH(Table1[[#This Row],[تاريخ بلوغ 60 ]])&lt;&gt;1,1,0)</f>
        <v>1</v>
      </c>
      <c r="AI460" s="3">
        <f>IF(DAY(Table1[[#This Row],[تاريخ بلوغ 60 ]])&lt;&gt;1,1,0)</f>
        <v>1</v>
      </c>
      <c r="AJ460" s="4" t="s">
        <v>465</v>
      </c>
      <c r="AK460" s="4" t="s">
        <v>2636</v>
      </c>
      <c r="AL460" s="62" t="s">
        <v>2495</v>
      </c>
      <c r="AM460" s="62" t="s">
        <v>3128</v>
      </c>
      <c r="AN460" s="2">
        <v>0</v>
      </c>
      <c r="AO460" s="4" t="s">
        <v>2634</v>
      </c>
      <c r="AP460" s="74">
        <v>0</v>
      </c>
      <c r="AQ460" s="4">
        <v>0</v>
      </c>
      <c r="AR460" s="4">
        <v>1</v>
      </c>
      <c r="AS460" s="4" t="s">
        <v>2635</v>
      </c>
      <c r="AT460" s="72">
        <v>2</v>
      </c>
      <c r="AU460" s="2">
        <v>0</v>
      </c>
      <c r="AV460" s="4"/>
      <c r="AW460" s="4"/>
      <c r="AX460" s="4"/>
    </row>
    <row r="461" spans="1:50" ht="15" x14ac:dyDescent="0.2">
      <c r="A461" s="3">
        <v>200541</v>
      </c>
      <c r="B461" s="1" t="s">
        <v>471</v>
      </c>
      <c r="C461" s="3">
        <v>1</v>
      </c>
      <c r="D461" s="3" t="s">
        <v>465</v>
      </c>
      <c r="E461" s="3">
        <v>3</v>
      </c>
      <c r="F461" s="3" t="s">
        <v>472</v>
      </c>
      <c r="G461" s="7" t="s">
        <v>380</v>
      </c>
      <c r="H461" s="3">
        <v>1007</v>
      </c>
      <c r="I461" s="3" t="s">
        <v>528</v>
      </c>
      <c r="J461" s="3">
        <v>38</v>
      </c>
      <c r="K461" s="3" t="s">
        <v>1522</v>
      </c>
      <c r="L461" s="3">
        <v>0</v>
      </c>
      <c r="M461" s="3" t="s">
        <v>1522</v>
      </c>
      <c r="N461" s="3" t="s">
        <v>528</v>
      </c>
      <c r="O461" s="10">
        <v>31657</v>
      </c>
      <c r="P461" s="10">
        <v>42729</v>
      </c>
      <c r="Q461" s="10"/>
      <c r="R461" s="10">
        <v>42729</v>
      </c>
      <c r="S461" s="23">
        <v>3687</v>
      </c>
      <c r="T461" s="3">
        <v>2836018</v>
      </c>
      <c r="U461" s="3">
        <v>28609020300221</v>
      </c>
      <c r="V461" s="4" t="s">
        <v>2498</v>
      </c>
      <c r="W461" s="4"/>
      <c r="X461" s="4" t="s">
        <v>2427</v>
      </c>
      <c r="Y461" s="4">
        <v>2003</v>
      </c>
      <c r="Z461" s="3">
        <f ca="1">DATEDIF(Table1[[#This Row],[تاريخ الميلاد]],TODAY(),"y")</f>
        <v>39</v>
      </c>
      <c r="AA46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39 عام 11  شهر  18  يوم </v>
      </c>
      <c r="AB46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9عام7  شهر  26  يوم </v>
      </c>
      <c r="AC461" s="10">
        <f>DATE(YEAR(Table1[[#This Row],[تاريخ الميلاد]])+60,MONTH(Table1[[#This Row],[تاريخ الميلاد]]),DAY(Table1[[#This Row],[تاريخ الميلاد]]))</f>
        <v>53572</v>
      </c>
      <c r="AD461" s="14">
        <f>DATE(YEAR(Table1[[#This Row],[معاش 01/01]])-1,MONTH(Table1[[#This Row],[تاريخ بلوغ 60 ]]),DAY(Table1[[#This Row],[تاريخ بلوغ 60 ]]))</f>
        <v>53572</v>
      </c>
      <c r="AE46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53937</v>
      </c>
      <c r="AF461" s="10" t="str">
        <f>IFERROR(IF(ISODD(MID(Table1[[#This Row],[الرقم القومي]],13,1)),"ذكر","انثي"),"")</f>
        <v>انثي</v>
      </c>
      <c r="AG461" s="70" t="s">
        <v>2606</v>
      </c>
      <c r="AH461" s="3">
        <f>IF(MONTH(Table1[[#This Row],[تاريخ بلوغ 60 ]])&lt;&gt;1,1,0)</f>
        <v>1</v>
      </c>
      <c r="AI461" s="3">
        <f>IF(DAY(Table1[[#This Row],[تاريخ بلوغ 60 ]])&lt;&gt;1,1,0)</f>
        <v>1</v>
      </c>
      <c r="AJ461" s="4" t="s">
        <v>465</v>
      </c>
      <c r="AK461" s="4">
        <v>0</v>
      </c>
      <c r="AL461" s="62" t="s">
        <v>2497</v>
      </c>
      <c r="AM461" s="62" t="s">
        <v>3129</v>
      </c>
      <c r="AN461" s="2">
        <v>0</v>
      </c>
      <c r="AO461" s="4" t="s">
        <v>2634</v>
      </c>
      <c r="AP461" s="74">
        <v>0</v>
      </c>
      <c r="AQ461" s="4">
        <v>0</v>
      </c>
      <c r="AR461" s="4">
        <v>1</v>
      </c>
      <c r="AS461" s="4" t="s">
        <v>2635</v>
      </c>
      <c r="AT461" s="72">
        <v>2</v>
      </c>
      <c r="AU461" s="2">
        <v>0</v>
      </c>
      <c r="AV461" s="4"/>
      <c r="AW461" s="4"/>
      <c r="AX461" s="4"/>
    </row>
    <row r="462" spans="1:50" ht="15" x14ac:dyDescent="0.2">
      <c r="A462" s="3">
        <v>200542</v>
      </c>
      <c r="B462" s="1" t="s">
        <v>471</v>
      </c>
      <c r="C462" s="3">
        <v>1</v>
      </c>
      <c r="D462" s="3" t="s">
        <v>465</v>
      </c>
      <c r="E462" s="3">
        <v>3</v>
      </c>
      <c r="F462" s="3" t="s">
        <v>472</v>
      </c>
      <c r="G462" s="7" t="s">
        <v>381</v>
      </c>
      <c r="H462" s="3">
        <v>1001</v>
      </c>
      <c r="I462" s="3" t="s">
        <v>522</v>
      </c>
      <c r="J462" s="3">
        <v>38</v>
      </c>
      <c r="K462" s="3" t="s">
        <v>1522</v>
      </c>
      <c r="L462" s="3">
        <v>0</v>
      </c>
      <c r="M462" s="3" t="s">
        <v>1522</v>
      </c>
      <c r="N462" s="3" t="s">
        <v>522</v>
      </c>
      <c r="O462" s="10">
        <v>32246</v>
      </c>
      <c r="P462" s="10">
        <v>42729</v>
      </c>
      <c r="Q462" s="10"/>
      <c r="R462" s="10">
        <v>42729</v>
      </c>
      <c r="S462" s="23">
        <v>3687</v>
      </c>
      <c r="T462" s="3">
        <v>63645566</v>
      </c>
      <c r="U462" s="3">
        <v>28804130300062</v>
      </c>
      <c r="V462" s="4" t="s">
        <v>2500</v>
      </c>
      <c r="W462" s="4"/>
      <c r="X462" s="4" t="s">
        <v>2427</v>
      </c>
      <c r="Y462" s="4">
        <v>2005</v>
      </c>
      <c r="Z462" s="3">
        <f ca="1">DATEDIF(Table1[[#This Row],[تاريخ الميلاد]],TODAY(),"y")</f>
        <v>38</v>
      </c>
      <c r="AA46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4  شهر  7  يوم </v>
      </c>
      <c r="AB46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9عام7  شهر  26  يوم </v>
      </c>
      <c r="AC462" s="10">
        <f>DATE(YEAR(Table1[[#This Row],[تاريخ الميلاد]])+60,MONTH(Table1[[#This Row],[تاريخ الميلاد]]),DAY(Table1[[#This Row],[تاريخ الميلاد]]))</f>
        <v>54161</v>
      </c>
      <c r="AD462" s="14">
        <f>DATE(YEAR(Table1[[#This Row],[معاش 01/01]])-1,MONTH(Table1[[#This Row],[تاريخ بلوغ 60 ]]),DAY(Table1[[#This Row],[تاريخ بلوغ 60 ]]))</f>
        <v>54161</v>
      </c>
      <c r="AE46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54526</v>
      </c>
      <c r="AF462" s="10" t="str">
        <f>IFERROR(IF(ISODD(MID(Table1[[#This Row],[الرقم القومي]],13,1)),"ذكر","انثي"),"")</f>
        <v>انثي</v>
      </c>
      <c r="AG462" s="70" t="s">
        <v>2606</v>
      </c>
      <c r="AH462" s="3">
        <f>IF(MONTH(Table1[[#This Row],[تاريخ بلوغ 60 ]])&lt;&gt;1,1,0)</f>
        <v>1</v>
      </c>
      <c r="AI462" s="3">
        <f>IF(DAY(Table1[[#This Row],[تاريخ بلوغ 60 ]])&lt;&gt;1,1,0)</f>
        <v>1</v>
      </c>
      <c r="AJ462" s="4" t="s">
        <v>465</v>
      </c>
      <c r="AK462" s="4" t="s">
        <v>2636</v>
      </c>
      <c r="AL462" s="62" t="s">
        <v>2499</v>
      </c>
      <c r="AM462" s="62" t="s">
        <v>3130</v>
      </c>
      <c r="AN462" s="2">
        <v>0</v>
      </c>
      <c r="AO462" s="4" t="s">
        <v>2634</v>
      </c>
      <c r="AP462" s="74">
        <v>0</v>
      </c>
      <c r="AQ462" s="4">
        <v>0</v>
      </c>
      <c r="AR462" s="4">
        <v>1</v>
      </c>
      <c r="AS462" s="4" t="s">
        <v>2635</v>
      </c>
      <c r="AT462" s="72">
        <v>2</v>
      </c>
      <c r="AU462" s="2">
        <v>0</v>
      </c>
      <c r="AV462" s="4"/>
      <c r="AW462" s="4"/>
      <c r="AX462" s="4"/>
    </row>
    <row r="463" spans="1:50" ht="15" x14ac:dyDescent="0.2">
      <c r="A463" s="3">
        <v>200548</v>
      </c>
      <c r="B463" s="1" t="s">
        <v>471</v>
      </c>
      <c r="C463" s="3">
        <v>1</v>
      </c>
      <c r="D463" s="3" t="s">
        <v>465</v>
      </c>
      <c r="E463" s="3">
        <v>3</v>
      </c>
      <c r="F463" s="3" t="s">
        <v>472</v>
      </c>
      <c r="G463" s="7" t="s">
        <v>382</v>
      </c>
      <c r="H463" s="3">
        <v>1001</v>
      </c>
      <c r="I463" s="3" t="s">
        <v>522</v>
      </c>
      <c r="J463" s="3">
        <v>38</v>
      </c>
      <c r="K463" s="3" t="s">
        <v>1522</v>
      </c>
      <c r="L463" s="3">
        <v>0</v>
      </c>
      <c r="M463" s="3" t="s">
        <v>1522</v>
      </c>
      <c r="N463" s="3" t="s">
        <v>522</v>
      </c>
      <c r="O463" s="10">
        <v>25733</v>
      </c>
      <c r="P463" s="10">
        <v>42729</v>
      </c>
      <c r="Q463" s="10"/>
      <c r="R463" s="10">
        <v>42729</v>
      </c>
      <c r="S463" s="23">
        <v>3687</v>
      </c>
      <c r="T463" s="3">
        <v>35683344</v>
      </c>
      <c r="U463" s="3">
        <v>27006140201901</v>
      </c>
      <c r="V463" s="4" t="s">
        <v>2502</v>
      </c>
      <c r="W463" s="4"/>
      <c r="X463" s="4" t="s">
        <v>2427</v>
      </c>
      <c r="Y463" s="4">
        <v>1988</v>
      </c>
      <c r="Z463" s="3">
        <f ca="1">DATEDIF(Table1[[#This Row],[تاريخ الميلاد]],TODAY(),"y")</f>
        <v>56</v>
      </c>
      <c r="AA46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56 عام 2  شهر  6  يوم </v>
      </c>
      <c r="AB46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9عام7  شهر  26  يوم </v>
      </c>
      <c r="AC463" s="10">
        <f>DATE(YEAR(Table1[[#This Row],[تاريخ الميلاد]])+60,MONTH(Table1[[#This Row],[تاريخ الميلاد]]),DAY(Table1[[#This Row],[تاريخ الميلاد]]))</f>
        <v>47648</v>
      </c>
      <c r="AD463" s="14">
        <f>DATE(YEAR(Table1[[#This Row],[معاش 01/01]])-1,MONTH(Table1[[#This Row],[تاريخ بلوغ 60 ]]),DAY(Table1[[#This Row],[تاريخ بلوغ 60 ]]))</f>
        <v>47648</v>
      </c>
      <c r="AE46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48013</v>
      </c>
      <c r="AF463" s="10" t="str">
        <f>IFERROR(IF(ISODD(MID(Table1[[#This Row],[الرقم القومي]],13,1)),"ذكر","انثي"),"")</f>
        <v>انثي</v>
      </c>
      <c r="AG463" s="70" t="s">
        <v>2605</v>
      </c>
      <c r="AH463" s="3">
        <f>IF(MONTH(Table1[[#This Row],[تاريخ بلوغ 60 ]])&lt;&gt;1,1,0)</f>
        <v>1</v>
      </c>
      <c r="AI463" s="3">
        <f>IF(DAY(Table1[[#This Row],[تاريخ بلوغ 60 ]])&lt;&gt;1,1,0)</f>
        <v>1</v>
      </c>
      <c r="AJ463" s="4" t="s">
        <v>465</v>
      </c>
      <c r="AK463" s="4" t="s">
        <v>2636</v>
      </c>
      <c r="AL463" s="62" t="s">
        <v>2501</v>
      </c>
      <c r="AM463" s="62" t="s">
        <v>3131</v>
      </c>
      <c r="AN463" s="2">
        <v>0</v>
      </c>
      <c r="AO463" s="4" t="s">
        <v>2634</v>
      </c>
      <c r="AP463" s="74">
        <v>0</v>
      </c>
      <c r="AQ463" s="4">
        <v>0</v>
      </c>
      <c r="AR463" s="4">
        <v>1</v>
      </c>
      <c r="AS463" s="4" t="s">
        <v>2635</v>
      </c>
      <c r="AT463" s="72">
        <v>2</v>
      </c>
      <c r="AU463" s="2">
        <v>0</v>
      </c>
      <c r="AV463" s="4"/>
      <c r="AW463" s="4"/>
      <c r="AX463" s="4"/>
    </row>
    <row r="464" spans="1:50" ht="15" x14ac:dyDescent="0.2">
      <c r="A464" s="3">
        <v>200654</v>
      </c>
      <c r="B464" s="1" t="s">
        <v>471</v>
      </c>
      <c r="C464" s="3">
        <v>1</v>
      </c>
      <c r="D464" s="3" t="s">
        <v>465</v>
      </c>
      <c r="E464" s="3">
        <v>3</v>
      </c>
      <c r="F464" s="3" t="s">
        <v>472</v>
      </c>
      <c r="G464" s="7" t="s">
        <v>2503</v>
      </c>
      <c r="H464" s="3">
        <v>1007</v>
      </c>
      <c r="I464" s="3" t="s">
        <v>528</v>
      </c>
      <c r="J464" s="3">
        <v>38</v>
      </c>
      <c r="K464" s="3" t="s">
        <v>1522</v>
      </c>
      <c r="L464" s="3">
        <v>0</v>
      </c>
      <c r="M464" s="3" t="s">
        <v>1522</v>
      </c>
      <c r="N464" s="3" t="s">
        <v>528</v>
      </c>
      <c r="O464" s="10">
        <v>34038</v>
      </c>
      <c r="P464" s="10">
        <v>42827</v>
      </c>
      <c r="Q464" s="10"/>
      <c r="R464" s="10">
        <v>42827</v>
      </c>
      <c r="S464" s="23">
        <v>3687</v>
      </c>
      <c r="T464" s="3">
        <v>62704716</v>
      </c>
      <c r="U464" s="3">
        <v>29303100300194</v>
      </c>
      <c r="V464" s="4" t="s">
        <v>2505</v>
      </c>
      <c r="W464" s="4"/>
      <c r="X464" s="4" t="s">
        <v>2427</v>
      </c>
      <c r="Y464" s="4">
        <v>2011</v>
      </c>
      <c r="Z464" s="3">
        <f ca="1">DATEDIF(Table1[[#This Row],[تاريخ الميلاد]],TODAY(),"y")</f>
        <v>33</v>
      </c>
      <c r="AA46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33 عام 5  شهر  10  يوم </v>
      </c>
      <c r="AB46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9عام4  شهر  18  يوم </v>
      </c>
      <c r="AC464" s="10">
        <f>DATE(YEAR(Table1[[#This Row],[تاريخ الميلاد]])+60,MONTH(Table1[[#This Row],[تاريخ الميلاد]]),DAY(Table1[[#This Row],[تاريخ الميلاد]]))</f>
        <v>55953</v>
      </c>
      <c r="AD464" s="14">
        <f>DATE(YEAR(Table1[[#This Row],[معاش 01/01]])-1,MONTH(Table1[[#This Row],[تاريخ بلوغ 60 ]]),DAY(Table1[[#This Row],[تاريخ بلوغ 60 ]]))</f>
        <v>55953</v>
      </c>
      <c r="AE46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56318</v>
      </c>
      <c r="AF464" s="10" t="str">
        <f>IFERROR(IF(ISODD(MID(Table1[[#This Row],[الرقم القومي]],13,1)),"ذكر","انثي"),"")</f>
        <v>ذكر</v>
      </c>
      <c r="AG464" s="70" t="s">
        <v>2606</v>
      </c>
      <c r="AH464" s="3">
        <f>IF(MONTH(Table1[[#This Row],[تاريخ بلوغ 60 ]])&lt;&gt;1,1,0)</f>
        <v>1</v>
      </c>
      <c r="AI464" s="3">
        <f>IF(DAY(Table1[[#This Row],[تاريخ بلوغ 60 ]])&lt;&gt;1,1,0)</f>
        <v>1</v>
      </c>
      <c r="AJ464" s="4" t="s">
        <v>465</v>
      </c>
      <c r="AK464" s="4">
        <v>0</v>
      </c>
      <c r="AL464" s="62" t="s">
        <v>2504</v>
      </c>
      <c r="AM464" s="62" t="s">
        <v>3132</v>
      </c>
      <c r="AN464" s="2">
        <v>0</v>
      </c>
      <c r="AO464" s="4" t="s">
        <v>2634</v>
      </c>
      <c r="AP464" s="74">
        <v>0</v>
      </c>
      <c r="AQ464" s="4">
        <v>0</v>
      </c>
      <c r="AR464" s="4">
        <v>1</v>
      </c>
      <c r="AS464" s="4" t="s">
        <v>2635</v>
      </c>
      <c r="AT464" s="72">
        <v>2</v>
      </c>
      <c r="AU464" s="2">
        <v>0</v>
      </c>
      <c r="AV464" s="4"/>
      <c r="AW464" s="4"/>
      <c r="AX464" s="4"/>
    </row>
    <row r="465" spans="1:50" ht="15" x14ac:dyDescent="0.2">
      <c r="A465" s="3">
        <v>200656</v>
      </c>
      <c r="B465" s="1" t="s">
        <v>471</v>
      </c>
      <c r="C465" s="3">
        <v>1</v>
      </c>
      <c r="D465" s="3" t="s">
        <v>465</v>
      </c>
      <c r="E465" s="3">
        <v>3</v>
      </c>
      <c r="F465" s="3" t="s">
        <v>472</v>
      </c>
      <c r="G465" s="7" t="s">
        <v>383</v>
      </c>
      <c r="H465" s="3">
        <v>1010</v>
      </c>
      <c r="I465" s="3" t="s">
        <v>531</v>
      </c>
      <c r="J465" s="3">
        <v>38</v>
      </c>
      <c r="K465" s="3" t="s">
        <v>1522</v>
      </c>
      <c r="L465" s="3">
        <v>0</v>
      </c>
      <c r="M465" s="3" t="s">
        <v>1522</v>
      </c>
      <c r="N465" s="3" t="s">
        <v>531</v>
      </c>
      <c r="O465" s="10">
        <v>29196</v>
      </c>
      <c r="P465" s="10">
        <v>42827</v>
      </c>
      <c r="Q465" s="10"/>
      <c r="R465" s="10">
        <v>42827</v>
      </c>
      <c r="S465" s="23">
        <v>3397.26</v>
      </c>
      <c r="T465" s="3">
        <v>12291270</v>
      </c>
      <c r="U465" s="3">
        <v>27912070300096</v>
      </c>
      <c r="V465" s="4" t="s">
        <v>2507</v>
      </c>
      <c r="W465" s="4"/>
      <c r="X465" s="4" t="s">
        <v>2450</v>
      </c>
      <c r="Y465" s="4">
        <v>1996</v>
      </c>
      <c r="Z465" s="3">
        <f ca="1">DATEDIF(Table1[[#This Row],[تاريخ الميلاد]],TODAY(),"y")</f>
        <v>46</v>
      </c>
      <c r="AA46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46 عام 8  شهر  13  يوم </v>
      </c>
      <c r="AB46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9عام4  شهر  18  يوم </v>
      </c>
      <c r="AC465" s="10">
        <f>DATE(YEAR(Table1[[#This Row],[تاريخ الميلاد]])+60,MONTH(Table1[[#This Row],[تاريخ الميلاد]]),DAY(Table1[[#This Row],[تاريخ الميلاد]]))</f>
        <v>51111</v>
      </c>
      <c r="AD465" s="14">
        <f>DATE(YEAR(Table1[[#This Row],[معاش 01/01]])-1,MONTH(Table1[[#This Row],[تاريخ بلوغ 60 ]]),DAY(Table1[[#This Row],[تاريخ بلوغ 60 ]]))</f>
        <v>51111</v>
      </c>
      <c r="AE46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51477</v>
      </c>
      <c r="AF465" s="10" t="str">
        <f>IFERROR(IF(ISODD(MID(Table1[[#This Row],[الرقم القومي]],13,1)),"ذكر","انثي"),"")</f>
        <v>ذكر</v>
      </c>
      <c r="AG465" s="70" t="s">
        <v>2606</v>
      </c>
      <c r="AH465" s="3">
        <f>IF(MONTH(Table1[[#This Row],[تاريخ بلوغ 60 ]])&lt;&gt;1,1,0)</f>
        <v>1</v>
      </c>
      <c r="AI465" s="3">
        <f>IF(DAY(Table1[[#This Row],[تاريخ بلوغ 60 ]])&lt;&gt;1,1,0)</f>
        <v>1</v>
      </c>
      <c r="AJ465" s="4" t="s">
        <v>465</v>
      </c>
      <c r="AK465" s="4" t="s">
        <v>2636</v>
      </c>
      <c r="AL465" s="62" t="s">
        <v>2506</v>
      </c>
      <c r="AM465" s="62" t="s">
        <v>3133</v>
      </c>
      <c r="AN465" s="2">
        <v>0</v>
      </c>
      <c r="AO465" s="4" t="s">
        <v>2634</v>
      </c>
      <c r="AP465" s="74">
        <v>0</v>
      </c>
      <c r="AQ465" s="4">
        <v>0</v>
      </c>
      <c r="AR465" s="4">
        <v>1</v>
      </c>
      <c r="AS465" s="4" t="s">
        <v>2635</v>
      </c>
      <c r="AT465" s="72">
        <v>2</v>
      </c>
      <c r="AU465" s="2">
        <v>0</v>
      </c>
      <c r="AV465" s="4"/>
      <c r="AW465" s="4"/>
      <c r="AX465" s="4"/>
    </row>
    <row r="466" spans="1:50" ht="15" x14ac:dyDescent="0.2">
      <c r="A466" s="3">
        <v>200661</v>
      </c>
      <c r="B466" s="1" t="s">
        <v>471</v>
      </c>
      <c r="C466" s="3">
        <v>1</v>
      </c>
      <c r="D466" s="3" t="s">
        <v>465</v>
      </c>
      <c r="E466" s="3">
        <v>3</v>
      </c>
      <c r="F466" s="3" t="s">
        <v>472</v>
      </c>
      <c r="G466" s="7" t="s">
        <v>384</v>
      </c>
      <c r="H466" s="3">
        <v>1001</v>
      </c>
      <c r="I466" s="3" t="s">
        <v>522</v>
      </c>
      <c r="J466" s="3">
        <v>38</v>
      </c>
      <c r="K466" s="3" t="s">
        <v>1522</v>
      </c>
      <c r="L466" s="3">
        <v>0</v>
      </c>
      <c r="M466" s="3" t="s">
        <v>1522</v>
      </c>
      <c r="N466" s="3" t="s">
        <v>522</v>
      </c>
      <c r="O466" s="10">
        <v>33472</v>
      </c>
      <c r="P466" s="10">
        <v>42827</v>
      </c>
      <c r="Q466" s="10"/>
      <c r="R466" s="10">
        <v>42827</v>
      </c>
      <c r="S466" s="23">
        <v>3687</v>
      </c>
      <c r="T466" s="3">
        <v>46903973</v>
      </c>
      <c r="U466" s="3">
        <v>29108220300069</v>
      </c>
      <c r="V466" s="4" t="s">
        <v>2509</v>
      </c>
      <c r="W466" s="4"/>
      <c r="X466" s="4" t="s">
        <v>2427</v>
      </c>
      <c r="Y466" s="4">
        <v>2008</v>
      </c>
      <c r="Z466" s="3">
        <f ca="1">DATEDIF(Table1[[#This Row],[تاريخ الميلاد]],TODAY(),"y")</f>
        <v>34</v>
      </c>
      <c r="AA46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34 عام 11  شهر  29  يوم </v>
      </c>
      <c r="AB46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9عام4  شهر  18  يوم </v>
      </c>
      <c r="AC466" s="10">
        <f>DATE(YEAR(Table1[[#This Row],[تاريخ الميلاد]])+60,MONTH(Table1[[#This Row],[تاريخ الميلاد]]),DAY(Table1[[#This Row],[تاريخ الميلاد]]))</f>
        <v>55387</v>
      </c>
      <c r="AD466" s="14">
        <f>DATE(YEAR(Table1[[#This Row],[معاش 01/01]])-1,MONTH(Table1[[#This Row],[تاريخ بلوغ 60 ]]),DAY(Table1[[#This Row],[تاريخ بلوغ 60 ]]))</f>
        <v>55387</v>
      </c>
      <c r="AE46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55753</v>
      </c>
      <c r="AF466" s="10" t="str">
        <f>IFERROR(IF(ISODD(MID(Table1[[#This Row],[الرقم القومي]],13,1)),"ذكر","انثي"),"")</f>
        <v>انثي</v>
      </c>
      <c r="AG466" s="70" t="s">
        <v>2606</v>
      </c>
      <c r="AH466" s="3">
        <f>IF(MONTH(Table1[[#This Row],[تاريخ بلوغ 60 ]])&lt;&gt;1,1,0)</f>
        <v>1</v>
      </c>
      <c r="AI466" s="3">
        <f>IF(DAY(Table1[[#This Row],[تاريخ بلوغ 60 ]])&lt;&gt;1,1,0)</f>
        <v>1</v>
      </c>
      <c r="AJ466" s="4" t="s">
        <v>465</v>
      </c>
      <c r="AK466" s="4" t="s">
        <v>2636</v>
      </c>
      <c r="AL466" s="62" t="s">
        <v>2508</v>
      </c>
      <c r="AM466" s="62" t="s">
        <v>3134</v>
      </c>
      <c r="AN466" s="2">
        <v>0</v>
      </c>
      <c r="AO466" s="4" t="s">
        <v>2634</v>
      </c>
      <c r="AP466" s="74">
        <v>0</v>
      </c>
      <c r="AQ466" s="4">
        <v>0</v>
      </c>
      <c r="AR466" s="4">
        <v>7</v>
      </c>
      <c r="AS466" s="4" t="s">
        <v>2642</v>
      </c>
      <c r="AT466" s="72">
        <v>0</v>
      </c>
      <c r="AU466" s="2">
        <v>0</v>
      </c>
      <c r="AV466" s="4"/>
      <c r="AW466" s="4"/>
      <c r="AX466" s="4"/>
    </row>
    <row r="467" spans="1:50" ht="15" x14ac:dyDescent="0.2">
      <c r="A467" s="3">
        <v>200662</v>
      </c>
      <c r="B467" s="1" t="s">
        <v>471</v>
      </c>
      <c r="C467" s="3">
        <v>1</v>
      </c>
      <c r="D467" s="3" t="s">
        <v>465</v>
      </c>
      <c r="E467" s="3">
        <v>3</v>
      </c>
      <c r="F467" s="3" t="s">
        <v>472</v>
      </c>
      <c r="G467" s="7" t="s">
        <v>385</v>
      </c>
      <c r="H467" s="3">
        <v>1010</v>
      </c>
      <c r="I467" s="3" t="s">
        <v>531</v>
      </c>
      <c r="J467" s="3">
        <v>38</v>
      </c>
      <c r="K467" s="3" t="s">
        <v>1522</v>
      </c>
      <c r="L467" s="3">
        <v>0</v>
      </c>
      <c r="M467" s="3" t="s">
        <v>1522</v>
      </c>
      <c r="N467" s="3" t="s">
        <v>531</v>
      </c>
      <c r="O467" s="10">
        <v>25501</v>
      </c>
      <c r="P467" s="10">
        <v>42827</v>
      </c>
      <c r="Q467" s="10"/>
      <c r="R467" s="10">
        <v>42827</v>
      </c>
      <c r="S467" s="23">
        <v>3397.26</v>
      </c>
      <c r="T467" s="3">
        <v>4961757</v>
      </c>
      <c r="U467" s="3">
        <v>26910251100386</v>
      </c>
      <c r="V467" s="4" t="s">
        <v>2511</v>
      </c>
      <c r="W467" s="4"/>
      <c r="X467" s="4" t="s">
        <v>2450</v>
      </c>
      <c r="Y467" s="4">
        <v>1987</v>
      </c>
      <c r="Z467" s="3">
        <f ca="1">DATEDIF(Table1[[#This Row],[تاريخ الميلاد]],TODAY(),"y")</f>
        <v>56</v>
      </c>
      <c r="AA46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56 عام 9  شهر  26  يوم </v>
      </c>
      <c r="AB46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9عام4  شهر  18  يوم </v>
      </c>
      <c r="AC467" s="10">
        <f>DATE(YEAR(Table1[[#This Row],[تاريخ الميلاد]])+60,MONTH(Table1[[#This Row],[تاريخ الميلاد]]),DAY(Table1[[#This Row],[تاريخ الميلاد]]))</f>
        <v>47416</v>
      </c>
      <c r="AD467" s="14">
        <f>DATE(YEAR(Table1[[#This Row],[معاش 01/01]])-1,MONTH(Table1[[#This Row],[تاريخ بلوغ 60 ]]),DAY(Table1[[#This Row],[تاريخ بلوغ 60 ]]))</f>
        <v>47416</v>
      </c>
      <c r="AE46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47781</v>
      </c>
      <c r="AF467" s="10" t="str">
        <f>IFERROR(IF(ISODD(MID(Table1[[#This Row],[الرقم القومي]],13,1)),"ذكر","انثي"),"")</f>
        <v>انثي</v>
      </c>
      <c r="AG467" s="70" t="s">
        <v>2609</v>
      </c>
      <c r="AH467" s="3">
        <f>IF(MONTH(Table1[[#This Row],[تاريخ بلوغ 60 ]])&lt;&gt;1,1,0)</f>
        <v>1</v>
      </c>
      <c r="AI467" s="3">
        <f>IF(DAY(Table1[[#This Row],[تاريخ بلوغ 60 ]])&lt;&gt;1,1,0)</f>
        <v>1</v>
      </c>
      <c r="AJ467" s="4" t="s">
        <v>465</v>
      </c>
      <c r="AK467" s="4" t="s">
        <v>2689</v>
      </c>
      <c r="AL467" s="62" t="s">
        <v>2510</v>
      </c>
      <c r="AM467" s="62" t="s">
        <v>3135</v>
      </c>
      <c r="AN467" s="2">
        <v>0</v>
      </c>
      <c r="AO467" s="4" t="s">
        <v>2634</v>
      </c>
      <c r="AP467" s="74">
        <v>0</v>
      </c>
      <c r="AQ467" s="4">
        <v>0</v>
      </c>
      <c r="AR467" s="4">
        <v>1</v>
      </c>
      <c r="AS467" s="4" t="s">
        <v>2635</v>
      </c>
      <c r="AT467" s="72">
        <v>2</v>
      </c>
      <c r="AU467" s="2">
        <v>0</v>
      </c>
      <c r="AV467" s="4"/>
      <c r="AW467" s="4"/>
      <c r="AX467" s="4"/>
    </row>
    <row r="468" spans="1:50" ht="15" x14ac:dyDescent="0.2">
      <c r="A468" s="3">
        <v>200663</v>
      </c>
      <c r="B468" s="1" t="s">
        <v>471</v>
      </c>
      <c r="C468" s="3">
        <v>1</v>
      </c>
      <c r="D468" s="3" t="s">
        <v>465</v>
      </c>
      <c r="E468" s="3">
        <v>3</v>
      </c>
      <c r="F468" s="3" t="s">
        <v>472</v>
      </c>
      <c r="G468" s="7" t="s">
        <v>386</v>
      </c>
      <c r="H468" s="3">
        <v>1010</v>
      </c>
      <c r="I468" s="3" t="s">
        <v>531</v>
      </c>
      <c r="J468" s="3">
        <v>38</v>
      </c>
      <c r="K468" s="3" t="s">
        <v>1522</v>
      </c>
      <c r="L468" s="3">
        <v>0</v>
      </c>
      <c r="M468" s="3" t="s">
        <v>1522</v>
      </c>
      <c r="N468" s="3" t="s">
        <v>531</v>
      </c>
      <c r="O468" s="10">
        <v>30730</v>
      </c>
      <c r="P468" s="10">
        <v>42827</v>
      </c>
      <c r="Q468" s="10"/>
      <c r="R468" s="10">
        <v>42827</v>
      </c>
      <c r="S468" s="23">
        <v>3397.26</v>
      </c>
      <c r="T468" s="3">
        <v>74316567</v>
      </c>
      <c r="U468" s="3">
        <v>28402181200657</v>
      </c>
      <c r="V468" s="4" t="s">
        <v>2513</v>
      </c>
      <c r="W468" s="4"/>
      <c r="X468" s="4" t="s">
        <v>2450</v>
      </c>
      <c r="Y468" s="4">
        <v>2012</v>
      </c>
      <c r="Z468" s="3">
        <f ca="1">DATEDIF(Table1[[#This Row],[تاريخ الميلاد]],TODAY(),"y")</f>
        <v>42</v>
      </c>
      <c r="AA46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42 عام 6  شهر  2  يوم </v>
      </c>
      <c r="AB46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9عام4  شهر  18  يوم </v>
      </c>
      <c r="AC468" s="10">
        <f>DATE(YEAR(Table1[[#This Row],[تاريخ الميلاد]])+60,MONTH(Table1[[#This Row],[تاريخ الميلاد]]),DAY(Table1[[#This Row],[تاريخ الميلاد]]))</f>
        <v>52645</v>
      </c>
      <c r="AD468" s="14">
        <f>DATE(YEAR(Table1[[#This Row],[معاش 01/01]])-1,MONTH(Table1[[#This Row],[تاريخ بلوغ 60 ]]),DAY(Table1[[#This Row],[تاريخ بلوغ 60 ]]))</f>
        <v>52645</v>
      </c>
      <c r="AE46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53011</v>
      </c>
      <c r="AF468" s="10" t="str">
        <f>IFERROR(IF(ISODD(MID(Table1[[#This Row],[الرقم القومي]],13,1)),"ذكر","انثي"),"")</f>
        <v>ذكر</v>
      </c>
      <c r="AG468" s="70" t="s">
        <v>1635</v>
      </c>
      <c r="AH468" s="3">
        <f>IF(MONTH(Table1[[#This Row],[تاريخ بلوغ 60 ]])&lt;&gt;1,1,0)</f>
        <v>1</v>
      </c>
      <c r="AI468" s="3">
        <f>IF(DAY(Table1[[#This Row],[تاريخ بلوغ 60 ]])&lt;&gt;1,1,0)</f>
        <v>1</v>
      </c>
      <c r="AJ468" s="4" t="s">
        <v>1635</v>
      </c>
      <c r="AK468" s="4">
        <v>0</v>
      </c>
      <c r="AL468" s="62" t="s">
        <v>2512</v>
      </c>
      <c r="AM468" s="62" t="s">
        <v>3136</v>
      </c>
      <c r="AN468" s="2">
        <v>0</v>
      </c>
      <c r="AO468" s="4" t="s">
        <v>2634</v>
      </c>
      <c r="AP468" s="74">
        <v>0</v>
      </c>
      <c r="AQ468" s="4">
        <v>0</v>
      </c>
      <c r="AR468" s="4">
        <v>0</v>
      </c>
      <c r="AS468" s="4" t="s">
        <v>2645</v>
      </c>
      <c r="AT468" s="72">
        <v>0</v>
      </c>
      <c r="AU468" s="2">
        <v>0</v>
      </c>
      <c r="AV468" s="4"/>
      <c r="AW468" s="4"/>
      <c r="AX468" s="4"/>
    </row>
    <row r="469" spans="1:50" ht="15" x14ac:dyDescent="0.2">
      <c r="A469" s="3">
        <v>200677</v>
      </c>
      <c r="B469" s="1" t="s">
        <v>471</v>
      </c>
      <c r="C469" s="3">
        <v>1</v>
      </c>
      <c r="D469" s="3" t="s">
        <v>465</v>
      </c>
      <c r="E469" s="3">
        <v>3</v>
      </c>
      <c r="F469" s="3" t="s">
        <v>472</v>
      </c>
      <c r="G469" s="7" t="s">
        <v>387</v>
      </c>
      <c r="H469" s="3">
        <v>1010</v>
      </c>
      <c r="I469" s="3" t="s">
        <v>531</v>
      </c>
      <c r="J469" s="3">
        <v>38</v>
      </c>
      <c r="K469" s="3" t="s">
        <v>1522</v>
      </c>
      <c r="L469" s="3">
        <v>0</v>
      </c>
      <c r="M469" s="3" t="s">
        <v>1522</v>
      </c>
      <c r="N469" s="3" t="s">
        <v>531</v>
      </c>
      <c r="O469" s="10">
        <v>26337</v>
      </c>
      <c r="P469" s="10">
        <v>42827</v>
      </c>
      <c r="Q469" s="10"/>
      <c r="R469" s="10">
        <v>42827</v>
      </c>
      <c r="S469" s="23">
        <v>3397.26</v>
      </c>
      <c r="T469" s="3">
        <v>7984350</v>
      </c>
      <c r="U469" s="3">
        <v>27202081201645</v>
      </c>
      <c r="V469" s="4" t="s">
        <v>2515</v>
      </c>
      <c r="W469" s="4"/>
      <c r="X469" s="4" t="s">
        <v>2450</v>
      </c>
      <c r="Y469" s="4">
        <v>1991</v>
      </c>
      <c r="Z469" s="3">
        <f ca="1">DATEDIF(Table1[[#This Row],[تاريخ الميلاد]],TODAY(),"y")</f>
        <v>54</v>
      </c>
      <c r="AA46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54 عام 6  شهر  12  يوم </v>
      </c>
      <c r="AB46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9عام4  شهر  18  يوم </v>
      </c>
      <c r="AC469" s="10">
        <f>DATE(YEAR(Table1[[#This Row],[تاريخ الميلاد]])+60,MONTH(Table1[[#This Row],[تاريخ الميلاد]]),DAY(Table1[[#This Row],[تاريخ الميلاد]]))</f>
        <v>48252</v>
      </c>
      <c r="AD469" s="14">
        <f>DATE(YEAR(Table1[[#This Row],[معاش 01/01]])-1,MONTH(Table1[[#This Row],[تاريخ بلوغ 60 ]]),DAY(Table1[[#This Row],[تاريخ بلوغ 60 ]]))</f>
        <v>48252</v>
      </c>
      <c r="AE46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48618</v>
      </c>
      <c r="AF469" s="10" t="str">
        <f>IFERROR(IF(ISODD(MID(Table1[[#This Row],[الرقم القومي]],13,1)),"ذكر","انثي"),"")</f>
        <v>انثي</v>
      </c>
      <c r="AG469" s="70" t="s">
        <v>1635</v>
      </c>
      <c r="AH469" s="3">
        <f>IF(MONTH(Table1[[#This Row],[تاريخ بلوغ 60 ]])&lt;&gt;1,1,0)</f>
        <v>1</v>
      </c>
      <c r="AI469" s="3">
        <f>IF(DAY(Table1[[#This Row],[تاريخ بلوغ 60 ]])&lt;&gt;1,1,0)</f>
        <v>1</v>
      </c>
      <c r="AJ469" s="4" t="s">
        <v>465</v>
      </c>
      <c r="AK469" s="4" t="s">
        <v>2636</v>
      </c>
      <c r="AL469" s="62" t="s">
        <v>2514</v>
      </c>
      <c r="AM469" s="62" t="s">
        <v>3137</v>
      </c>
      <c r="AN469" s="2">
        <v>0</v>
      </c>
      <c r="AO469" s="4" t="s">
        <v>2634</v>
      </c>
      <c r="AP469" s="74">
        <v>0</v>
      </c>
      <c r="AQ469" s="4">
        <v>0</v>
      </c>
      <c r="AR469" s="4">
        <v>1</v>
      </c>
      <c r="AS469" s="4" t="s">
        <v>2635</v>
      </c>
      <c r="AT469" s="72">
        <v>2</v>
      </c>
      <c r="AU469" s="2">
        <v>0</v>
      </c>
      <c r="AV469" s="4"/>
      <c r="AW469" s="4"/>
      <c r="AX469" s="4"/>
    </row>
    <row r="470" spans="1:50" ht="15" x14ac:dyDescent="0.2">
      <c r="A470" s="3">
        <v>200690</v>
      </c>
      <c r="B470" s="1" t="s">
        <v>471</v>
      </c>
      <c r="C470" s="3">
        <v>1</v>
      </c>
      <c r="D470" s="3" t="s">
        <v>465</v>
      </c>
      <c r="E470" s="3">
        <v>3</v>
      </c>
      <c r="F470" s="3" t="s">
        <v>472</v>
      </c>
      <c r="G470" s="7" t="s">
        <v>388</v>
      </c>
      <c r="H470" s="3">
        <v>1010</v>
      </c>
      <c r="I470" s="3" t="s">
        <v>531</v>
      </c>
      <c r="J470" s="3">
        <v>38</v>
      </c>
      <c r="K470" s="3" t="s">
        <v>1522</v>
      </c>
      <c r="L470" s="3">
        <v>0</v>
      </c>
      <c r="M470" s="3" t="s">
        <v>1522</v>
      </c>
      <c r="N470" s="3" t="s">
        <v>531</v>
      </c>
      <c r="O470" s="10">
        <v>29827</v>
      </c>
      <c r="P470" s="10">
        <v>42827</v>
      </c>
      <c r="Q470" s="10"/>
      <c r="R470" s="10">
        <v>42827</v>
      </c>
      <c r="S470" s="23">
        <v>3397.26</v>
      </c>
      <c r="T470" s="3">
        <v>54234179</v>
      </c>
      <c r="U470" s="3">
        <v>28108290300046</v>
      </c>
      <c r="V470" s="4" t="s">
        <v>2517</v>
      </c>
      <c r="W470" s="4"/>
      <c r="X470" s="4" t="s">
        <v>2450</v>
      </c>
      <c r="Y470" s="4">
        <v>1998</v>
      </c>
      <c r="Z470" s="3">
        <f ca="1">DATEDIF(Table1[[#This Row],[تاريخ الميلاد]],TODAY(),"y")</f>
        <v>44</v>
      </c>
      <c r="AA47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44 عام 11  شهر  22  يوم </v>
      </c>
      <c r="AB47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9عام4  شهر  18  يوم </v>
      </c>
      <c r="AC470" s="10">
        <f>DATE(YEAR(Table1[[#This Row],[تاريخ الميلاد]])+60,MONTH(Table1[[#This Row],[تاريخ الميلاد]]),DAY(Table1[[#This Row],[تاريخ الميلاد]]))</f>
        <v>51742</v>
      </c>
      <c r="AD470" s="14">
        <f>DATE(YEAR(Table1[[#This Row],[معاش 01/01]])-1,MONTH(Table1[[#This Row],[تاريخ بلوغ 60 ]]),DAY(Table1[[#This Row],[تاريخ بلوغ 60 ]]))</f>
        <v>51742</v>
      </c>
      <c r="AE47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52107</v>
      </c>
      <c r="AF470" s="10" t="str">
        <f>IFERROR(IF(ISODD(MID(Table1[[#This Row],[الرقم القومي]],13,1)),"ذكر","انثي"),"")</f>
        <v>انثي</v>
      </c>
      <c r="AG470" s="70" t="s">
        <v>2606</v>
      </c>
      <c r="AH470" s="3">
        <f>IF(MONTH(Table1[[#This Row],[تاريخ بلوغ 60 ]])&lt;&gt;1,1,0)</f>
        <v>1</v>
      </c>
      <c r="AI470" s="3">
        <f>IF(DAY(Table1[[#This Row],[تاريخ بلوغ 60 ]])&lt;&gt;1,1,0)</f>
        <v>1</v>
      </c>
      <c r="AJ470" s="4" t="s">
        <v>465</v>
      </c>
      <c r="AK470" s="4" t="s">
        <v>2689</v>
      </c>
      <c r="AL470" s="62" t="s">
        <v>2516</v>
      </c>
      <c r="AM470" s="62" t="s">
        <v>3138</v>
      </c>
      <c r="AN470" s="2">
        <v>0</v>
      </c>
      <c r="AO470" s="4" t="s">
        <v>2634</v>
      </c>
      <c r="AP470" s="74">
        <v>0</v>
      </c>
      <c r="AQ470" s="4">
        <v>0</v>
      </c>
      <c r="AR470" s="4">
        <v>1</v>
      </c>
      <c r="AS470" s="4" t="s">
        <v>2635</v>
      </c>
      <c r="AT470" s="72">
        <v>2</v>
      </c>
      <c r="AU470" s="2">
        <v>0</v>
      </c>
      <c r="AV470" s="4"/>
      <c r="AW470" s="4"/>
      <c r="AX470" s="4"/>
    </row>
    <row r="471" spans="1:50" ht="15" x14ac:dyDescent="0.2">
      <c r="A471" s="3">
        <v>200697</v>
      </c>
      <c r="B471" s="1" t="s">
        <v>471</v>
      </c>
      <c r="C471" s="3">
        <v>1</v>
      </c>
      <c r="D471" s="3" t="s">
        <v>465</v>
      </c>
      <c r="E471" s="3">
        <v>3</v>
      </c>
      <c r="F471" s="3" t="s">
        <v>472</v>
      </c>
      <c r="G471" s="7" t="s">
        <v>2518</v>
      </c>
      <c r="H471" s="3">
        <v>1007</v>
      </c>
      <c r="I471" s="3" t="s">
        <v>528</v>
      </c>
      <c r="J471" s="3">
        <v>38</v>
      </c>
      <c r="K471" s="3" t="s">
        <v>1522</v>
      </c>
      <c r="L471" s="3">
        <v>0</v>
      </c>
      <c r="M471" s="3" t="s">
        <v>1522</v>
      </c>
      <c r="N471" s="3" t="s">
        <v>528</v>
      </c>
      <c r="O471" s="10">
        <v>28878</v>
      </c>
      <c r="P471" s="10">
        <v>42827</v>
      </c>
      <c r="Q471" s="10"/>
      <c r="R471" s="10">
        <v>42827</v>
      </c>
      <c r="S471" s="23">
        <v>3687</v>
      </c>
      <c r="T471" s="3">
        <v>48684876</v>
      </c>
      <c r="U471" s="3">
        <v>27901230300134</v>
      </c>
      <c r="V471" s="4" t="s">
        <v>2520</v>
      </c>
      <c r="W471" s="4"/>
      <c r="X471" s="4" t="s">
        <v>2427</v>
      </c>
      <c r="Y471" s="4">
        <v>1995</v>
      </c>
      <c r="Z471" s="3">
        <f ca="1">DATEDIF(Table1[[#This Row],[تاريخ الميلاد]],TODAY(),"y")</f>
        <v>47</v>
      </c>
      <c r="AA47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47 عام 6  شهر  28  يوم </v>
      </c>
      <c r="AB47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9عام4  شهر  18  يوم </v>
      </c>
      <c r="AC471" s="10">
        <f>DATE(YEAR(Table1[[#This Row],[تاريخ الميلاد]])+60,MONTH(Table1[[#This Row],[تاريخ الميلاد]]),DAY(Table1[[#This Row],[تاريخ الميلاد]]))</f>
        <v>50793</v>
      </c>
      <c r="AD471" s="14">
        <f>DATE(YEAR(Table1[[#This Row],[معاش 01/01]])-1,MONTH(Table1[[#This Row],[تاريخ بلوغ 60 ]]),DAY(Table1[[#This Row],[تاريخ بلوغ 60 ]]))</f>
        <v>50793</v>
      </c>
      <c r="AE47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51158</v>
      </c>
      <c r="AF471" s="10" t="str">
        <f>IFERROR(IF(ISODD(MID(Table1[[#This Row],[الرقم القومي]],13,1)),"ذكر","انثي"),"")</f>
        <v>ذكر</v>
      </c>
      <c r="AG471" s="70" t="s">
        <v>2606</v>
      </c>
      <c r="AH471" s="3">
        <f>IF(MONTH(Table1[[#This Row],[تاريخ بلوغ 60 ]])&lt;&gt;1,1,0)</f>
        <v>0</v>
      </c>
      <c r="AI471" s="3">
        <f>IF(DAY(Table1[[#This Row],[تاريخ بلوغ 60 ]])&lt;&gt;1,1,0)</f>
        <v>1</v>
      </c>
      <c r="AJ471" s="4" t="s">
        <v>465</v>
      </c>
      <c r="AK471" s="4">
        <v>0</v>
      </c>
      <c r="AL471" s="62" t="s">
        <v>2519</v>
      </c>
      <c r="AM471" s="62" t="s">
        <v>3139</v>
      </c>
      <c r="AN471" s="2">
        <v>0</v>
      </c>
      <c r="AO471" s="4" t="s">
        <v>2634</v>
      </c>
      <c r="AP471" s="74">
        <v>0</v>
      </c>
      <c r="AQ471" s="4">
        <v>0</v>
      </c>
      <c r="AR471" s="4">
        <v>1</v>
      </c>
      <c r="AS471" s="4" t="s">
        <v>2635</v>
      </c>
      <c r="AT471" s="72">
        <v>2</v>
      </c>
      <c r="AU471" s="2">
        <v>0</v>
      </c>
      <c r="AV471" s="4"/>
      <c r="AW471" s="4"/>
      <c r="AX471" s="4"/>
    </row>
    <row r="472" spans="1:50" ht="15" x14ac:dyDescent="0.2">
      <c r="A472" s="3">
        <v>200702</v>
      </c>
      <c r="B472" s="1" t="s">
        <v>471</v>
      </c>
      <c r="C472" s="3">
        <v>1</v>
      </c>
      <c r="D472" s="3" t="s">
        <v>465</v>
      </c>
      <c r="E472" s="3">
        <v>3</v>
      </c>
      <c r="F472" s="3" t="s">
        <v>472</v>
      </c>
      <c r="G472" s="7" t="s">
        <v>2521</v>
      </c>
      <c r="H472" s="3">
        <v>1007</v>
      </c>
      <c r="I472" s="3" t="s">
        <v>528</v>
      </c>
      <c r="J472" s="3">
        <v>38</v>
      </c>
      <c r="K472" s="3" t="s">
        <v>1522</v>
      </c>
      <c r="L472" s="3">
        <v>0</v>
      </c>
      <c r="M472" s="3" t="s">
        <v>1522</v>
      </c>
      <c r="N472" s="3" t="s">
        <v>528</v>
      </c>
      <c r="O472" s="10">
        <v>32119</v>
      </c>
      <c r="P472" s="10">
        <v>42827</v>
      </c>
      <c r="Q472" s="10"/>
      <c r="R472" s="10">
        <v>42827</v>
      </c>
      <c r="S472" s="23">
        <v>3687</v>
      </c>
      <c r="T472" s="3">
        <v>18225630</v>
      </c>
      <c r="U472" s="3">
        <v>28712080300111</v>
      </c>
      <c r="V472" s="4" t="s">
        <v>2523</v>
      </c>
      <c r="W472" s="4"/>
      <c r="X472" s="4" t="s">
        <v>2427</v>
      </c>
      <c r="Y472" s="4">
        <v>2004</v>
      </c>
      <c r="Z472" s="3">
        <f ca="1">DATEDIF(Table1[[#This Row],[تاريخ الميلاد]],TODAY(),"y")</f>
        <v>38</v>
      </c>
      <c r="AA47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8  شهر  12  يوم </v>
      </c>
      <c r="AB47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9عام4  شهر  18  يوم </v>
      </c>
      <c r="AC472" s="10">
        <f>DATE(YEAR(Table1[[#This Row],[تاريخ الميلاد]])+60,MONTH(Table1[[#This Row],[تاريخ الميلاد]]),DAY(Table1[[#This Row],[تاريخ الميلاد]]))</f>
        <v>54034</v>
      </c>
      <c r="AD472" s="14">
        <f>DATE(YEAR(Table1[[#This Row],[معاش 01/01]])-1,MONTH(Table1[[#This Row],[تاريخ بلوغ 60 ]]),DAY(Table1[[#This Row],[تاريخ بلوغ 60 ]]))</f>
        <v>54034</v>
      </c>
      <c r="AE47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54400</v>
      </c>
      <c r="AF472" s="10" t="str">
        <f>IFERROR(IF(ISODD(MID(Table1[[#This Row],[الرقم القومي]],13,1)),"ذكر","انثي"),"")</f>
        <v>ذكر</v>
      </c>
      <c r="AG472" s="70" t="s">
        <v>2606</v>
      </c>
      <c r="AH472" s="3">
        <f>IF(MONTH(Table1[[#This Row],[تاريخ بلوغ 60 ]])&lt;&gt;1,1,0)</f>
        <v>1</v>
      </c>
      <c r="AI472" s="3">
        <f>IF(DAY(Table1[[#This Row],[تاريخ بلوغ 60 ]])&lt;&gt;1,1,0)</f>
        <v>1</v>
      </c>
      <c r="AJ472" s="4" t="s">
        <v>465</v>
      </c>
      <c r="AK472" s="4" t="s">
        <v>2638</v>
      </c>
      <c r="AL472" s="62" t="s">
        <v>2522</v>
      </c>
      <c r="AM472" s="62" t="s">
        <v>3140</v>
      </c>
      <c r="AN472" s="2">
        <v>0</v>
      </c>
      <c r="AO472" s="4" t="s">
        <v>2634</v>
      </c>
      <c r="AP472" s="74">
        <v>0</v>
      </c>
      <c r="AQ472" s="4">
        <v>0</v>
      </c>
      <c r="AR472" s="4">
        <v>1</v>
      </c>
      <c r="AS472" s="4" t="s">
        <v>2635</v>
      </c>
      <c r="AT472" s="72">
        <v>2</v>
      </c>
      <c r="AU472" s="2">
        <v>0</v>
      </c>
      <c r="AV472" s="4"/>
      <c r="AW472" s="4"/>
      <c r="AX472" s="4"/>
    </row>
    <row r="473" spans="1:50" ht="15" x14ac:dyDescent="0.2">
      <c r="A473" s="3">
        <v>200707</v>
      </c>
      <c r="B473" s="1" t="s">
        <v>471</v>
      </c>
      <c r="C473" s="3">
        <v>1</v>
      </c>
      <c r="D473" s="3" t="s">
        <v>465</v>
      </c>
      <c r="E473" s="3">
        <v>21</v>
      </c>
      <c r="F473" s="3" t="s">
        <v>474</v>
      </c>
      <c r="G473" s="7" t="s">
        <v>2524</v>
      </c>
      <c r="H473" s="3">
        <v>1010</v>
      </c>
      <c r="I473" s="3" t="s">
        <v>531</v>
      </c>
      <c r="J473" s="3">
        <v>38</v>
      </c>
      <c r="K473" s="3" t="s">
        <v>1522</v>
      </c>
      <c r="L473" s="3">
        <v>0</v>
      </c>
      <c r="M473" s="3" t="s">
        <v>1522</v>
      </c>
      <c r="N473" s="3" t="s">
        <v>531</v>
      </c>
      <c r="O473" s="10">
        <v>29595</v>
      </c>
      <c r="P473" s="10">
        <v>42827</v>
      </c>
      <c r="Q473" s="10"/>
      <c r="R473" s="10">
        <v>42827</v>
      </c>
      <c r="S473" s="23">
        <v>3397.26</v>
      </c>
      <c r="T473" s="3">
        <v>71907680</v>
      </c>
      <c r="U473" s="3">
        <v>28101090300161</v>
      </c>
      <c r="V473" s="4" t="s">
        <v>2526</v>
      </c>
      <c r="W473" s="4"/>
      <c r="X473" s="4" t="s">
        <v>2450</v>
      </c>
      <c r="Z473" s="3">
        <f ca="1">DATEDIF(Table1[[#This Row],[تاريخ الميلاد]],TODAY(),"y")</f>
        <v>45</v>
      </c>
      <c r="AA47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45 عام 7  شهر  11  يوم </v>
      </c>
      <c r="AB47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9عام4  شهر  18  يوم </v>
      </c>
      <c r="AC473" s="10">
        <f>DATE(YEAR(Table1[[#This Row],[تاريخ الميلاد]])+60,MONTH(Table1[[#This Row],[تاريخ الميلاد]]),DAY(Table1[[#This Row],[تاريخ الميلاد]]))</f>
        <v>51510</v>
      </c>
      <c r="AD473" s="14">
        <f>DATE(YEAR(Table1[[#This Row],[معاش 01/01]])-1,MONTH(Table1[[#This Row],[تاريخ بلوغ 60 ]]),DAY(Table1[[#This Row],[تاريخ بلوغ 60 ]]))</f>
        <v>51510</v>
      </c>
      <c r="AE47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51875</v>
      </c>
      <c r="AF473" s="10" t="str">
        <f>IFERROR(IF(ISODD(MID(Table1[[#This Row],[الرقم القومي]],13,1)),"ذكر","انثي"),"")</f>
        <v>انثي</v>
      </c>
      <c r="AG473" s="70" t="s">
        <v>2606</v>
      </c>
      <c r="AH473" s="3">
        <f>IF(MONTH(Table1[[#This Row],[تاريخ بلوغ 60 ]])&lt;&gt;1,1,0)</f>
        <v>0</v>
      </c>
      <c r="AI473" s="3">
        <f>IF(DAY(Table1[[#This Row],[تاريخ بلوغ 60 ]])&lt;&gt;1,1,0)</f>
        <v>1</v>
      </c>
      <c r="AJ473" s="4" t="s">
        <v>465</v>
      </c>
      <c r="AK473" s="4" t="s">
        <v>2730</v>
      </c>
      <c r="AL473" s="62" t="s">
        <v>2525</v>
      </c>
      <c r="AM473" s="62" t="s">
        <v>3141</v>
      </c>
      <c r="AN473" s="2">
        <v>0</v>
      </c>
      <c r="AO473" s="4" t="s">
        <v>2634</v>
      </c>
      <c r="AP473" s="74">
        <v>0</v>
      </c>
      <c r="AQ473" s="4">
        <v>0</v>
      </c>
      <c r="AR473" s="4">
        <v>0</v>
      </c>
      <c r="AS473" s="4">
        <v>0</v>
      </c>
      <c r="AT473" s="72">
        <v>0</v>
      </c>
      <c r="AU473" s="2">
        <v>0</v>
      </c>
      <c r="AV473" s="4"/>
      <c r="AW473" s="4"/>
      <c r="AX473" s="4"/>
    </row>
    <row r="474" spans="1:50" ht="15" x14ac:dyDescent="0.2">
      <c r="A474" s="3">
        <v>200846</v>
      </c>
      <c r="B474" s="1" t="s">
        <v>471</v>
      </c>
      <c r="C474" s="3">
        <v>1</v>
      </c>
      <c r="D474" s="3" t="s">
        <v>465</v>
      </c>
      <c r="E474" s="3">
        <v>3</v>
      </c>
      <c r="F474" s="3" t="s">
        <v>472</v>
      </c>
      <c r="G474" s="7" t="s">
        <v>389</v>
      </c>
      <c r="H474" s="3">
        <v>1007</v>
      </c>
      <c r="I474" s="3" t="s">
        <v>528</v>
      </c>
      <c r="J474" s="3">
        <v>38</v>
      </c>
      <c r="K474" s="3" t="s">
        <v>1522</v>
      </c>
      <c r="L474" s="3">
        <v>0</v>
      </c>
      <c r="M474" s="3" t="s">
        <v>1522</v>
      </c>
      <c r="N474" s="3" t="s">
        <v>528</v>
      </c>
      <c r="O474" s="10">
        <v>26139</v>
      </c>
      <c r="P474" s="10">
        <v>42879</v>
      </c>
      <c r="Q474" s="10"/>
      <c r="R474" s="10">
        <v>42879</v>
      </c>
      <c r="S474" s="23">
        <v>3687</v>
      </c>
      <c r="T474" s="3">
        <v>46054959</v>
      </c>
      <c r="U474" s="3">
        <v>27107250102004</v>
      </c>
      <c r="V474" s="4" t="s">
        <v>2528</v>
      </c>
      <c r="W474" s="4"/>
      <c r="X474" s="4" t="s">
        <v>2427</v>
      </c>
      <c r="Y474" s="4">
        <v>1993</v>
      </c>
      <c r="Z474" s="3">
        <f ca="1">DATEDIF(Table1[[#This Row],[تاريخ الميلاد]],TODAY(),"y")</f>
        <v>55</v>
      </c>
      <c r="AA47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55 عام 0  شهر  26  يوم </v>
      </c>
      <c r="AB47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9عام2  شهر  27  يوم </v>
      </c>
      <c r="AC474" s="10">
        <f>DATE(YEAR(Table1[[#This Row],[تاريخ الميلاد]])+60,MONTH(Table1[[#This Row],[تاريخ الميلاد]]),DAY(Table1[[#This Row],[تاريخ الميلاد]]))</f>
        <v>48054</v>
      </c>
      <c r="AD474" s="14">
        <f>DATE(YEAR(Table1[[#This Row],[معاش 01/01]])-1,MONTH(Table1[[#This Row],[تاريخ بلوغ 60 ]]),DAY(Table1[[#This Row],[تاريخ بلوغ 60 ]]))</f>
        <v>48054</v>
      </c>
      <c r="AE47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48420</v>
      </c>
      <c r="AF474" s="10" t="str">
        <f>IFERROR(IF(ISODD(MID(Table1[[#This Row],[الرقم القومي]],13,1)),"ذكر","انثي"),"")</f>
        <v>انثي</v>
      </c>
      <c r="AG474" s="70" t="s">
        <v>1667</v>
      </c>
      <c r="AH474" s="3">
        <f>IF(MONTH(Table1[[#This Row],[تاريخ بلوغ 60 ]])&lt;&gt;1,1,0)</f>
        <v>1</v>
      </c>
      <c r="AI474" s="3">
        <f>IF(DAY(Table1[[#This Row],[تاريخ بلوغ 60 ]])&lt;&gt;1,1,0)</f>
        <v>1</v>
      </c>
      <c r="AJ474" s="4" t="s">
        <v>465</v>
      </c>
      <c r="AK474" s="4" t="s">
        <v>2636</v>
      </c>
      <c r="AL474" s="62" t="s">
        <v>2527</v>
      </c>
      <c r="AM474" s="62" t="s">
        <v>3142</v>
      </c>
      <c r="AN474" s="2">
        <v>0</v>
      </c>
      <c r="AO474" s="4" t="s">
        <v>2634</v>
      </c>
      <c r="AP474" s="74">
        <v>0</v>
      </c>
      <c r="AQ474" s="4">
        <v>0</v>
      </c>
      <c r="AR474" s="4">
        <v>7</v>
      </c>
      <c r="AS474" s="4" t="s">
        <v>2642</v>
      </c>
      <c r="AT474" s="72">
        <v>0</v>
      </c>
      <c r="AU474" s="2">
        <v>0</v>
      </c>
      <c r="AV474" s="4"/>
      <c r="AW474" s="4"/>
      <c r="AX474" s="4"/>
    </row>
    <row r="475" spans="1:50" ht="15" x14ac:dyDescent="0.2">
      <c r="A475" s="3">
        <v>201010</v>
      </c>
      <c r="B475" s="1" t="s">
        <v>471</v>
      </c>
      <c r="C475" s="3">
        <v>1</v>
      </c>
      <c r="D475" s="3" t="s">
        <v>465</v>
      </c>
      <c r="E475" s="3">
        <v>3</v>
      </c>
      <c r="F475" s="3" t="s">
        <v>472</v>
      </c>
      <c r="G475" s="7" t="s">
        <v>390</v>
      </c>
      <c r="H475" s="3">
        <v>1010</v>
      </c>
      <c r="I475" s="3" t="s">
        <v>531</v>
      </c>
      <c r="J475" s="3">
        <v>38</v>
      </c>
      <c r="K475" s="3" t="s">
        <v>1522</v>
      </c>
      <c r="L475" s="3">
        <v>0</v>
      </c>
      <c r="M475" s="3" t="s">
        <v>1522</v>
      </c>
      <c r="N475" s="3" t="s">
        <v>531</v>
      </c>
      <c r="O475" s="10">
        <v>33058</v>
      </c>
      <c r="P475" s="10">
        <v>42948</v>
      </c>
      <c r="Q475" s="10"/>
      <c r="R475" s="10">
        <v>42948</v>
      </c>
      <c r="S475" s="23">
        <v>3243.75</v>
      </c>
      <c r="T475" s="3">
        <v>62495163</v>
      </c>
      <c r="U475" s="3">
        <v>29007040300094</v>
      </c>
      <c r="V475" s="4" t="s">
        <v>2530</v>
      </c>
      <c r="W475" s="4"/>
      <c r="X475" s="4" t="s">
        <v>2450</v>
      </c>
      <c r="Y475" s="4">
        <v>2009</v>
      </c>
      <c r="Z475" s="3">
        <f ca="1">DATEDIF(Table1[[#This Row],[تاريخ الميلاد]],TODAY(),"y")</f>
        <v>36</v>
      </c>
      <c r="AA47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36 عام 1  شهر  16  يوم </v>
      </c>
      <c r="AB47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9عام0  شهر  19  يوم </v>
      </c>
      <c r="AC475" s="10">
        <f>DATE(YEAR(Table1[[#This Row],[تاريخ الميلاد]])+60,MONTH(Table1[[#This Row],[تاريخ الميلاد]]),DAY(Table1[[#This Row],[تاريخ الميلاد]]))</f>
        <v>54973</v>
      </c>
      <c r="AD475" s="14">
        <f>DATE(YEAR(Table1[[#This Row],[معاش 01/01]])-1,MONTH(Table1[[#This Row],[تاريخ بلوغ 60 ]]),DAY(Table1[[#This Row],[تاريخ بلوغ 60 ]]))</f>
        <v>54973</v>
      </c>
      <c r="AE47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55338</v>
      </c>
      <c r="AF475" s="10" t="str">
        <f>IFERROR(IF(ISODD(MID(Table1[[#This Row],[الرقم القومي]],13,1)),"ذكر","انثي"),"")</f>
        <v>ذكر</v>
      </c>
      <c r="AG475" s="70" t="s">
        <v>2606</v>
      </c>
      <c r="AH475" s="3">
        <f>IF(MONTH(Table1[[#This Row],[تاريخ بلوغ 60 ]])&lt;&gt;1,1,0)</f>
        <v>1</v>
      </c>
      <c r="AI475" s="3">
        <f>IF(DAY(Table1[[#This Row],[تاريخ بلوغ 60 ]])&lt;&gt;1,1,0)</f>
        <v>1</v>
      </c>
      <c r="AJ475" s="4" t="s">
        <v>465</v>
      </c>
      <c r="AK475" s="4" t="s">
        <v>2666</v>
      </c>
      <c r="AL475" s="62" t="s">
        <v>2529</v>
      </c>
      <c r="AM475" s="62" t="s">
        <v>3143</v>
      </c>
      <c r="AN475" s="2">
        <v>0</v>
      </c>
      <c r="AO475" s="4" t="s">
        <v>2634</v>
      </c>
      <c r="AP475" s="74">
        <v>0</v>
      </c>
      <c r="AQ475" s="4">
        <v>0</v>
      </c>
      <c r="AR475" s="4">
        <v>1</v>
      </c>
      <c r="AS475" s="4" t="s">
        <v>2635</v>
      </c>
      <c r="AT475" s="72">
        <v>2</v>
      </c>
      <c r="AU475" s="2">
        <v>0</v>
      </c>
      <c r="AV475" s="4"/>
      <c r="AW475" s="4"/>
      <c r="AX475" s="4"/>
    </row>
    <row r="476" spans="1:50" ht="15" x14ac:dyDescent="0.2">
      <c r="A476" s="3">
        <v>201011</v>
      </c>
      <c r="B476" s="1" t="s">
        <v>471</v>
      </c>
      <c r="C476" s="3">
        <v>1</v>
      </c>
      <c r="D476" s="3" t="s">
        <v>465</v>
      </c>
      <c r="E476" s="3">
        <v>3</v>
      </c>
      <c r="F476" s="3" t="s">
        <v>472</v>
      </c>
      <c r="G476" s="7" t="s">
        <v>391</v>
      </c>
      <c r="H476" s="3">
        <v>1007</v>
      </c>
      <c r="I476" s="3" t="s">
        <v>528</v>
      </c>
      <c r="J476" s="3">
        <v>38</v>
      </c>
      <c r="K476" s="3" t="s">
        <v>1522</v>
      </c>
      <c r="L476" s="3">
        <v>0</v>
      </c>
      <c r="M476" s="3" t="s">
        <v>1522</v>
      </c>
      <c r="N476" s="3" t="s">
        <v>528</v>
      </c>
      <c r="O476" s="10">
        <v>32604</v>
      </c>
      <c r="P476" s="10">
        <v>42948</v>
      </c>
      <c r="Q476" s="10"/>
      <c r="R476" s="10">
        <v>42948</v>
      </c>
      <c r="S476" s="23">
        <v>3507.98</v>
      </c>
      <c r="T476" s="3">
        <v>23955554</v>
      </c>
      <c r="U476" s="3">
        <v>28904060300137</v>
      </c>
      <c r="V476" s="4" t="s">
        <v>2532</v>
      </c>
      <c r="W476" s="4"/>
      <c r="X476" s="4" t="s">
        <v>2427</v>
      </c>
      <c r="Z476" s="3">
        <f ca="1">DATEDIF(Table1[[#This Row],[تاريخ الميلاد]],TODAY(),"y")</f>
        <v>37</v>
      </c>
      <c r="AA47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4  شهر  14  يوم </v>
      </c>
      <c r="AB47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9عام0  شهر  19  يوم </v>
      </c>
      <c r="AC476" s="10">
        <f>DATE(YEAR(Table1[[#This Row],[تاريخ الميلاد]])+60,MONTH(Table1[[#This Row],[تاريخ الميلاد]]),DAY(Table1[[#This Row],[تاريخ الميلاد]]))</f>
        <v>54519</v>
      </c>
      <c r="AD476" s="14">
        <f>DATE(YEAR(Table1[[#This Row],[معاش 01/01]])-1,MONTH(Table1[[#This Row],[تاريخ بلوغ 60 ]]),DAY(Table1[[#This Row],[تاريخ بلوغ 60 ]]))</f>
        <v>54519</v>
      </c>
      <c r="AE47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54884</v>
      </c>
      <c r="AF476" s="10" t="str">
        <f>IFERROR(IF(ISODD(MID(Table1[[#This Row],[الرقم القومي]],13,1)),"ذكر","انثي"),"")</f>
        <v>ذكر</v>
      </c>
      <c r="AG476" s="70" t="s">
        <v>2606</v>
      </c>
      <c r="AH476" s="3">
        <f>IF(MONTH(Table1[[#This Row],[تاريخ بلوغ 60 ]])&lt;&gt;1,1,0)</f>
        <v>1</v>
      </c>
      <c r="AI476" s="3">
        <f>IF(DAY(Table1[[#This Row],[تاريخ بلوغ 60 ]])&lt;&gt;1,1,0)</f>
        <v>1</v>
      </c>
      <c r="AJ476" s="4" t="s">
        <v>465</v>
      </c>
      <c r="AK476" s="4" t="s">
        <v>2636</v>
      </c>
      <c r="AL476" s="62" t="s">
        <v>2531</v>
      </c>
      <c r="AM476" s="62" t="s">
        <v>3144</v>
      </c>
      <c r="AN476" s="2">
        <v>0</v>
      </c>
      <c r="AO476" s="4" t="s">
        <v>2634</v>
      </c>
      <c r="AP476" s="74">
        <v>0</v>
      </c>
      <c r="AQ476" s="4">
        <v>0</v>
      </c>
      <c r="AR476" s="4">
        <v>0</v>
      </c>
      <c r="AS476" s="4" t="s">
        <v>2645</v>
      </c>
      <c r="AT476" s="72">
        <v>0</v>
      </c>
      <c r="AU476" s="2">
        <v>0</v>
      </c>
      <c r="AV476" s="4"/>
      <c r="AW476" s="4"/>
      <c r="AX476" s="4"/>
    </row>
    <row r="477" spans="1:50" ht="15" x14ac:dyDescent="0.2">
      <c r="A477" s="3">
        <v>201017</v>
      </c>
      <c r="B477" s="1" t="s">
        <v>471</v>
      </c>
      <c r="C477" s="3">
        <v>1</v>
      </c>
      <c r="D477" s="3" t="s">
        <v>465</v>
      </c>
      <c r="E477" s="3">
        <v>3</v>
      </c>
      <c r="F477" s="3" t="s">
        <v>472</v>
      </c>
      <c r="G477" s="7" t="s">
        <v>392</v>
      </c>
      <c r="H477" s="3">
        <v>1010</v>
      </c>
      <c r="I477" s="3" t="s">
        <v>531</v>
      </c>
      <c r="J477" s="3">
        <v>38</v>
      </c>
      <c r="K477" s="3" t="s">
        <v>1522</v>
      </c>
      <c r="L477" s="3">
        <v>0</v>
      </c>
      <c r="M477" s="3" t="s">
        <v>1522</v>
      </c>
      <c r="N477" s="3" t="s">
        <v>531</v>
      </c>
      <c r="O477" s="10">
        <v>33841</v>
      </c>
      <c r="P477" s="10">
        <v>42948</v>
      </c>
      <c r="Q477" s="10"/>
      <c r="R477" s="10">
        <v>42948</v>
      </c>
      <c r="S477" s="23">
        <v>3243.75</v>
      </c>
      <c r="T477" s="3">
        <v>65594092</v>
      </c>
      <c r="U477" s="3">
        <v>29208250300041</v>
      </c>
      <c r="V477" s="4" t="s">
        <v>2534</v>
      </c>
      <c r="W477" s="4"/>
      <c r="X477" s="4" t="s">
        <v>2450</v>
      </c>
      <c r="Y477" s="4">
        <v>2009</v>
      </c>
      <c r="Z477" s="3">
        <f ca="1">DATEDIF(Table1[[#This Row],[تاريخ الميلاد]],TODAY(),"y")</f>
        <v>33</v>
      </c>
      <c r="AA47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33 عام 11  شهر  26  يوم </v>
      </c>
      <c r="AB47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9عام0  شهر  19  يوم </v>
      </c>
      <c r="AC477" s="10">
        <f>DATE(YEAR(Table1[[#This Row],[تاريخ الميلاد]])+60,MONTH(Table1[[#This Row],[تاريخ الميلاد]]),DAY(Table1[[#This Row],[تاريخ الميلاد]]))</f>
        <v>55756</v>
      </c>
      <c r="AD477" s="14">
        <f>DATE(YEAR(Table1[[#This Row],[معاش 01/01]])-1,MONTH(Table1[[#This Row],[تاريخ بلوغ 60 ]]),DAY(Table1[[#This Row],[تاريخ بلوغ 60 ]]))</f>
        <v>55756</v>
      </c>
      <c r="AE47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56121</v>
      </c>
      <c r="AF477" s="10" t="str">
        <f>IFERROR(IF(ISODD(MID(Table1[[#This Row],[الرقم القومي]],13,1)),"ذكر","انثي"),"")</f>
        <v>انثي</v>
      </c>
      <c r="AG477" s="70" t="s">
        <v>2606</v>
      </c>
      <c r="AH477" s="3">
        <f>IF(MONTH(Table1[[#This Row],[تاريخ بلوغ 60 ]])&lt;&gt;1,1,0)</f>
        <v>1</v>
      </c>
      <c r="AI477" s="3">
        <f>IF(DAY(Table1[[#This Row],[تاريخ بلوغ 60 ]])&lt;&gt;1,1,0)</f>
        <v>1</v>
      </c>
      <c r="AJ477" s="4" t="s">
        <v>465</v>
      </c>
      <c r="AK477" s="4">
        <v>0</v>
      </c>
      <c r="AL477" s="62" t="s">
        <v>2533</v>
      </c>
      <c r="AM477" s="62" t="s">
        <v>3145</v>
      </c>
      <c r="AN477" s="2">
        <v>0</v>
      </c>
      <c r="AO477" s="4" t="s">
        <v>2634</v>
      </c>
      <c r="AP477" s="74">
        <v>0</v>
      </c>
      <c r="AQ477" s="4">
        <v>0</v>
      </c>
      <c r="AR477" s="4">
        <v>1</v>
      </c>
      <c r="AS477" s="4" t="s">
        <v>2635</v>
      </c>
      <c r="AT477" s="72">
        <v>2</v>
      </c>
      <c r="AU477" s="2">
        <v>0</v>
      </c>
      <c r="AV477" s="4"/>
      <c r="AW477" s="4"/>
      <c r="AX477" s="4"/>
    </row>
    <row r="478" spans="1:50" ht="15" x14ac:dyDescent="0.2">
      <c r="A478" s="3">
        <v>201023</v>
      </c>
      <c r="B478" s="1" t="s">
        <v>471</v>
      </c>
      <c r="C478" s="3">
        <v>1</v>
      </c>
      <c r="D478" s="3" t="s">
        <v>465</v>
      </c>
      <c r="E478" s="3">
        <v>6</v>
      </c>
      <c r="F478" s="3" t="s">
        <v>473</v>
      </c>
      <c r="G478" s="7" t="s">
        <v>393</v>
      </c>
      <c r="H478" s="3">
        <v>1001</v>
      </c>
      <c r="I478" s="3" t="s">
        <v>522</v>
      </c>
      <c r="J478" s="3">
        <v>38</v>
      </c>
      <c r="K478" s="3" t="s">
        <v>1522</v>
      </c>
      <c r="L478" s="3">
        <v>0</v>
      </c>
      <c r="M478" s="3" t="s">
        <v>1522</v>
      </c>
      <c r="N478" s="3" t="s">
        <v>522</v>
      </c>
      <c r="O478" s="10">
        <v>31087</v>
      </c>
      <c r="P478" s="10">
        <v>42948</v>
      </c>
      <c r="Q478" s="10"/>
      <c r="R478" s="10">
        <v>42948</v>
      </c>
      <c r="S478" s="23">
        <v>3507.98</v>
      </c>
      <c r="T478" s="3">
        <v>61349936</v>
      </c>
      <c r="U478" s="3">
        <v>28502090300254</v>
      </c>
      <c r="V478" s="4" t="s">
        <v>2536</v>
      </c>
      <c r="W478" s="4"/>
      <c r="X478" s="4" t="s">
        <v>2427</v>
      </c>
      <c r="Z478" s="3">
        <f ca="1">DATEDIF(Table1[[#This Row],[تاريخ الميلاد]],TODAY(),"y")</f>
        <v>41</v>
      </c>
      <c r="AA47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41 عام 6  شهر  11  يوم </v>
      </c>
      <c r="AB47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9عام0  شهر  19  يوم </v>
      </c>
      <c r="AC478" s="10">
        <f>DATE(YEAR(Table1[[#This Row],[تاريخ الميلاد]])+60,MONTH(Table1[[#This Row],[تاريخ الميلاد]]),DAY(Table1[[#This Row],[تاريخ الميلاد]]))</f>
        <v>53002</v>
      </c>
      <c r="AD478" s="14">
        <f>DATE(YEAR(Table1[[#This Row],[معاش 01/01]])-1,MONTH(Table1[[#This Row],[تاريخ بلوغ 60 ]]),DAY(Table1[[#This Row],[تاريخ بلوغ 60 ]]))</f>
        <v>53002</v>
      </c>
      <c r="AE47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53367</v>
      </c>
      <c r="AF478" s="10" t="str">
        <f>IFERROR(IF(ISODD(MID(Table1[[#This Row],[الرقم القومي]],13,1)),"ذكر","انثي"),"")</f>
        <v>ذكر</v>
      </c>
      <c r="AG478" s="70" t="s">
        <v>2606</v>
      </c>
      <c r="AH478" s="3">
        <f>IF(MONTH(Table1[[#This Row],[تاريخ بلوغ 60 ]])&lt;&gt;1,1,0)</f>
        <v>1</v>
      </c>
      <c r="AI478" s="3">
        <f>IF(DAY(Table1[[#This Row],[تاريخ بلوغ 60 ]])&lt;&gt;1,1,0)</f>
        <v>1</v>
      </c>
      <c r="AJ478" s="4" t="s">
        <v>465</v>
      </c>
      <c r="AK478" s="4" t="s">
        <v>2636</v>
      </c>
      <c r="AL478" s="62" t="s">
        <v>2535</v>
      </c>
      <c r="AM478" s="62" t="s">
        <v>3146</v>
      </c>
      <c r="AN478" s="2">
        <v>0</v>
      </c>
      <c r="AO478" s="4" t="s">
        <v>2634</v>
      </c>
      <c r="AP478" s="74">
        <v>0</v>
      </c>
      <c r="AQ478" s="4">
        <v>0</v>
      </c>
      <c r="AR478" s="4">
        <v>1</v>
      </c>
      <c r="AS478" s="4" t="s">
        <v>2635</v>
      </c>
      <c r="AT478" s="72">
        <v>2</v>
      </c>
      <c r="AU478" s="2">
        <v>0</v>
      </c>
      <c r="AV478" s="4"/>
      <c r="AW478" s="4"/>
      <c r="AX478" s="4"/>
    </row>
    <row r="479" spans="1:50" ht="15" x14ac:dyDescent="0.2">
      <c r="A479" s="3">
        <v>201027</v>
      </c>
      <c r="B479" s="1" t="s">
        <v>471</v>
      </c>
      <c r="C479" s="3">
        <v>1</v>
      </c>
      <c r="D479" s="3" t="s">
        <v>465</v>
      </c>
      <c r="E479" s="3">
        <v>3</v>
      </c>
      <c r="F479" s="3" t="s">
        <v>472</v>
      </c>
      <c r="G479" s="7" t="s">
        <v>394</v>
      </c>
      <c r="H479" s="3">
        <v>1001</v>
      </c>
      <c r="I479" s="3" t="s">
        <v>522</v>
      </c>
      <c r="J479" s="3">
        <v>38</v>
      </c>
      <c r="K479" s="3" t="s">
        <v>1522</v>
      </c>
      <c r="L479" s="3">
        <v>0</v>
      </c>
      <c r="M479" s="3" t="s">
        <v>1522</v>
      </c>
      <c r="N479" s="3" t="s">
        <v>522</v>
      </c>
      <c r="O479" s="10">
        <v>32068</v>
      </c>
      <c r="P479" s="10">
        <v>42948</v>
      </c>
      <c r="Q479" s="10"/>
      <c r="R479" s="10">
        <v>42948</v>
      </c>
      <c r="S479" s="23">
        <v>3507.98</v>
      </c>
      <c r="T479" s="3">
        <v>14744289</v>
      </c>
      <c r="U479" s="3">
        <v>28710180300263</v>
      </c>
      <c r="V479" s="4" t="s">
        <v>2538</v>
      </c>
      <c r="W479" s="4"/>
      <c r="X479" s="4" t="s">
        <v>2427</v>
      </c>
      <c r="Y479" s="4">
        <v>2004</v>
      </c>
      <c r="Z479" s="3">
        <f ca="1">DATEDIF(Table1[[#This Row],[تاريخ الميلاد]],TODAY(),"y")</f>
        <v>38</v>
      </c>
      <c r="AA47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10  شهر  2  يوم </v>
      </c>
      <c r="AB47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9عام0  شهر  19  يوم </v>
      </c>
      <c r="AC479" s="10">
        <f>DATE(YEAR(Table1[[#This Row],[تاريخ الميلاد]])+60,MONTH(Table1[[#This Row],[تاريخ الميلاد]]),DAY(Table1[[#This Row],[تاريخ الميلاد]]))</f>
        <v>53983</v>
      </c>
      <c r="AD479" s="14">
        <f>DATE(YEAR(Table1[[#This Row],[معاش 01/01]])-1,MONTH(Table1[[#This Row],[تاريخ بلوغ 60 ]]),DAY(Table1[[#This Row],[تاريخ بلوغ 60 ]]))</f>
        <v>53983</v>
      </c>
      <c r="AE47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54349</v>
      </c>
      <c r="AF479" s="10" t="str">
        <f>IFERROR(IF(ISODD(MID(Table1[[#This Row],[الرقم القومي]],13,1)),"ذكر","انثي"),"")</f>
        <v>انثي</v>
      </c>
      <c r="AG479" s="70" t="s">
        <v>2606</v>
      </c>
      <c r="AH479" s="3">
        <f>IF(MONTH(Table1[[#This Row],[تاريخ بلوغ 60 ]])&lt;&gt;1,1,0)</f>
        <v>1</v>
      </c>
      <c r="AI479" s="3">
        <f>IF(DAY(Table1[[#This Row],[تاريخ بلوغ 60 ]])&lt;&gt;1,1,0)</f>
        <v>1</v>
      </c>
      <c r="AJ479" s="4" t="s">
        <v>465</v>
      </c>
      <c r="AK479" s="4">
        <v>0</v>
      </c>
      <c r="AL479" s="62" t="s">
        <v>2537</v>
      </c>
      <c r="AM479" s="62" t="s">
        <v>3147</v>
      </c>
      <c r="AN479" s="2">
        <v>0</v>
      </c>
      <c r="AO479" s="4" t="s">
        <v>2634</v>
      </c>
      <c r="AP479" s="74">
        <v>0</v>
      </c>
      <c r="AQ479" s="4">
        <v>0</v>
      </c>
      <c r="AR479" s="4">
        <v>7</v>
      </c>
      <c r="AS479" s="4" t="s">
        <v>2642</v>
      </c>
      <c r="AT479" s="72">
        <v>0</v>
      </c>
      <c r="AU479" s="2">
        <v>0</v>
      </c>
      <c r="AV479" s="4"/>
      <c r="AW479" s="4"/>
      <c r="AX479" s="4"/>
    </row>
    <row r="480" spans="1:50" ht="15" x14ac:dyDescent="0.2">
      <c r="A480" s="3">
        <v>201030</v>
      </c>
      <c r="B480" s="1" t="s">
        <v>471</v>
      </c>
      <c r="C480" s="3">
        <v>1</v>
      </c>
      <c r="D480" s="3" t="s">
        <v>465</v>
      </c>
      <c r="E480" s="3">
        <v>3</v>
      </c>
      <c r="F480" s="3" t="s">
        <v>472</v>
      </c>
      <c r="G480" s="7" t="s">
        <v>395</v>
      </c>
      <c r="H480" s="3">
        <v>1007</v>
      </c>
      <c r="I480" s="3" t="s">
        <v>528</v>
      </c>
      <c r="J480" s="3">
        <v>38</v>
      </c>
      <c r="K480" s="3" t="s">
        <v>1522</v>
      </c>
      <c r="L480" s="3">
        <v>0</v>
      </c>
      <c r="M480" s="3" t="s">
        <v>1522</v>
      </c>
      <c r="N480" s="3" t="s">
        <v>528</v>
      </c>
      <c r="O480" s="10">
        <v>32198</v>
      </c>
      <c r="P480" s="10">
        <v>42948</v>
      </c>
      <c r="Q480" s="10"/>
      <c r="R480" s="10">
        <v>42948</v>
      </c>
      <c r="S480" s="23">
        <v>3507.98</v>
      </c>
      <c r="T480" s="3">
        <v>21073559</v>
      </c>
      <c r="U480" s="3">
        <v>28802250300187</v>
      </c>
      <c r="V480" s="4" t="s">
        <v>2540</v>
      </c>
      <c r="W480" s="4"/>
      <c r="X480" s="4" t="s">
        <v>2427</v>
      </c>
      <c r="Y480" s="4">
        <v>2005</v>
      </c>
      <c r="Z480" s="3">
        <f ca="1">DATEDIF(Table1[[#This Row],[تاريخ الميلاد]],TODAY(),"y")</f>
        <v>38</v>
      </c>
      <c r="AA48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5  شهر  26  يوم </v>
      </c>
      <c r="AB48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9عام0  شهر  19  يوم </v>
      </c>
      <c r="AC480" s="10">
        <f>DATE(YEAR(Table1[[#This Row],[تاريخ الميلاد]])+60,MONTH(Table1[[#This Row],[تاريخ الميلاد]]),DAY(Table1[[#This Row],[تاريخ الميلاد]]))</f>
        <v>54113</v>
      </c>
      <c r="AD480" s="14">
        <f>DATE(YEAR(Table1[[#This Row],[معاش 01/01]])-1,MONTH(Table1[[#This Row],[تاريخ بلوغ 60 ]]),DAY(Table1[[#This Row],[تاريخ بلوغ 60 ]]))</f>
        <v>54113</v>
      </c>
      <c r="AE48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54479</v>
      </c>
      <c r="AF480" s="10" t="str">
        <f>IFERROR(IF(ISODD(MID(Table1[[#This Row],[الرقم القومي]],13,1)),"ذكر","انثي"),"")</f>
        <v>انثي</v>
      </c>
      <c r="AG480" s="70" t="s">
        <v>2606</v>
      </c>
      <c r="AH480" s="3">
        <f>IF(MONTH(Table1[[#This Row],[تاريخ بلوغ 60 ]])&lt;&gt;1,1,0)</f>
        <v>1</v>
      </c>
      <c r="AI480" s="3">
        <f>IF(DAY(Table1[[#This Row],[تاريخ بلوغ 60 ]])&lt;&gt;1,1,0)</f>
        <v>1</v>
      </c>
      <c r="AJ480" s="4" t="s">
        <v>465</v>
      </c>
      <c r="AK480" s="4" t="s">
        <v>2636</v>
      </c>
      <c r="AL480" s="62" t="s">
        <v>2539</v>
      </c>
      <c r="AM480" s="62" t="s">
        <v>3148</v>
      </c>
      <c r="AN480" s="2">
        <v>0</v>
      </c>
      <c r="AO480" s="4" t="s">
        <v>2634</v>
      </c>
      <c r="AP480" s="74">
        <v>0</v>
      </c>
      <c r="AQ480" s="4">
        <v>0</v>
      </c>
      <c r="AR480" s="4">
        <v>0</v>
      </c>
      <c r="AS480" s="4" t="s">
        <v>2645</v>
      </c>
      <c r="AT480" s="72">
        <v>0</v>
      </c>
      <c r="AU480" s="2">
        <v>0</v>
      </c>
      <c r="AV480" s="4"/>
      <c r="AW480" s="4"/>
      <c r="AX480" s="4"/>
    </row>
    <row r="481" spans="1:50" ht="15" x14ac:dyDescent="0.2">
      <c r="A481" s="3">
        <v>201033</v>
      </c>
      <c r="B481" s="1" t="s">
        <v>471</v>
      </c>
      <c r="C481" s="3">
        <v>1</v>
      </c>
      <c r="D481" s="3" t="s">
        <v>465</v>
      </c>
      <c r="E481" s="3">
        <v>3</v>
      </c>
      <c r="F481" s="3" t="s">
        <v>472</v>
      </c>
      <c r="G481" s="7" t="s">
        <v>396</v>
      </c>
      <c r="H481" s="3">
        <v>1001</v>
      </c>
      <c r="I481" s="3" t="s">
        <v>522</v>
      </c>
      <c r="J481" s="3">
        <v>38</v>
      </c>
      <c r="K481" s="3" t="s">
        <v>1522</v>
      </c>
      <c r="L481" s="3">
        <v>0</v>
      </c>
      <c r="M481" s="3" t="s">
        <v>1522</v>
      </c>
      <c r="N481" s="3" t="s">
        <v>522</v>
      </c>
      <c r="O481" s="10">
        <v>30275</v>
      </c>
      <c r="P481" s="10">
        <v>42948</v>
      </c>
      <c r="Q481" s="10"/>
      <c r="R481" s="10">
        <v>42948</v>
      </c>
      <c r="S481" s="23">
        <v>3507.98</v>
      </c>
      <c r="T481" s="3">
        <v>68895508</v>
      </c>
      <c r="U481" s="3">
        <v>28211201202163</v>
      </c>
      <c r="V481" s="4" t="s">
        <v>2542</v>
      </c>
      <c r="W481" s="4"/>
      <c r="X481" s="4" t="s">
        <v>2427</v>
      </c>
      <c r="Y481" s="4">
        <v>1999</v>
      </c>
      <c r="Z481" s="3">
        <f ca="1">DATEDIF(Table1[[#This Row],[تاريخ الميلاد]],TODAY(),"y")</f>
        <v>43</v>
      </c>
      <c r="AA48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43 عام 9  شهر  0  يوم </v>
      </c>
      <c r="AB48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9عام0  شهر  19  يوم </v>
      </c>
      <c r="AC481" s="10">
        <f>DATE(YEAR(Table1[[#This Row],[تاريخ الميلاد]])+60,MONTH(Table1[[#This Row],[تاريخ الميلاد]]),DAY(Table1[[#This Row],[تاريخ الميلاد]]))</f>
        <v>52190</v>
      </c>
      <c r="AD481" s="14">
        <f>DATE(YEAR(Table1[[#This Row],[معاش 01/01]])-1,MONTH(Table1[[#This Row],[تاريخ بلوغ 60 ]]),DAY(Table1[[#This Row],[تاريخ بلوغ 60 ]]))</f>
        <v>52190</v>
      </c>
      <c r="AE48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52555</v>
      </c>
      <c r="AF481" s="10" t="str">
        <f>IFERROR(IF(ISODD(MID(Table1[[#This Row],[الرقم القومي]],13,1)),"ذكر","انثي"),"")</f>
        <v>انثي</v>
      </c>
      <c r="AG481" s="70" t="s">
        <v>1635</v>
      </c>
      <c r="AH481" s="3">
        <f>IF(MONTH(Table1[[#This Row],[تاريخ بلوغ 60 ]])&lt;&gt;1,1,0)</f>
        <v>1</v>
      </c>
      <c r="AI481" s="3">
        <f>IF(DAY(Table1[[#This Row],[تاريخ بلوغ 60 ]])&lt;&gt;1,1,0)</f>
        <v>1</v>
      </c>
      <c r="AJ481" s="4" t="s">
        <v>465</v>
      </c>
      <c r="AK481" s="4" t="s">
        <v>2636</v>
      </c>
      <c r="AL481" s="62" t="s">
        <v>2541</v>
      </c>
      <c r="AM481" s="62" t="s">
        <v>3149</v>
      </c>
      <c r="AN481" s="2">
        <v>0</v>
      </c>
      <c r="AO481" s="4" t="s">
        <v>2634</v>
      </c>
      <c r="AP481" s="74">
        <v>0</v>
      </c>
      <c r="AQ481" s="4">
        <v>0</v>
      </c>
      <c r="AR481" s="4">
        <v>0</v>
      </c>
      <c r="AS481" s="4" t="s">
        <v>2645</v>
      </c>
      <c r="AT481" s="72">
        <v>0</v>
      </c>
      <c r="AU481" s="2">
        <v>0</v>
      </c>
      <c r="AV481" s="4"/>
      <c r="AW481" s="4"/>
      <c r="AX481" s="4"/>
    </row>
    <row r="482" spans="1:50" ht="15" x14ac:dyDescent="0.2">
      <c r="A482" s="3">
        <v>201050</v>
      </c>
      <c r="B482" s="1" t="s">
        <v>471</v>
      </c>
      <c r="C482" s="3">
        <v>1</v>
      </c>
      <c r="D482" s="3" t="s">
        <v>465</v>
      </c>
      <c r="E482" s="3">
        <v>3</v>
      </c>
      <c r="F482" s="3" t="s">
        <v>472</v>
      </c>
      <c r="G482" s="7" t="s">
        <v>397</v>
      </c>
      <c r="H482" s="3">
        <v>1001</v>
      </c>
      <c r="I482" s="3" t="s">
        <v>522</v>
      </c>
      <c r="J482" s="3">
        <v>38</v>
      </c>
      <c r="K482" s="3" t="s">
        <v>1522</v>
      </c>
      <c r="L482" s="3">
        <v>0</v>
      </c>
      <c r="M482" s="3" t="s">
        <v>1522</v>
      </c>
      <c r="N482" s="3" t="s">
        <v>522</v>
      </c>
      <c r="O482" s="10">
        <v>32259</v>
      </c>
      <c r="P482" s="10">
        <v>42948</v>
      </c>
      <c r="Q482" s="10"/>
      <c r="R482" s="10">
        <v>42948</v>
      </c>
      <c r="S482" s="23">
        <v>3507.98</v>
      </c>
      <c r="T482" s="3">
        <v>29085168</v>
      </c>
      <c r="U482" s="3">
        <v>28804261200811</v>
      </c>
      <c r="V482" s="4" t="s">
        <v>2544</v>
      </c>
      <c r="W482" s="4"/>
      <c r="X482" s="4" t="s">
        <v>2427</v>
      </c>
      <c r="Y482" s="4">
        <v>2005</v>
      </c>
      <c r="Z482" s="3">
        <f ca="1">DATEDIF(Table1[[#This Row],[تاريخ الميلاد]],TODAY(),"y")</f>
        <v>38</v>
      </c>
      <c r="AA48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3  شهر  25  يوم </v>
      </c>
      <c r="AB48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9عام0  شهر  19  يوم </v>
      </c>
      <c r="AC482" s="10">
        <f>DATE(YEAR(Table1[[#This Row],[تاريخ الميلاد]])+60,MONTH(Table1[[#This Row],[تاريخ الميلاد]]),DAY(Table1[[#This Row],[تاريخ الميلاد]]))</f>
        <v>54174</v>
      </c>
      <c r="AD482" s="14">
        <f>DATE(YEAR(Table1[[#This Row],[معاش 01/01]])-1,MONTH(Table1[[#This Row],[تاريخ بلوغ 60 ]]),DAY(Table1[[#This Row],[تاريخ بلوغ 60 ]]))</f>
        <v>54174</v>
      </c>
      <c r="AE48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54539</v>
      </c>
      <c r="AF482" s="10" t="str">
        <f>IFERROR(IF(ISODD(MID(Table1[[#This Row],[الرقم القومي]],13,1)),"ذكر","انثي"),"")</f>
        <v>ذكر</v>
      </c>
      <c r="AG482" s="70" t="s">
        <v>1635</v>
      </c>
      <c r="AH482" s="3">
        <f>IF(MONTH(Table1[[#This Row],[تاريخ بلوغ 60 ]])&lt;&gt;1,1,0)</f>
        <v>1</v>
      </c>
      <c r="AI482" s="3">
        <f>IF(DAY(Table1[[#This Row],[تاريخ بلوغ 60 ]])&lt;&gt;1,1,0)</f>
        <v>1</v>
      </c>
      <c r="AJ482" s="4" t="s">
        <v>465</v>
      </c>
      <c r="AK482" s="4" t="s">
        <v>2770</v>
      </c>
      <c r="AL482" s="62" t="s">
        <v>2543</v>
      </c>
      <c r="AM482" s="62" t="s">
        <v>3150</v>
      </c>
      <c r="AN482" s="2">
        <v>0</v>
      </c>
      <c r="AO482" s="4" t="s">
        <v>2634</v>
      </c>
      <c r="AP482" s="74">
        <v>0</v>
      </c>
      <c r="AQ482" s="4">
        <v>0</v>
      </c>
      <c r="AR482" s="4">
        <v>0</v>
      </c>
      <c r="AS482" s="4" t="s">
        <v>2645</v>
      </c>
      <c r="AT482" s="72">
        <v>0</v>
      </c>
      <c r="AU482" s="2">
        <v>0</v>
      </c>
      <c r="AV482" s="4"/>
      <c r="AW482" s="4"/>
      <c r="AX482" s="4"/>
    </row>
    <row r="483" spans="1:50" ht="15" x14ac:dyDescent="0.2">
      <c r="A483" s="3">
        <v>201059</v>
      </c>
      <c r="B483" s="1" t="s">
        <v>471</v>
      </c>
      <c r="C483" s="3">
        <v>1</v>
      </c>
      <c r="D483" s="3" t="s">
        <v>465</v>
      </c>
      <c r="E483" s="3">
        <v>3</v>
      </c>
      <c r="F483" s="3" t="s">
        <v>472</v>
      </c>
      <c r="G483" s="7" t="s">
        <v>398</v>
      </c>
      <c r="H483" s="3">
        <v>1010</v>
      </c>
      <c r="I483" s="3" t="s">
        <v>531</v>
      </c>
      <c r="J483" s="3">
        <v>38</v>
      </c>
      <c r="K483" s="3" t="s">
        <v>1522</v>
      </c>
      <c r="L483" s="3">
        <v>0</v>
      </c>
      <c r="M483" s="3" t="s">
        <v>1522</v>
      </c>
      <c r="N483" s="3" t="s">
        <v>531</v>
      </c>
      <c r="O483" s="10">
        <v>27888</v>
      </c>
      <c r="P483" s="10">
        <v>42948</v>
      </c>
      <c r="Q483" s="10"/>
      <c r="R483" s="10">
        <v>42948</v>
      </c>
      <c r="S483" s="23">
        <v>3243.75</v>
      </c>
      <c r="T483" s="3">
        <v>30173230</v>
      </c>
      <c r="U483" s="3">
        <v>27605081201561</v>
      </c>
      <c r="V483" s="4" t="s">
        <v>2546</v>
      </c>
      <c r="W483" s="4"/>
      <c r="X483" s="4" t="s">
        <v>2450</v>
      </c>
      <c r="Y483" s="4">
        <v>1994</v>
      </c>
      <c r="Z483" s="3">
        <f ca="1">DATEDIF(Table1[[#This Row],[تاريخ الميلاد]],TODAY(),"y")</f>
        <v>50</v>
      </c>
      <c r="AA48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50 عام 3  شهر  12  يوم </v>
      </c>
      <c r="AB48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9عام0  شهر  19  يوم </v>
      </c>
      <c r="AC483" s="10">
        <f>DATE(YEAR(Table1[[#This Row],[تاريخ الميلاد]])+60,MONTH(Table1[[#This Row],[تاريخ الميلاد]]),DAY(Table1[[#This Row],[تاريخ الميلاد]]))</f>
        <v>49803</v>
      </c>
      <c r="AD483" s="14">
        <f>DATE(YEAR(Table1[[#This Row],[معاش 01/01]])-1,MONTH(Table1[[#This Row],[تاريخ بلوغ 60 ]]),DAY(Table1[[#This Row],[تاريخ بلوغ 60 ]]))</f>
        <v>49803</v>
      </c>
      <c r="AE48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50168</v>
      </c>
      <c r="AF483" s="10" t="str">
        <f>IFERROR(IF(ISODD(MID(Table1[[#This Row],[الرقم القومي]],13,1)),"ذكر","انثي"),"")</f>
        <v>انثي</v>
      </c>
      <c r="AG483" s="70" t="s">
        <v>1635</v>
      </c>
      <c r="AH483" s="3">
        <f>IF(MONTH(Table1[[#This Row],[تاريخ بلوغ 60 ]])&lt;&gt;1,1,0)</f>
        <v>1</v>
      </c>
      <c r="AI483" s="3">
        <f>IF(DAY(Table1[[#This Row],[تاريخ بلوغ 60 ]])&lt;&gt;1,1,0)</f>
        <v>1</v>
      </c>
      <c r="AJ483" s="4" t="s">
        <v>465</v>
      </c>
      <c r="AK483" s="4" t="s">
        <v>2689</v>
      </c>
      <c r="AL483" s="62" t="s">
        <v>2545</v>
      </c>
      <c r="AM483" s="62" t="s">
        <v>3151</v>
      </c>
      <c r="AN483" s="2">
        <v>0</v>
      </c>
      <c r="AO483" s="4" t="s">
        <v>2634</v>
      </c>
      <c r="AP483" s="74">
        <v>0</v>
      </c>
      <c r="AQ483" s="4">
        <v>0</v>
      </c>
      <c r="AR483" s="4">
        <v>7</v>
      </c>
      <c r="AS483" s="4" t="s">
        <v>2642</v>
      </c>
      <c r="AT483" s="72">
        <v>0</v>
      </c>
      <c r="AU483" s="2">
        <v>0</v>
      </c>
      <c r="AV483" s="4"/>
      <c r="AW483" s="4"/>
      <c r="AX483" s="4"/>
    </row>
    <row r="484" spans="1:50" ht="15" x14ac:dyDescent="0.2">
      <c r="A484" s="3">
        <v>201066</v>
      </c>
      <c r="B484" s="1" t="s">
        <v>471</v>
      </c>
      <c r="C484" s="3">
        <v>1</v>
      </c>
      <c r="D484" s="3" t="s">
        <v>465</v>
      </c>
      <c r="E484" s="3">
        <v>3</v>
      </c>
      <c r="F484" s="3" t="s">
        <v>472</v>
      </c>
      <c r="G484" s="7" t="s">
        <v>399</v>
      </c>
      <c r="H484" s="3">
        <v>1010</v>
      </c>
      <c r="I484" s="3" t="s">
        <v>531</v>
      </c>
      <c r="J484" s="3">
        <v>38</v>
      </c>
      <c r="K484" s="3" t="s">
        <v>1522</v>
      </c>
      <c r="L484" s="3">
        <v>0</v>
      </c>
      <c r="M484" s="3" t="s">
        <v>1522</v>
      </c>
      <c r="N484" s="3" t="s">
        <v>531</v>
      </c>
      <c r="O484" s="10">
        <v>31076</v>
      </c>
      <c r="P484" s="10">
        <v>42948</v>
      </c>
      <c r="Q484" s="10"/>
      <c r="R484" s="10">
        <v>42948</v>
      </c>
      <c r="S484" s="23">
        <v>3243.75</v>
      </c>
      <c r="T484" s="3">
        <v>52168249</v>
      </c>
      <c r="U484" s="3">
        <v>28501290300287</v>
      </c>
      <c r="V484" s="4" t="s">
        <v>2548</v>
      </c>
      <c r="W484" s="4"/>
      <c r="X484" s="4" t="s">
        <v>2450</v>
      </c>
      <c r="Y484" s="4">
        <v>2008</v>
      </c>
      <c r="Z484" s="3">
        <f ca="1">DATEDIF(Table1[[#This Row],[تاريخ الميلاد]],TODAY(),"y")</f>
        <v>41</v>
      </c>
      <c r="AA48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41 عام 6  شهر  22  يوم </v>
      </c>
      <c r="AB48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9عام0  شهر  19  يوم </v>
      </c>
      <c r="AC484" s="10">
        <f>DATE(YEAR(Table1[[#This Row],[تاريخ الميلاد]])+60,MONTH(Table1[[#This Row],[تاريخ الميلاد]]),DAY(Table1[[#This Row],[تاريخ الميلاد]]))</f>
        <v>52991</v>
      </c>
      <c r="AD484" s="14">
        <f>DATE(YEAR(Table1[[#This Row],[معاش 01/01]])-1,MONTH(Table1[[#This Row],[تاريخ بلوغ 60 ]]),DAY(Table1[[#This Row],[تاريخ بلوغ 60 ]]))</f>
        <v>52991</v>
      </c>
      <c r="AE48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53356</v>
      </c>
      <c r="AF484" s="10" t="str">
        <f>IFERROR(IF(ISODD(MID(Table1[[#This Row],[الرقم القومي]],13,1)),"ذكر","انثي"),"")</f>
        <v>انثي</v>
      </c>
      <c r="AG484" s="70" t="s">
        <v>2606</v>
      </c>
      <c r="AH484" s="3">
        <f>IF(MONTH(Table1[[#This Row],[تاريخ بلوغ 60 ]])&lt;&gt;1,1,0)</f>
        <v>0</v>
      </c>
      <c r="AI484" s="3">
        <f>IF(DAY(Table1[[#This Row],[تاريخ بلوغ 60 ]])&lt;&gt;1,1,0)</f>
        <v>1</v>
      </c>
      <c r="AJ484" s="4" t="s">
        <v>465</v>
      </c>
      <c r="AK484" s="4" t="s">
        <v>2636</v>
      </c>
      <c r="AL484" s="62" t="s">
        <v>2547</v>
      </c>
      <c r="AM484" s="62" t="s">
        <v>3152</v>
      </c>
      <c r="AN484" s="2">
        <v>0</v>
      </c>
      <c r="AO484" s="4" t="s">
        <v>2634</v>
      </c>
      <c r="AP484" s="74">
        <v>0</v>
      </c>
      <c r="AQ484" s="4">
        <v>0</v>
      </c>
      <c r="AR484" s="4">
        <v>7</v>
      </c>
      <c r="AS484" s="4" t="s">
        <v>2642</v>
      </c>
      <c r="AT484" s="72">
        <v>0</v>
      </c>
      <c r="AU484" s="2">
        <v>0</v>
      </c>
      <c r="AV484" s="4"/>
      <c r="AW484" s="4"/>
      <c r="AX484" s="4"/>
    </row>
    <row r="485" spans="1:50" ht="15" x14ac:dyDescent="0.2">
      <c r="A485" s="3">
        <v>201068</v>
      </c>
      <c r="B485" s="1" t="s">
        <v>471</v>
      </c>
      <c r="C485" s="3">
        <v>1</v>
      </c>
      <c r="D485" s="3" t="s">
        <v>465</v>
      </c>
      <c r="E485" s="3">
        <v>3</v>
      </c>
      <c r="F485" s="3" t="s">
        <v>472</v>
      </c>
      <c r="G485" s="7" t="s">
        <v>400</v>
      </c>
      <c r="H485" s="3">
        <v>1007</v>
      </c>
      <c r="I485" s="3" t="s">
        <v>528</v>
      </c>
      <c r="J485" s="3">
        <v>38</v>
      </c>
      <c r="K485" s="3" t="s">
        <v>1522</v>
      </c>
      <c r="L485" s="3">
        <v>0</v>
      </c>
      <c r="M485" s="3" t="s">
        <v>1522</v>
      </c>
      <c r="N485" s="3" t="s">
        <v>528</v>
      </c>
      <c r="O485" s="10">
        <v>30565</v>
      </c>
      <c r="P485" s="10">
        <v>42948</v>
      </c>
      <c r="Q485" s="10"/>
      <c r="R485" s="10">
        <v>42948</v>
      </c>
      <c r="S485" s="23">
        <v>3507.98</v>
      </c>
      <c r="T485" s="3">
        <v>30522537</v>
      </c>
      <c r="U485" s="3">
        <v>28309060300239</v>
      </c>
      <c r="V485" s="4" t="s">
        <v>2550</v>
      </c>
      <c r="W485" s="4"/>
      <c r="X485" s="4" t="s">
        <v>2427</v>
      </c>
      <c r="Y485" s="4">
        <v>1990</v>
      </c>
      <c r="Z485" s="3">
        <f ca="1">DATEDIF(Table1[[#This Row],[تاريخ الميلاد]],TODAY(),"y")</f>
        <v>42</v>
      </c>
      <c r="AA48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42 عام 11  شهر  14  يوم </v>
      </c>
      <c r="AB48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9عام0  شهر  19  يوم </v>
      </c>
      <c r="AC485" s="10">
        <f>DATE(YEAR(Table1[[#This Row],[تاريخ الميلاد]])+60,MONTH(Table1[[#This Row],[تاريخ الميلاد]]),DAY(Table1[[#This Row],[تاريخ الميلاد]]))</f>
        <v>52480</v>
      </c>
      <c r="AD485" s="14">
        <f>DATE(YEAR(Table1[[#This Row],[معاش 01/01]])-1,MONTH(Table1[[#This Row],[تاريخ بلوغ 60 ]]),DAY(Table1[[#This Row],[تاريخ بلوغ 60 ]]))</f>
        <v>52480</v>
      </c>
      <c r="AE48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52846</v>
      </c>
      <c r="AF485" s="10" t="str">
        <f>IFERROR(IF(ISODD(MID(Table1[[#This Row],[الرقم القومي]],13,1)),"ذكر","انثي"),"")</f>
        <v>ذكر</v>
      </c>
      <c r="AG485" s="70" t="s">
        <v>2606</v>
      </c>
      <c r="AH485" s="3">
        <f>IF(MONTH(Table1[[#This Row],[تاريخ بلوغ 60 ]])&lt;&gt;1,1,0)</f>
        <v>1</v>
      </c>
      <c r="AI485" s="3">
        <f>IF(DAY(Table1[[#This Row],[تاريخ بلوغ 60 ]])&lt;&gt;1,1,0)</f>
        <v>1</v>
      </c>
      <c r="AJ485" s="4" t="s">
        <v>465</v>
      </c>
      <c r="AK485" s="4" t="s">
        <v>2636</v>
      </c>
      <c r="AL485" s="62" t="s">
        <v>2549</v>
      </c>
      <c r="AM485" s="62" t="s">
        <v>3153</v>
      </c>
      <c r="AN485" s="2">
        <v>0</v>
      </c>
      <c r="AO485" s="4" t="s">
        <v>2634</v>
      </c>
      <c r="AP485" s="74">
        <v>0</v>
      </c>
      <c r="AQ485" s="4">
        <v>0</v>
      </c>
      <c r="AR485" s="4">
        <v>2</v>
      </c>
      <c r="AS485" s="4" t="s">
        <v>2696</v>
      </c>
      <c r="AT485" s="72">
        <v>4</v>
      </c>
      <c r="AU485" s="2">
        <v>0</v>
      </c>
      <c r="AV485" s="4"/>
      <c r="AW485" s="4"/>
      <c r="AX485" s="4"/>
    </row>
    <row r="486" spans="1:50" ht="15" x14ac:dyDescent="0.2">
      <c r="A486" s="3">
        <v>201071</v>
      </c>
      <c r="B486" s="1" t="s">
        <v>471</v>
      </c>
      <c r="C486" s="3">
        <v>1</v>
      </c>
      <c r="D486" s="3" t="s">
        <v>465</v>
      </c>
      <c r="E486" s="3">
        <v>3</v>
      </c>
      <c r="F486" s="3" t="s">
        <v>472</v>
      </c>
      <c r="G486" s="7" t="s">
        <v>401</v>
      </c>
      <c r="H486" s="3">
        <v>1007</v>
      </c>
      <c r="I486" s="3" t="s">
        <v>528</v>
      </c>
      <c r="J486" s="3">
        <v>38</v>
      </c>
      <c r="K486" s="3" t="s">
        <v>1522</v>
      </c>
      <c r="L486" s="3">
        <v>0</v>
      </c>
      <c r="M486" s="3" t="s">
        <v>1522</v>
      </c>
      <c r="N486" s="3" t="s">
        <v>528</v>
      </c>
      <c r="O486" s="10">
        <v>31377</v>
      </c>
      <c r="P486" s="10">
        <v>42948</v>
      </c>
      <c r="Q486" s="10"/>
      <c r="R486" s="10">
        <v>42948</v>
      </c>
      <c r="S486" s="23">
        <v>3507.98</v>
      </c>
      <c r="T486" s="3">
        <v>66343812</v>
      </c>
      <c r="U486" s="3">
        <v>28511260300041</v>
      </c>
      <c r="V486" s="4" t="s">
        <v>2552</v>
      </c>
      <c r="W486" s="4"/>
      <c r="X486" s="4" t="s">
        <v>2427</v>
      </c>
      <c r="Y486" s="4">
        <v>2003</v>
      </c>
      <c r="Z486" s="3">
        <f ca="1">DATEDIF(Table1[[#This Row],[تاريخ الميلاد]],TODAY(),"y")</f>
        <v>40</v>
      </c>
      <c r="AA48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40 عام 8  شهر  25  يوم </v>
      </c>
      <c r="AB48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9عام0  شهر  19  يوم </v>
      </c>
      <c r="AC486" s="10">
        <f>DATE(YEAR(Table1[[#This Row],[تاريخ الميلاد]])+60,MONTH(Table1[[#This Row],[تاريخ الميلاد]]),DAY(Table1[[#This Row],[تاريخ الميلاد]]))</f>
        <v>53292</v>
      </c>
      <c r="AD486" s="14">
        <f>DATE(YEAR(Table1[[#This Row],[معاش 01/01]])-1,MONTH(Table1[[#This Row],[تاريخ بلوغ 60 ]]),DAY(Table1[[#This Row],[تاريخ بلوغ 60 ]]))</f>
        <v>53292</v>
      </c>
      <c r="AE48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53657</v>
      </c>
      <c r="AF486" s="10" t="str">
        <f>IFERROR(IF(ISODD(MID(Table1[[#This Row],[الرقم القومي]],13,1)),"ذكر","انثي"),"")</f>
        <v>انثي</v>
      </c>
      <c r="AG486" s="70" t="s">
        <v>2606</v>
      </c>
      <c r="AH486" s="3">
        <f>IF(MONTH(Table1[[#This Row],[تاريخ بلوغ 60 ]])&lt;&gt;1,1,0)</f>
        <v>1</v>
      </c>
      <c r="AI486" s="3">
        <f>IF(DAY(Table1[[#This Row],[تاريخ بلوغ 60 ]])&lt;&gt;1,1,0)</f>
        <v>1</v>
      </c>
      <c r="AJ486" s="4" t="s">
        <v>465</v>
      </c>
      <c r="AK486" s="4" t="s">
        <v>2636</v>
      </c>
      <c r="AL486" s="62" t="s">
        <v>2551</v>
      </c>
      <c r="AM486" s="62" t="s">
        <v>3154</v>
      </c>
      <c r="AN486" s="2">
        <v>0</v>
      </c>
      <c r="AO486" s="4" t="s">
        <v>2634</v>
      </c>
      <c r="AP486" s="74">
        <v>0</v>
      </c>
      <c r="AQ486" s="4">
        <v>0</v>
      </c>
      <c r="AR486" s="4">
        <v>0</v>
      </c>
      <c r="AS486" s="4" t="s">
        <v>2645</v>
      </c>
      <c r="AT486" s="72">
        <v>0</v>
      </c>
      <c r="AU486" s="2">
        <v>0</v>
      </c>
      <c r="AV486" s="4"/>
      <c r="AW486" s="4"/>
      <c r="AX486" s="4"/>
    </row>
    <row r="487" spans="1:50" ht="15" x14ac:dyDescent="0.2">
      <c r="A487" s="3">
        <v>201074</v>
      </c>
      <c r="B487" s="1" t="s">
        <v>471</v>
      </c>
      <c r="C487" s="3">
        <v>1</v>
      </c>
      <c r="D487" s="3" t="s">
        <v>465</v>
      </c>
      <c r="E487" s="3">
        <v>3</v>
      </c>
      <c r="F487" s="3" t="s">
        <v>472</v>
      </c>
      <c r="G487" s="7" t="s">
        <v>402</v>
      </c>
      <c r="H487" s="3">
        <v>1007</v>
      </c>
      <c r="I487" s="3" t="s">
        <v>528</v>
      </c>
      <c r="J487" s="3">
        <v>38</v>
      </c>
      <c r="K487" s="3" t="s">
        <v>1522</v>
      </c>
      <c r="L487" s="3">
        <v>0</v>
      </c>
      <c r="M487" s="3" t="s">
        <v>1522</v>
      </c>
      <c r="N487" s="3" t="s">
        <v>528</v>
      </c>
      <c r="O487" s="10">
        <v>31727</v>
      </c>
      <c r="P487" s="10">
        <v>42948</v>
      </c>
      <c r="Q487" s="10"/>
      <c r="R487" s="10">
        <v>42948</v>
      </c>
      <c r="S487" s="23">
        <v>3507.98</v>
      </c>
      <c r="T487" s="3">
        <v>5890639</v>
      </c>
      <c r="U487" s="3">
        <v>28611110300306</v>
      </c>
      <c r="V487" s="4" t="s">
        <v>2554</v>
      </c>
      <c r="W487" s="4"/>
      <c r="X487" s="4" t="s">
        <v>2427</v>
      </c>
      <c r="Y487" s="4">
        <v>2004</v>
      </c>
      <c r="Z487" s="3">
        <f ca="1">DATEDIF(Table1[[#This Row],[تاريخ الميلاد]],TODAY(),"y")</f>
        <v>39</v>
      </c>
      <c r="AA48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39 عام 9  شهر  9  يوم </v>
      </c>
      <c r="AB48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9عام0  شهر  19  يوم </v>
      </c>
      <c r="AC487" s="10">
        <f>DATE(YEAR(Table1[[#This Row],[تاريخ الميلاد]])+60,MONTH(Table1[[#This Row],[تاريخ الميلاد]]),DAY(Table1[[#This Row],[تاريخ الميلاد]]))</f>
        <v>53642</v>
      </c>
      <c r="AD487" s="14">
        <f>DATE(YEAR(Table1[[#This Row],[معاش 01/01]])-1,MONTH(Table1[[#This Row],[تاريخ بلوغ 60 ]]),DAY(Table1[[#This Row],[تاريخ بلوغ 60 ]]))</f>
        <v>53642</v>
      </c>
      <c r="AE48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54007</v>
      </c>
      <c r="AF487" s="10" t="str">
        <f>IFERROR(IF(ISODD(MID(Table1[[#This Row],[الرقم القومي]],13,1)),"ذكر","انثي"),"")</f>
        <v>انثي</v>
      </c>
      <c r="AG487" s="70" t="s">
        <v>2606</v>
      </c>
      <c r="AH487" s="3">
        <f>IF(MONTH(Table1[[#This Row],[تاريخ بلوغ 60 ]])&lt;&gt;1,1,0)</f>
        <v>1</v>
      </c>
      <c r="AI487" s="3">
        <f>IF(DAY(Table1[[#This Row],[تاريخ بلوغ 60 ]])&lt;&gt;1,1,0)</f>
        <v>1</v>
      </c>
      <c r="AJ487" s="4" t="s">
        <v>465</v>
      </c>
      <c r="AK487" s="4" t="s">
        <v>2636</v>
      </c>
      <c r="AL487" s="62" t="s">
        <v>2553</v>
      </c>
      <c r="AM487" s="62" t="s">
        <v>3155</v>
      </c>
      <c r="AN487" s="2">
        <v>0</v>
      </c>
      <c r="AO487" s="4" t="s">
        <v>2634</v>
      </c>
      <c r="AP487" s="74">
        <v>0</v>
      </c>
      <c r="AQ487" s="4">
        <v>0</v>
      </c>
      <c r="AR487" s="4">
        <v>0</v>
      </c>
      <c r="AS487" s="4" t="s">
        <v>2645</v>
      </c>
      <c r="AT487" s="72">
        <v>0</v>
      </c>
      <c r="AU487" s="2">
        <v>0</v>
      </c>
      <c r="AV487" s="4"/>
      <c r="AW487" s="4"/>
      <c r="AX487" s="4"/>
    </row>
    <row r="488" spans="1:50" ht="15" x14ac:dyDescent="0.2">
      <c r="A488" s="3">
        <v>201153</v>
      </c>
      <c r="B488" s="1" t="s">
        <v>471</v>
      </c>
      <c r="C488" s="3">
        <v>1</v>
      </c>
      <c r="D488" s="3" t="s">
        <v>465</v>
      </c>
      <c r="E488" s="3">
        <v>21</v>
      </c>
      <c r="F488" s="3" t="s">
        <v>474</v>
      </c>
      <c r="G488" s="7" t="s">
        <v>403</v>
      </c>
      <c r="H488" s="3">
        <v>1011</v>
      </c>
      <c r="I488" s="3" t="s">
        <v>532</v>
      </c>
      <c r="J488" s="3">
        <v>38</v>
      </c>
      <c r="K488" s="3" t="s">
        <v>1522</v>
      </c>
      <c r="L488" s="3">
        <v>0</v>
      </c>
      <c r="M488" s="3" t="s">
        <v>1522</v>
      </c>
      <c r="N488" s="3" t="s">
        <v>532</v>
      </c>
      <c r="O488" s="10">
        <v>27742</v>
      </c>
      <c r="P488" s="10">
        <v>43226</v>
      </c>
      <c r="Q488" s="10"/>
      <c r="R488" s="10">
        <v>43226</v>
      </c>
      <c r="S488" s="23">
        <v>3507.98</v>
      </c>
      <c r="T488" s="3">
        <v>6597438</v>
      </c>
      <c r="U488" s="3">
        <v>27512141201134</v>
      </c>
      <c r="V488" s="4" t="s">
        <v>2556</v>
      </c>
      <c r="W488" s="4"/>
      <c r="X488" s="4" t="s">
        <v>2427</v>
      </c>
      <c r="Y488" s="4">
        <v>1988</v>
      </c>
      <c r="Z488" s="3">
        <f ca="1">DATEDIF(Table1[[#This Row],[تاريخ الميلاد]],TODAY(),"y")</f>
        <v>50</v>
      </c>
      <c r="AA48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50 عام 8  شهر  6  يوم </v>
      </c>
      <c r="AB48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8عام3  شهر  14  يوم </v>
      </c>
      <c r="AC488" s="10">
        <f>DATE(YEAR(Table1[[#This Row],[تاريخ الميلاد]])+60,MONTH(Table1[[#This Row],[تاريخ الميلاد]]),DAY(Table1[[#This Row],[تاريخ الميلاد]]))</f>
        <v>49657</v>
      </c>
      <c r="AD488" s="14">
        <f>DATE(YEAR(Table1[[#This Row],[معاش 01/01]])-1,MONTH(Table1[[#This Row],[تاريخ بلوغ 60 ]]),DAY(Table1[[#This Row],[تاريخ بلوغ 60 ]]))</f>
        <v>49657</v>
      </c>
      <c r="AE48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50023</v>
      </c>
      <c r="AF488" s="10" t="str">
        <f>IFERROR(IF(ISODD(MID(Table1[[#This Row],[الرقم القومي]],13,1)),"ذكر","انثي"),"")</f>
        <v>ذكر</v>
      </c>
      <c r="AG488" s="70" t="s">
        <v>1635</v>
      </c>
      <c r="AH488" s="3">
        <f>IF(MONTH(Table1[[#This Row],[تاريخ بلوغ 60 ]])&lt;&gt;1,1,0)</f>
        <v>1</v>
      </c>
      <c r="AI488" s="3">
        <f>IF(DAY(Table1[[#This Row],[تاريخ بلوغ 60 ]])&lt;&gt;1,1,0)</f>
        <v>1</v>
      </c>
      <c r="AJ488" s="4" t="s">
        <v>465</v>
      </c>
      <c r="AK488" s="4" t="s">
        <v>2666</v>
      </c>
      <c r="AL488" s="62" t="s">
        <v>2555</v>
      </c>
      <c r="AM488" s="62" t="s">
        <v>3156</v>
      </c>
      <c r="AN488" s="2">
        <v>0</v>
      </c>
      <c r="AO488" s="4" t="s">
        <v>2634</v>
      </c>
      <c r="AP488" s="74">
        <v>0</v>
      </c>
      <c r="AQ488" s="4">
        <v>0</v>
      </c>
      <c r="AR488" s="4">
        <v>6</v>
      </c>
      <c r="AS488" s="4" t="s">
        <v>3099</v>
      </c>
      <c r="AT488" s="72">
        <v>4</v>
      </c>
      <c r="AU488" s="2">
        <v>0</v>
      </c>
      <c r="AV488" s="4"/>
      <c r="AW488" s="4"/>
      <c r="AX488" s="4"/>
    </row>
    <row r="489" spans="1:50" ht="15" x14ac:dyDescent="0.2">
      <c r="A489" s="3">
        <v>201158</v>
      </c>
      <c r="B489" s="1" t="s">
        <v>471</v>
      </c>
      <c r="C489" s="3">
        <v>1</v>
      </c>
      <c r="D489" s="3" t="s">
        <v>465</v>
      </c>
      <c r="E489" s="3">
        <v>21</v>
      </c>
      <c r="F489" s="3" t="s">
        <v>474</v>
      </c>
      <c r="G489" s="7" t="s">
        <v>404</v>
      </c>
      <c r="H489" s="3">
        <v>1011</v>
      </c>
      <c r="I489" s="3" t="s">
        <v>532</v>
      </c>
      <c r="J489" s="3">
        <v>38</v>
      </c>
      <c r="K489" s="3" t="s">
        <v>1522</v>
      </c>
      <c r="L489" s="3">
        <v>0</v>
      </c>
      <c r="M489" s="3" t="s">
        <v>1522</v>
      </c>
      <c r="N489" s="3" t="s">
        <v>532</v>
      </c>
      <c r="O489" s="10">
        <v>31479</v>
      </c>
      <c r="P489" s="10">
        <v>43226</v>
      </c>
      <c r="Q489" s="10"/>
      <c r="R489" s="10">
        <v>43226</v>
      </c>
      <c r="S489" s="23">
        <v>3507.98</v>
      </c>
      <c r="T489" s="3">
        <v>4785121</v>
      </c>
      <c r="U489" s="3">
        <v>28603080300311</v>
      </c>
      <c r="V489" s="4" t="s">
        <v>2558</v>
      </c>
      <c r="W489" s="4"/>
      <c r="X489" s="4" t="s">
        <v>2427</v>
      </c>
      <c r="Y489" s="4">
        <v>2003</v>
      </c>
      <c r="Z489" s="3">
        <f ca="1">DATEDIF(Table1[[#This Row],[تاريخ الميلاد]],TODAY(),"y")</f>
        <v>40</v>
      </c>
      <c r="AA48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40 عام 5  شهر  12  يوم </v>
      </c>
      <c r="AB48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8عام3  شهر  14  يوم </v>
      </c>
      <c r="AC489" s="10">
        <f>DATE(YEAR(Table1[[#This Row],[تاريخ الميلاد]])+60,MONTH(Table1[[#This Row],[تاريخ الميلاد]]),DAY(Table1[[#This Row],[تاريخ الميلاد]]))</f>
        <v>53394</v>
      </c>
      <c r="AD489" s="14">
        <f>DATE(YEAR(Table1[[#This Row],[معاش 01/01]])-1,MONTH(Table1[[#This Row],[تاريخ بلوغ 60 ]]),DAY(Table1[[#This Row],[تاريخ بلوغ 60 ]]))</f>
        <v>53394</v>
      </c>
      <c r="AE48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53759</v>
      </c>
      <c r="AF489" s="10" t="str">
        <f>IFERROR(IF(ISODD(MID(Table1[[#This Row],[الرقم القومي]],13,1)),"ذكر","انثي"),"")</f>
        <v>ذكر</v>
      </c>
      <c r="AG489" s="70" t="s">
        <v>2606</v>
      </c>
      <c r="AH489" s="3">
        <f>IF(MONTH(Table1[[#This Row],[تاريخ بلوغ 60 ]])&lt;&gt;1,1,0)</f>
        <v>1</v>
      </c>
      <c r="AI489" s="3">
        <f>IF(DAY(Table1[[#This Row],[تاريخ بلوغ 60 ]])&lt;&gt;1,1,0)</f>
        <v>1</v>
      </c>
      <c r="AJ489" s="4" t="s">
        <v>465</v>
      </c>
      <c r="AK489" s="4" t="s">
        <v>2689</v>
      </c>
      <c r="AL489" s="62" t="s">
        <v>2557</v>
      </c>
      <c r="AM489" s="62" t="s">
        <v>3157</v>
      </c>
      <c r="AN489" s="2">
        <v>0</v>
      </c>
      <c r="AO489" s="4" t="s">
        <v>2634</v>
      </c>
      <c r="AP489" s="74">
        <v>0</v>
      </c>
      <c r="AQ489" s="4">
        <v>0</v>
      </c>
      <c r="AR489" s="4">
        <v>3</v>
      </c>
      <c r="AS489" s="4" t="s">
        <v>2668</v>
      </c>
      <c r="AT489" s="72">
        <v>6</v>
      </c>
      <c r="AU489" s="2">
        <v>0</v>
      </c>
      <c r="AV489" s="4"/>
      <c r="AW489" s="4"/>
      <c r="AX489" s="4"/>
    </row>
    <row r="490" spans="1:50" ht="15" x14ac:dyDescent="0.2">
      <c r="A490" s="3">
        <v>201160</v>
      </c>
      <c r="B490" s="1" t="s">
        <v>471</v>
      </c>
      <c r="C490" s="3">
        <v>1</v>
      </c>
      <c r="D490" s="3" t="s">
        <v>465</v>
      </c>
      <c r="E490" s="3">
        <v>21</v>
      </c>
      <c r="F490" s="3" t="s">
        <v>474</v>
      </c>
      <c r="G490" s="7" t="s">
        <v>405</v>
      </c>
      <c r="H490" s="3">
        <v>1011</v>
      </c>
      <c r="I490" s="3" t="s">
        <v>532</v>
      </c>
      <c r="J490" s="3">
        <v>38</v>
      </c>
      <c r="K490" s="3" t="s">
        <v>1522</v>
      </c>
      <c r="L490" s="3">
        <v>0</v>
      </c>
      <c r="M490" s="3" t="s">
        <v>1522</v>
      </c>
      <c r="N490" s="3" t="s">
        <v>532</v>
      </c>
      <c r="O490" s="10">
        <v>29784</v>
      </c>
      <c r="P490" s="10">
        <v>43226</v>
      </c>
      <c r="Q490" s="10"/>
      <c r="R490" s="10">
        <v>43226</v>
      </c>
      <c r="S490" s="23">
        <v>3507.98</v>
      </c>
      <c r="T490" s="3">
        <v>17559186</v>
      </c>
      <c r="U490" s="3">
        <v>28107170300356</v>
      </c>
      <c r="V490" s="4" t="s">
        <v>2560</v>
      </c>
      <c r="W490" s="4"/>
      <c r="X490" s="4" t="s">
        <v>2427</v>
      </c>
      <c r="Y490" s="4">
        <v>1999</v>
      </c>
      <c r="Z490" s="3">
        <f ca="1">DATEDIF(Table1[[#This Row],[تاريخ الميلاد]],TODAY(),"y")</f>
        <v>45</v>
      </c>
      <c r="AA49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45 عام 1  شهر  3  يوم </v>
      </c>
      <c r="AB49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8عام3  شهر  14  يوم </v>
      </c>
      <c r="AC490" s="10">
        <f>DATE(YEAR(Table1[[#This Row],[تاريخ الميلاد]])+60,MONTH(Table1[[#This Row],[تاريخ الميلاد]]),DAY(Table1[[#This Row],[تاريخ الميلاد]]))</f>
        <v>51699</v>
      </c>
      <c r="AD490" s="14">
        <f>DATE(YEAR(Table1[[#This Row],[معاش 01/01]])-1,MONTH(Table1[[#This Row],[تاريخ بلوغ 60 ]]),DAY(Table1[[#This Row],[تاريخ بلوغ 60 ]]))</f>
        <v>51699</v>
      </c>
      <c r="AE49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52064</v>
      </c>
      <c r="AF490" s="10" t="str">
        <f>IFERROR(IF(ISODD(MID(Table1[[#This Row],[الرقم القومي]],13,1)),"ذكر","انثي"),"")</f>
        <v>ذكر</v>
      </c>
      <c r="AG490" s="70" t="s">
        <v>2606</v>
      </c>
      <c r="AH490" s="3">
        <f>IF(MONTH(Table1[[#This Row],[تاريخ بلوغ 60 ]])&lt;&gt;1,1,0)</f>
        <v>1</v>
      </c>
      <c r="AI490" s="3">
        <f>IF(DAY(Table1[[#This Row],[تاريخ بلوغ 60 ]])&lt;&gt;1,1,0)</f>
        <v>1</v>
      </c>
      <c r="AJ490" s="4" t="s">
        <v>465</v>
      </c>
      <c r="AK490" s="4" t="s">
        <v>3159</v>
      </c>
      <c r="AL490" s="62" t="s">
        <v>2559</v>
      </c>
      <c r="AM490" s="62" t="s">
        <v>3158</v>
      </c>
      <c r="AN490" s="2">
        <v>0</v>
      </c>
      <c r="AO490" s="4" t="s">
        <v>2634</v>
      </c>
      <c r="AP490" s="74">
        <v>0</v>
      </c>
      <c r="AQ490" s="4">
        <v>0</v>
      </c>
      <c r="AR490" s="4">
        <v>3</v>
      </c>
      <c r="AS490" s="4" t="s">
        <v>2668</v>
      </c>
      <c r="AT490" s="72">
        <v>6</v>
      </c>
      <c r="AU490" s="2">
        <v>0</v>
      </c>
      <c r="AV490" s="4"/>
      <c r="AW490" s="4"/>
      <c r="AX490" s="4"/>
    </row>
    <row r="491" spans="1:50" ht="15" x14ac:dyDescent="0.2">
      <c r="A491" s="3">
        <v>201161</v>
      </c>
      <c r="B491" s="1" t="s">
        <v>471</v>
      </c>
      <c r="C491" s="3">
        <v>1</v>
      </c>
      <c r="D491" s="3" t="s">
        <v>465</v>
      </c>
      <c r="E491" s="3">
        <v>3</v>
      </c>
      <c r="F491" s="3" t="s">
        <v>472</v>
      </c>
      <c r="G491" s="7" t="s">
        <v>406</v>
      </c>
      <c r="H491" s="3">
        <v>1007</v>
      </c>
      <c r="I491" s="3" t="s">
        <v>528</v>
      </c>
      <c r="J491" s="3">
        <v>18</v>
      </c>
      <c r="K491" s="3" t="s">
        <v>1529</v>
      </c>
      <c r="L491" s="3">
        <v>0</v>
      </c>
      <c r="M491" s="3" t="s">
        <v>1522</v>
      </c>
      <c r="N491" s="3" t="s">
        <v>528</v>
      </c>
      <c r="O491" s="10">
        <v>32561</v>
      </c>
      <c r="P491" s="10">
        <v>43226</v>
      </c>
      <c r="Q491" s="10"/>
      <c r="R491" s="10">
        <v>43226</v>
      </c>
      <c r="S491" s="23">
        <v>3507.98</v>
      </c>
      <c r="T491" s="3">
        <v>22305144</v>
      </c>
      <c r="U491" s="3">
        <v>28902220300144</v>
      </c>
      <c r="V491" s="4" t="s">
        <v>2562</v>
      </c>
      <c r="W491" s="4"/>
      <c r="X491" s="4" t="s">
        <v>2427</v>
      </c>
      <c r="Y491" s="4">
        <v>2006</v>
      </c>
      <c r="Z491" s="3">
        <f ca="1">DATEDIF(Table1[[#This Row],[تاريخ الميلاد]],TODAY(),"y")</f>
        <v>37</v>
      </c>
      <c r="AA49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37 عام 5  شهر  29  يوم </v>
      </c>
      <c r="AB49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8عام3  شهر  14  يوم </v>
      </c>
      <c r="AC491" s="10">
        <f>DATE(YEAR(Table1[[#This Row],[تاريخ الميلاد]])+60,MONTH(Table1[[#This Row],[تاريخ الميلاد]]),DAY(Table1[[#This Row],[تاريخ الميلاد]]))</f>
        <v>54476</v>
      </c>
      <c r="AD491" s="14">
        <f>DATE(YEAR(Table1[[#This Row],[معاش 01/01]])-1,MONTH(Table1[[#This Row],[تاريخ بلوغ 60 ]]),DAY(Table1[[#This Row],[تاريخ بلوغ 60 ]]))</f>
        <v>54476</v>
      </c>
      <c r="AE49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54841</v>
      </c>
      <c r="AF491" s="10" t="str">
        <f>IFERROR(IF(ISODD(MID(Table1[[#This Row],[الرقم القومي]],13,1)),"ذكر","انثي"),"")</f>
        <v>انثي</v>
      </c>
      <c r="AG491" s="70" t="s">
        <v>2606</v>
      </c>
      <c r="AH491" s="3">
        <f>IF(MONTH(Table1[[#This Row],[تاريخ بلوغ 60 ]])&lt;&gt;1,1,0)</f>
        <v>1</v>
      </c>
      <c r="AI491" s="3">
        <f>IF(DAY(Table1[[#This Row],[تاريخ بلوغ 60 ]])&lt;&gt;1,1,0)</f>
        <v>1</v>
      </c>
      <c r="AJ491" s="4" t="s">
        <v>465</v>
      </c>
      <c r="AK491" s="4">
        <v>0</v>
      </c>
      <c r="AL491" s="62" t="s">
        <v>2561</v>
      </c>
      <c r="AM491" s="62" t="s">
        <v>3160</v>
      </c>
      <c r="AN491" s="2">
        <v>0</v>
      </c>
      <c r="AO491" s="4" t="s">
        <v>2634</v>
      </c>
      <c r="AP491" s="74">
        <v>0</v>
      </c>
      <c r="AQ491" s="4">
        <v>0</v>
      </c>
      <c r="AR491" s="4">
        <v>7</v>
      </c>
      <c r="AS491" s="4" t="s">
        <v>2642</v>
      </c>
      <c r="AT491" s="72">
        <v>0</v>
      </c>
      <c r="AU491" s="2">
        <v>0</v>
      </c>
      <c r="AV491" s="4"/>
      <c r="AW491" s="4"/>
      <c r="AX491" s="4"/>
    </row>
    <row r="492" spans="1:50" ht="15" x14ac:dyDescent="0.2">
      <c r="A492" s="3">
        <v>201166</v>
      </c>
      <c r="B492" s="1" t="s">
        <v>471</v>
      </c>
      <c r="C492" s="3">
        <v>1</v>
      </c>
      <c r="D492" s="3" t="s">
        <v>465</v>
      </c>
      <c r="E492" s="3">
        <v>21</v>
      </c>
      <c r="F492" s="3" t="s">
        <v>474</v>
      </c>
      <c r="G492" s="7" t="s">
        <v>407</v>
      </c>
      <c r="H492" s="3">
        <v>1011</v>
      </c>
      <c r="I492" s="3" t="s">
        <v>532</v>
      </c>
      <c r="J492" s="3">
        <v>38</v>
      </c>
      <c r="K492" s="3" t="s">
        <v>1522</v>
      </c>
      <c r="L492" s="3">
        <v>0</v>
      </c>
      <c r="M492" s="3" t="s">
        <v>1522</v>
      </c>
      <c r="N492" s="3" t="s">
        <v>532</v>
      </c>
      <c r="O492" s="10">
        <v>27864</v>
      </c>
      <c r="P492" s="10">
        <v>43226</v>
      </c>
      <c r="Q492" s="10"/>
      <c r="R492" s="10">
        <v>43226</v>
      </c>
      <c r="S492" s="23">
        <v>3507.98</v>
      </c>
      <c r="T492" s="3">
        <v>12099034</v>
      </c>
      <c r="U492" s="3">
        <v>27604140300211</v>
      </c>
      <c r="V492" s="4" t="s">
        <v>2564</v>
      </c>
      <c r="W492" s="4"/>
      <c r="X492" s="4" t="s">
        <v>2427</v>
      </c>
      <c r="Y492" s="4">
        <v>1993</v>
      </c>
      <c r="Z492" s="3">
        <f ca="1">DATEDIF(Table1[[#This Row],[تاريخ الميلاد]],TODAY(),"y")</f>
        <v>50</v>
      </c>
      <c r="AA49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50 عام 4  شهر  6  يوم </v>
      </c>
      <c r="AB49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8عام3  شهر  14  يوم </v>
      </c>
      <c r="AC492" s="10">
        <f>DATE(YEAR(Table1[[#This Row],[تاريخ الميلاد]])+60,MONTH(Table1[[#This Row],[تاريخ الميلاد]]),DAY(Table1[[#This Row],[تاريخ الميلاد]]))</f>
        <v>49779</v>
      </c>
      <c r="AD492" s="14">
        <f>DATE(YEAR(Table1[[#This Row],[معاش 01/01]])-1,MONTH(Table1[[#This Row],[تاريخ بلوغ 60 ]]),DAY(Table1[[#This Row],[تاريخ بلوغ 60 ]]))</f>
        <v>49779</v>
      </c>
      <c r="AE49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50144</v>
      </c>
      <c r="AF492" s="10" t="str">
        <f>IFERROR(IF(ISODD(MID(Table1[[#This Row],[الرقم القومي]],13,1)),"ذكر","انثي"),"")</f>
        <v>ذكر</v>
      </c>
      <c r="AG492" s="70" t="s">
        <v>2606</v>
      </c>
      <c r="AH492" s="3">
        <f>IF(MONTH(Table1[[#This Row],[تاريخ بلوغ 60 ]])&lt;&gt;1,1,0)</f>
        <v>1</v>
      </c>
      <c r="AI492" s="3">
        <f>IF(DAY(Table1[[#This Row],[تاريخ بلوغ 60 ]])&lt;&gt;1,1,0)</f>
        <v>1</v>
      </c>
      <c r="AJ492" s="4" t="s">
        <v>465</v>
      </c>
      <c r="AK492" s="4" t="s">
        <v>2636</v>
      </c>
      <c r="AL492" s="62" t="s">
        <v>2563</v>
      </c>
      <c r="AM492" s="62" t="s">
        <v>3161</v>
      </c>
      <c r="AN492" s="2">
        <v>0</v>
      </c>
      <c r="AO492" s="4" t="s">
        <v>2634</v>
      </c>
      <c r="AP492" s="74">
        <v>0</v>
      </c>
      <c r="AQ492" s="4">
        <v>0</v>
      </c>
      <c r="AR492" s="4">
        <v>3</v>
      </c>
      <c r="AS492" s="4" t="s">
        <v>2668</v>
      </c>
      <c r="AT492" s="72">
        <v>6</v>
      </c>
      <c r="AU492" s="2">
        <v>0</v>
      </c>
      <c r="AV492" s="4"/>
      <c r="AW492" s="4"/>
      <c r="AX492" s="4"/>
    </row>
    <row r="493" spans="1:50" ht="15" x14ac:dyDescent="0.2">
      <c r="A493" s="3">
        <v>201167</v>
      </c>
      <c r="B493" s="1" t="s">
        <v>471</v>
      </c>
      <c r="C493" s="3">
        <v>1</v>
      </c>
      <c r="D493" s="3" t="s">
        <v>465</v>
      </c>
      <c r="E493" s="3">
        <v>3</v>
      </c>
      <c r="F493" s="3" t="s">
        <v>472</v>
      </c>
      <c r="G493" s="7" t="s">
        <v>408</v>
      </c>
      <c r="H493" s="3">
        <v>1007</v>
      </c>
      <c r="I493" s="3" t="s">
        <v>528</v>
      </c>
      <c r="J493" s="3">
        <v>18</v>
      </c>
      <c r="K493" s="3" t="s">
        <v>1529</v>
      </c>
      <c r="L493" s="3">
        <v>0</v>
      </c>
      <c r="M493" s="3" t="s">
        <v>1522</v>
      </c>
      <c r="N493" s="3" t="s">
        <v>528</v>
      </c>
      <c r="O493" s="10">
        <v>29904</v>
      </c>
      <c r="P493" s="10">
        <v>43226</v>
      </c>
      <c r="Q493" s="10"/>
      <c r="R493" s="10">
        <v>43226</v>
      </c>
      <c r="S493" s="23">
        <v>3507.98</v>
      </c>
      <c r="T493" s="3">
        <v>62601274</v>
      </c>
      <c r="U493" s="3">
        <v>28111148800296</v>
      </c>
      <c r="V493" s="4" t="s">
        <v>2566</v>
      </c>
      <c r="W493" s="4"/>
      <c r="X493" s="4" t="s">
        <v>2427</v>
      </c>
      <c r="Y493" s="4">
        <v>2000</v>
      </c>
      <c r="Z493" s="3">
        <f ca="1">DATEDIF(Table1[[#This Row],[تاريخ الميلاد]],TODAY(),"y")</f>
        <v>44</v>
      </c>
      <c r="AA49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44 عام 9  شهر  6  يوم </v>
      </c>
      <c r="AB49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8عام3  شهر  14  يوم </v>
      </c>
      <c r="AC493" s="10">
        <f>DATE(YEAR(Table1[[#This Row],[تاريخ الميلاد]])+60,MONTH(Table1[[#This Row],[تاريخ الميلاد]]),DAY(Table1[[#This Row],[تاريخ الميلاد]]))</f>
        <v>51819</v>
      </c>
      <c r="AD493" s="14">
        <f>DATE(YEAR(Table1[[#This Row],[معاش 01/01]])-1,MONTH(Table1[[#This Row],[تاريخ بلوغ 60 ]]),DAY(Table1[[#This Row],[تاريخ بلوغ 60 ]]))</f>
        <v>51819</v>
      </c>
      <c r="AE49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52184</v>
      </c>
      <c r="AF493" s="10" t="str">
        <f>IFERROR(IF(ISODD(MID(Table1[[#This Row],[الرقم القومي]],13,1)),"ذكر","انثي"),"")</f>
        <v>ذكر</v>
      </c>
      <c r="AG493" s="70"/>
      <c r="AH493" s="3">
        <f>IF(MONTH(Table1[[#This Row],[تاريخ بلوغ 60 ]])&lt;&gt;1,1,0)</f>
        <v>1</v>
      </c>
      <c r="AI493" s="3">
        <f>IF(DAY(Table1[[#This Row],[تاريخ بلوغ 60 ]])&lt;&gt;1,1,0)</f>
        <v>1</v>
      </c>
      <c r="AJ493" s="4" t="s">
        <v>465</v>
      </c>
      <c r="AK493" s="4">
        <v>0</v>
      </c>
      <c r="AL493" s="62" t="s">
        <v>2565</v>
      </c>
      <c r="AM493" s="62" t="s">
        <v>3162</v>
      </c>
      <c r="AN493" s="2">
        <v>0</v>
      </c>
      <c r="AO493" s="4" t="s">
        <v>2634</v>
      </c>
      <c r="AP493" s="74">
        <v>0</v>
      </c>
      <c r="AQ493" s="4">
        <v>0</v>
      </c>
      <c r="AR493" s="4">
        <v>0</v>
      </c>
      <c r="AS493" s="4" t="s">
        <v>2645</v>
      </c>
      <c r="AT493" s="72">
        <v>0</v>
      </c>
      <c r="AU493" s="2">
        <v>0</v>
      </c>
      <c r="AV493" s="4"/>
      <c r="AW493" s="4"/>
      <c r="AX493" s="4"/>
    </row>
    <row r="494" spans="1:50" ht="15" x14ac:dyDescent="0.2">
      <c r="A494" s="3">
        <v>201170</v>
      </c>
      <c r="B494" s="1" t="s">
        <v>471</v>
      </c>
      <c r="C494" s="3">
        <v>1</v>
      </c>
      <c r="D494" s="3" t="s">
        <v>465</v>
      </c>
      <c r="E494" s="3">
        <v>3</v>
      </c>
      <c r="F494" s="3" t="s">
        <v>472</v>
      </c>
      <c r="G494" s="7" t="s">
        <v>409</v>
      </c>
      <c r="H494" s="3">
        <v>1011</v>
      </c>
      <c r="I494" s="3" t="s">
        <v>532</v>
      </c>
      <c r="J494" s="3">
        <v>38</v>
      </c>
      <c r="K494" s="3" t="s">
        <v>1522</v>
      </c>
      <c r="L494" s="3">
        <v>0</v>
      </c>
      <c r="M494" s="3" t="s">
        <v>1522</v>
      </c>
      <c r="N494" s="3" t="s">
        <v>532</v>
      </c>
      <c r="O494" s="10">
        <v>28271</v>
      </c>
      <c r="P494" s="10">
        <v>43226</v>
      </c>
      <c r="Q494" s="10"/>
      <c r="R494" s="10">
        <v>43226</v>
      </c>
      <c r="S494" s="23">
        <v>3507.98</v>
      </c>
      <c r="T494" s="3">
        <v>5912853</v>
      </c>
      <c r="U494" s="3">
        <v>27705260300135</v>
      </c>
      <c r="V494" s="4" t="s">
        <v>2568</v>
      </c>
      <c r="W494" s="4"/>
      <c r="X494" s="4" t="s">
        <v>2427</v>
      </c>
      <c r="Y494" s="4">
        <v>1995</v>
      </c>
      <c r="Z494" s="3">
        <f ca="1">DATEDIF(Table1[[#This Row],[تاريخ الميلاد]],TODAY(),"y")</f>
        <v>49</v>
      </c>
      <c r="AA49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49 عام 2  شهر  25  يوم </v>
      </c>
      <c r="AB49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8عام3  شهر  14  يوم </v>
      </c>
      <c r="AC494" s="10">
        <f>DATE(YEAR(Table1[[#This Row],[تاريخ الميلاد]])+60,MONTH(Table1[[#This Row],[تاريخ الميلاد]]),DAY(Table1[[#This Row],[تاريخ الميلاد]]))</f>
        <v>50186</v>
      </c>
      <c r="AD494" s="14">
        <f>DATE(YEAR(Table1[[#This Row],[معاش 01/01]])-1,MONTH(Table1[[#This Row],[تاريخ بلوغ 60 ]]),DAY(Table1[[#This Row],[تاريخ بلوغ 60 ]]))</f>
        <v>50186</v>
      </c>
      <c r="AE49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50551</v>
      </c>
      <c r="AF494" s="10" t="str">
        <f>IFERROR(IF(ISODD(MID(Table1[[#This Row],[الرقم القومي]],13,1)),"ذكر","انثي"),"")</f>
        <v>ذكر</v>
      </c>
      <c r="AG494" s="70" t="s">
        <v>2606</v>
      </c>
      <c r="AH494" s="3">
        <f>IF(MONTH(Table1[[#This Row],[تاريخ بلوغ 60 ]])&lt;&gt;1,1,0)</f>
        <v>1</v>
      </c>
      <c r="AI494" s="3">
        <f>IF(DAY(Table1[[#This Row],[تاريخ بلوغ 60 ]])&lt;&gt;1,1,0)</f>
        <v>1</v>
      </c>
      <c r="AJ494" s="4" t="s">
        <v>465</v>
      </c>
      <c r="AK494" s="4">
        <v>0</v>
      </c>
      <c r="AL494" s="62" t="s">
        <v>2567</v>
      </c>
      <c r="AM494" s="62" t="s">
        <v>3163</v>
      </c>
      <c r="AN494" s="2">
        <v>0</v>
      </c>
      <c r="AO494" s="4" t="s">
        <v>2634</v>
      </c>
      <c r="AP494" s="74">
        <v>0</v>
      </c>
      <c r="AQ494" s="4">
        <v>0</v>
      </c>
      <c r="AR494" s="4">
        <v>3</v>
      </c>
      <c r="AS494" s="4" t="s">
        <v>2668</v>
      </c>
      <c r="AT494" s="72">
        <v>6</v>
      </c>
      <c r="AU494" s="2">
        <v>0</v>
      </c>
      <c r="AV494" s="4"/>
      <c r="AW494" s="4"/>
      <c r="AX494" s="4"/>
    </row>
    <row r="495" spans="1:50" ht="15" x14ac:dyDescent="0.2">
      <c r="A495" s="3">
        <v>201172</v>
      </c>
      <c r="B495" s="1" t="s">
        <v>471</v>
      </c>
      <c r="C495" s="3">
        <v>1</v>
      </c>
      <c r="D495" s="3" t="s">
        <v>465</v>
      </c>
      <c r="E495" s="3">
        <v>3</v>
      </c>
      <c r="F495" s="3" t="s">
        <v>472</v>
      </c>
      <c r="G495" s="7" t="s">
        <v>410</v>
      </c>
      <c r="H495" s="3">
        <v>1007</v>
      </c>
      <c r="I495" s="3" t="s">
        <v>528</v>
      </c>
      <c r="J495" s="3">
        <v>18</v>
      </c>
      <c r="K495" s="3" t="s">
        <v>1529</v>
      </c>
      <c r="L495" s="3">
        <v>0</v>
      </c>
      <c r="M495" s="3" t="s">
        <v>1522</v>
      </c>
      <c r="N495" s="3" t="s">
        <v>528</v>
      </c>
      <c r="O495" s="10">
        <v>27938</v>
      </c>
      <c r="P495" s="10">
        <v>43226</v>
      </c>
      <c r="Q495" s="10"/>
      <c r="R495" s="10">
        <v>43226</v>
      </c>
      <c r="S495" s="23">
        <v>3507.98</v>
      </c>
      <c r="T495" s="3">
        <v>16386510</v>
      </c>
      <c r="U495" s="3">
        <v>27606270300119</v>
      </c>
      <c r="V495" s="4" t="s">
        <v>2570</v>
      </c>
      <c r="W495" s="4"/>
      <c r="X495" s="4" t="s">
        <v>2427</v>
      </c>
      <c r="Y495" s="4">
        <v>1994</v>
      </c>
      <c r="Z495" s="3">
        <f ca="1">DATEDIF(Table1[[#This Row],[تاريخ الميلاد]],TODAY(),"y")</f>
        <v>50</v>
      </c>
      <c r="AA49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50 عام 1  شهر  24  يوم </v>
      </c>
      <c r="AB49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8عام3  شهر  14  يوم </v>
      </c>
      <c r="AC495" s="10">
        <f>DATE(YEAR(Table1[[#This Row],[تاريخ الميلاد]])+60,MONTH(Table1[[#This Row],[تاريخ الميلاد]]),DAY(Table1[[#This Row],[تاريخ الميلاد]]))</f>
        <v>49853</v>
      </c>
      <c r="AD495" s="14">
        <f>DATE(YEAR(Table1[[#This Row],[معاش 01/01]])-1,MONTH(Table1[[#This Row],[تاريخ بلوغ 60 ]]),DAY(Table1[[#This Row],[تاريخ بلوغ 60 ]]))</f>
        <v>49853</v>
      </c>
      <c r="AE49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50218</v>
      </c>
      <c r="AF495" s="10" t="str">
        <f>IFERROR(IF(ISODD(MID(Table1[[#This Row],[الرقم القومي]],13,1)),"ذكر","انثي"),"")</f>
        <v>ذكر</v>
      </c>
      <c r="AG495" s="70" t="s">
        <v>2606</v>
      </c>
      <c r="AH495" s="3">
        <f>IF(MONTH(Table1[[#This Row],[تاريخ بلوغ 60 ]])&lt;&gt;1,1,0)</f>
        <v>1</v>
      </c>
      <c r="AI495" s="3">
        <f>IF(DAY(Table1[[#This Row],[تاريخ بلوغ 60 ]])&lt;&gt;1,1,0)</f>
        <v>1</v>
      </c>
      <c r="AJ495" s="4" t="s">
        <v>465</v>
      </c>
      <c r="AK495" s="4">
        <v>0</v>
      </c>
      <c r="AL495" s="62" t="s">
        <v>2569</v>
      </c>
      <c r="AM495" s="62" t="s">
        <v>3164</v>
      </c>
      <c r="AN495" s="2">
        <v>0</v>
      </c>
      <c r="AO495" s="4" t="s">
        <v>2634</v>
      </c>
      <c r="AP495" s="74">
        <v>0</v>
      </c>
      <c r="AQ495" s="4">
        <v>0</v>
      </c>
      <c r="AR495" s="4">
        <v>3</v>
      </c>
      <c r="AS495" s="4" t="s">
        <v>2668</v>
      </c>
      <c r="AT495" s="72">
        <v>6</v>
      </c>
      <c r="AU495" s="2">
        <v>0</v>
      </c>
      <c r="AV495" s="4"/>
      <c r="AW495" s="4"/>
      <c r="AX495" s="4"/>
    </row>
    <row r="496" spans="1:50" ht="15" x14ac:dyDescent="0.2">
      <c r="A496" s="3">
        <v>201174</v>
      </c>
      <c r="B496" s="1" t="s">
        <v>471</v>
      </c>
      <c r="C496" s="3">
        <v>1</v>
      </c>
      <c r="D496" s="3" t="s">
        <v>465</v>
      </c>
      <c r="E496" s="3">
        <v>21</v>
      </c>
      <c r="F496" s="3" t="s">
        <v>474</v>
      </c>
      <c r="G496" s="7" t="s">
        <v>2571</v>
      </c>
      <c r="H496" s="3">
        <v>1011</v>
      </c>
      <c r="I496" s="3" t="s">
        <v>532</v>
      </c>
      <c r="J496" s="3">
        <v>38</v>
      </c>
      <c r="K496" s="3" t="s">
        <v>1522</v>
      </c>
      <c r="L496" s="3">
        <v>0</v>
      </c>
      <c r="M496" s="3" t="s">
        <v>1522</v>
      </c>
      <c r="N496" s="3" t="s">
        <v>532</v>
      </c>
      <c r="O496" s="10">
        <v>27482</v>
      </c>
      <c r="P496" s="10">
        <v>43226</v>
      </c>
      <c r="Q496" s="10"/>
      <c r="R496" s="10">
        <v>43226</v>
      </c>
      <c r="S496" s="23">
        <v>3507.98</v>
      </c>
      <c r="T496" s="3">
        <v>4689561</v>
      </c>
      <c r="U496" s="3">
        <v>27503290300219</v>
      </c>
      <c r="V496" s="4" t="s">
        <v>2573</v>
      </c>
      <c r="W496" s="4"/>
      <c r="X496" s="4" t="s">
        <v>2427</v>
      </c>
      <c r="Y496" s="4">
        <v>1993</v>
      </c>
      <c r="Z496" s="3">
        <f ca="1">DATEDIF(Table1[[#This Row],[تاريخ الميلاد]],TODAY(),"y")</f>
        <v>51</v>
      </c>
      <c r="AA49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51 عام 4  شهر  22  يوم </v>
      </c>
      <c r="AB49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8عام3  شهر  14  يوم </v>
      </c>
      <c r="AC496" s="10">
        <f>DATE(YEAR(Table1[[#This Row],[تاريخ الميلاد]])+60,MONTH(Table1[[#This Row],[تاريخ الميلاد]]),DAY(Table1[[#This Row],[تاريخ الميلاد]]))</f>
        <v>49397</v>
      </c>
      <c r="AD496" s="14">
        <f>DATE(YEAR(Table1[[#This Row],[معاش 01/01]])-1,MONTH(Table1[[#This Row],[تاريخ بلوغ 60 ]]),DAY(Table1[[#This Row],[تاريخ بلوغ 60 ]]))</f>
        <v>49397</v>
      </c>
      <c r="AE49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49763</v>
      </c>
      <c r="AF496" s="10" t="str">
        <f>IFERROR(IF(ISODD(MID(Table1[[#This Row],[الرقم القومي]],13,1)),"ذكر","انثي"),"")</f>
        <v>ذكر</v>
      </c>
      <c r="AG496" s="70" t="s">
        <v>2606</v>
      </c>
      <c r="AH496" s="3">
        <f>IF(MONTH(Table1[[#This Row],[تاريخ بلوغ 60 ]])&lt;&gt;1,1,0)</f>
        <v>1</v>
      </c>
      <c r="AI496" s="3">
        <f>IF(DAY(Table1[[#This Row],[تاريخ بلوغ 60 ]])&lt;&gt;1,1,0)</f>
        <v>1</v>
      </c>
      <c r="AJ496" s="4" t="s">
        <v>465</v>
      </c>
      <c r="AK496" s="4" t="s">
        <v>2730</v>
      </c>
      <c r="AL496" s="62" t="s">
        <v>2572</v>
      </c>
      <c r="AM496" s="62" t="s">
        <v>3165</v>
      </c>
      <c r="AN496" s="2">
        <v>0</v>
      </c>
      <c r="AO496" s="4" t="s">
        <v>2634</v>
      </c>
      <c r="AP496" s="74">
        <v>0</v>
      </c>
      <c r="AQ496" s="4">
        <v>0</v>
      </c>
      <c r="AR496" s="4">
        <v>3</v>
      </c>
      <c r="AS496" s="4" t="s">
        <v>2668</v>
      </c>
      <c r="AT496" s="72">
        <v>6</v>
      </c>
      <c r="AU496" s="2">
        <v>0</v>
      </c>
      <c r="AV496" s="4"/>
      <c r="AW496" s="4"/>
      <c r="AX496" s="4"/>
    </row>
    <row r="497" spans="1:50" ht="15" x14ac:dyDescent="0.2">
      <c r="A497" s="3">
        <v>201178</v>
      </c>
      <c r="B497" s="1" t="s">
        <v>471</v>
      </c>
      <c r="C497" s="3">
        <v>1</v>
      </c>
      <c r="D497" s="3" t="s">
        <v>465</v>
      </c>
      <c r="E497" s="3">
        <v>21</v>
      </c>
      <c r="F497" s="3" t="s">
        <v>474</v>
      </c>
      <c r="G497" s="7" t="s">
        <v>411</v>
      </c>
      <c r="H497" s="3">
        <v>1011</v>
      </c>
      <c r="I497" s="3" t="s">
        <v>532</v>
      </c>
      <c r="J497" s="3">
        <v>38</v>
      </c>
      <c r="K497" s="3" t="s">
        <v>1522</v>
      </c>
      <c r="L497" s="3">
        <v>0</v>
      </c>
      <c r="M497" s="3" t="s">
        <v>1522</v>
      </c>
      <c r="N497" s="3" t="s">
        <v>532</v>
      </c>
      <c r="O497" s="10">
        <v>25243</v>
      </c>
      <c r="P497" s="10">
        <v>43226</v>
      </c>
      <c r="Q497" s="10"/>
      <c r="R497" s="10">
        <v>43226</v>
      </c>
      <c r="S497" s="23">
        <v>3507.98</v>
      </c>
      <c r="T497" s="3">
        <v>5843434</v>
      </c>
      <c r="U497" s="3">
        <v>26902090300034</v>
      </c>
      <c r="V497" s="4" t="s">
        <v>2575</v>
      </c>
      <c r="W497" s="4"/>
      <c r="X497" s="4" t="s">
        <v>2427</v>
      </c>
      <c r="Y497" s="4">
        <v>1987</v>
      </c>
      <c r="Z497" s="3">
        <f ca="1">DATEDIF(Table1[[#This Row],[تاريخ الميلاد]],TODAY(),"y")</f>
        <v>57</v>
      </c>
      <c r="AA49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57 عام 6  شهر  11  يوم </v>
      </c>
      <c r="AB49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8عام3  شهر  14  يوم </v>
      </c>
      <c r="AC497" s="10">
        <f>DATE(YEAR(Table1[[#This Row],[تاريخ الميلاد]])+60,MONTH(Table1[[#This Row],[تاريخ الميلاد]]),DAY(Table1[[#This Row],[تاريخ الميلاد]]))</f>
        <v>47158</v>
      </c>
      <c r="AD497" s="14">
        <f>DATE(YEAR(Table1[[#This Row],[معاش 01/01]])-1,MONTH(Table1[[#This Row],[تاريخ بلوغ 60 ]]),DAY(Table1[[#This Row],[تاريخ بلوغ 60 ]]))</f>
        <v>47158</v>
      </c>
      <c r="AE49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47523</v>
      </c>
      <c r="AF497" s="10" t="str">
        <f>IFERROR(IF(ISODD(MID(Table1[[#This Row],[الرقم القومي]],13,1)),"ذكر","انثي"),"")</f>
        <v>ذكر</v>
      </c>
      <c r="AG497" s="70" t="s">
        <v>2606</v>
      </c>
      <c r="AH497" s="3">
        <f>IF(MONTH(Table1[[#This Row],[تاريخ بلوغ 60 ]])&lt;&gt;1,1,0)</f>
        <v>1</v>
      </c>
      <c r="AI497" s="3">
        <f>IF(DAY(Table1[[#This Row],[تاريخ بلوغ 60 ]])&lt;&gt;1,1,0)</f>
        <v>1</v>
      </c>
      <c r="AJ497" s="4" t="s">
        <v>465</v>
      </c>
      <c r="AK497" s="4" t="s">
        <v>2636</v>
      </c>
      <c r="AL497" s="62" t="s">
        <v>2574</v>
      </c>
      <c r="AM497" s="62" t="s">
        <v>3166</v>
      </c>
      <c r="AN497" s="2">
        <v>0</v>
      </c>
      <c r="AO497" s="4" t="s">
        <v>2634</v>
      </c>
      <c r="AP497" s="74">
        <v>0</v>
      </c>
      <c r="AQ497" s="4">
        <v>0</v>
      </c>
      <c r="AR497" s="4">
        <v>3</v>
      </c>
      <c r="AS497" s="4" t="s">
        <v>2668</v>
      </c>
      <c r="AT497" s="72">
        <v>6</v>
      </c>
      <c r="AU497" s="2">
        <v>0</v>
      </c>
      <c r="AV497" s="4"/>
      <c r="AW497" s="4"/>
      <c r="AX497" s="4"/>
    </row>
    <row r="498" spans="1:50" ht="15" x14ac:dyDescent="0.2">
      <c r="A498" s="3">
        <v>201182</v>
      </c>
      <c r="B498" s="1" t="s">
        <v>471</v>
      </c>
      <c r="C498" s="3">
        <v>1</v>
      </c>
      <c r="D498" s="3" t="s">
        <v>465</v>
      </c>
      <c r="E498" s="3">
        <v>21</v>
      </c>
      <c r="F498" s="3" t="s">
        <v>474</v>
      </c>
      <c r="G498" s="7" t="s">
        <v>412</v>
      </c>
      <c r="H498" s="3">
        <v>1011</v>
      </c>
      <c r="I498" s="3" t="s">
        <v>532</v>
      </c>
      <c r="J498" s="3">
        <v>38</v>
      </c>
      <c r="K498" s="3" t="s">
        <v>1522</v>
      </c>
      <c r="L498" s="3">
        <v>0</v>
      </c>
      <c r="M498" s="3" t="s">
        <v>1522</v>
      </c>
      <c r="N498" s="3" t="s">
        <v>532</v>
      </c>
      <c r="O498" s="10">
        <v>30594</v>
      </c>
      <c r="P498" s="10">
        <v>43226</v>
      </c>
      <c r="Q498" s="10"/>
      <c r="R498" s="10">
        <v>43226</v>
      </c>
      <c r="S498" s="23">
        <v>3507.98</v>
      </c>
      <c r="T498" s="3">
        <v>36334833</v>
      </c>
      <c r="U498" s="3">
        <v>28310050300077</v>
      </c>
      <c r="V498" s="4" t="s">
        <v>2577</v>
      </c>
      <c r="W498" s="4"/>
      <c r="X498" s="4" t="s">
        <v>2427</v>
      </c>
      <c r="Y498" s="4">
        <v>2000</v>
      </c>
      <c r="Z498" s="3">
        <f ca="1">DATEDIF(Table1[[#This Row],[تاريخ الميلاد]],TODAY(),"y")</f>
        <v>42</v>
      </c>
      <c r="AA498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42 عام 10  شهر  15  يوم </v>
      </c>
      <c r="AB498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8عام3  شهر  14  يوم </v>
      </c>
      <c r="AC498" s="10">
        <f>DATE(YEAR(Table1[[#This Row],[تاريخ الميلاد]])+60,MONTH(Table1[[#This Row],[تاريخ الميلاد]]),DAY(Table1[[#This Row],[تاريخ الميلاد]]))</f>
        <v>52509</v>
      </c>
      <c r="AD498" s="14">
        <f>DATE(YEAR(Table1[[#This Row],[معاش 01/01]])-1,MONTH(Table1[[#This Row],[تاريخ بلوغ 60 ]]),DAY(Table1[[#This Row],[تاريخ بلوغ 60 ]]))</f>
        <v>52509</v>
      </c>
      <c r="AE498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52875</v>
      </c>
      <c r="AF498" s="10" t="str">
        <f>IFERROR(IF(ISODD(MID(Table1[[#This Row],[الرقم القومي]],13,1)),"ذكر","انثي"),"")</f>
        <v>ذكر</v>
      </c>
      <c r="AG498" s="70" t="s">
        <v>2606</v>
      </c>
      <c r="AH498" s="3">
        <f>IF(MONTH(Table1[[#This Row],[تاريخ بلوغ 60 ]])&lt;&gt;1,1,0)</f>
        <v>1</v>
      </c>
      <c r="AI498" s="3">
        <f>IF(DAY(Table1[[#This Row],[تاريخ بلوغ 60 ]])&lt;&gt;1,1,0)</f>
        <v>1</v>
      </c>
      <c r="AJ498" s="4" t="s">
        <v>465</v>
      </c>
      <c r="AK498" s="4" t="s">
        <v>2636</v>
      </c>
      <c r="AL498" s="62" t="s">
        <v>2576</v>
      </c>
      <c r="AM498" s="62" t="s">
        <v>3167</v>
      </c>
      <c r="AN498" s="2">
        <v>0</v>
      </c>
      <c r="AO498" s="4" t="s">
        <v>2634</v>
      </c>
      <c r="AP498" s="74">
        <v>0</v>
      </c>
      <c r="AQ498" s="4">
        <v>0</v>
      </c>
      <c r="AR498" s="4">
        <v>3</v>
      </c>
      <c r="AS498" s="4" t="s">
        <v>2668</v>
      </c>
      <c r="AT498" s="72">
        <v>6</v>
      </c>
      <c r="AU498" s="2">
        <v>0</v>
      </c>
      <c r="AV498" s="4"/>
      <c r="AW498" s="4"/>
      <c r="AX498" s="4"/>
    </row>
    <row r="499" spans="1:50" ht="15" x14ac:dyDescent="0.2">
      <c r="A499" s="3">
        <v>201183</v>
      </c>
      <c r="B499" s="1" t="s">
        <v>471</v>
      </c>
      <c r="C499" s="3">
        <v>1</v>
      </c>
      <c r="D499" s="3" t="s">
        <v>465</v>
      </c>
      <c r="E499" s="3">
        <v>21</v>
      </c>
      <c r="F499" s="3" t="s">
        <v>474</v>
      </c>
      <c r="G499" s="7" t="s">
        <v>2578</v>
      </c>
      <c r="H499" s="3">
        <v>1011</v>
      </c>
      <c r="I499" s="3" t="s">
        <v>532</v>
      </c>
      <c r="J499" s="3">
        <v>38</v>
      </c>
      <c r="K499" s="3" t="s">
        <v>1522</v>
      </c>
      <c r="L499" s="3">
        <v>0</v>
      </c>
      <c r="M499" s="3" t="s">
        <v>1522</v>
      </c>
      <c r="N499" s="3" t="s">
        <v>532</v>
      </c>
      <c r="O499" s="10">
        <v>28653</v>
      </c>
      <c r="P499" s="10">
        <v>43226</v>
      </c>
      <c r="Q499" s="10"/>
      <c r="R499" s="10">
        <v>43226</v>
      </c>
      <c r="S499" s="23">
        <v>3507.98</v>
      </c>
      <c r="T499" s="3">
        <v>3448589</v>
      </c>
      <c r="U499" s="3">
        <v>27806120300039</v>
      </c>
      <c r="V499" s="4" t="s">
        <v>2580</v>
      </c>
      <c r="W499" s="4"/>
      <c r="X499" s="4" t="s">
        <v>2427</v>
      </c>
      <c r="Z499" s="3">
        <f ca="1">DATEDIF(Table1[[#This Row],[تاريخ الميلاد]],TODAY(),"y")</f>
        <v>48</v>
      </c>
      <c r="AA499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48 عام 2  شهر  8  يوم </v>
      </c>
      <c r="AB499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8عام3  شهر  14  يوم </v>
      </c>
      <c r="AC499" s="10">
        <f>DATE(YEAR(Table1[[#This Row],[تاريخ الميلاد]])+60,MONTH(Table1[[#This Row],[تاريخ الميلاد]]),DAY(Table1[[#This Row],[تاريخ الميلاد]]))</f>
        <v>50568</v>
      </c>
      <c r="AD499" s="14">
        <f>DATE(YEAR(Table1[[#This Row],[معاش 01/01]])-1,MONTH(Table1[[#This Row],[تاريخ بلوغ 60 ]]),DAY(Table1[[#This Row],[تاريخ بلوغ 60 ]]))</f>
        <v>50568</v>
      </c>
      <c r="AE499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50933</v>
      </c>
      <c r="AF499" s="10" t="str">
        <f>IFERROR(IF(ISODD(MID(Table1[[#This Row],[الرقم القومي]],13,1)),"ذكر","انثي"),"")</f>
        <v>ذكر</v>
      </c>
      <c r="AG499" s="70" t="s">
        <v>2606</v>
      </c>
      <c r="AH499" s="3">
        <f>IF(MONTH(Table1[[#This Row],[تاريخ بلوغ 60 ]])&lt;&gt;1,1,0)</f>
        <v>1</v>
      </c>
      <c r="AI499" s="3">
        <f>IF(DAY(Table1[[#This Row],[تاريخ بلوغ 60 ]])&lt;&gt;1,1,0)</f>
        <v>1</v>
      </c>
      <c r="AJ499" s="4" t="s">
        <v>465</v>
      </c>
      <c r="AK499" s="4" t="s">
        <v>2638</v>
      </c>
      <c r="AL499" s="62" t="s">
        <v>2579</v>
      </c>
      <c r="AM499" s="62" t="s">
        <v>3168</v>
      </c>
      <c r="AN499" s="2">
        <v>0</v>
      </c>
      <c r="AO499" s="4" t="s">
        <v>2634</v>
      </c>
      <c r="AP499" s="74">
        <v>0</v>
      </c>
      <c r="AQ499" s="4">
        <v>0</v>
      </c>
      <c r="AR499" s="4">
        <v>3</v>
      </c>
      <c r="AS499" s="4" t="s">
        <v>2668</v>
      </c>
      <c r="AT499" s="72">
        <v>6</v>
      </c>
      <c r="AU499" s="2">
        <v>0</v>
      </c>
      <c r="AV499" s="4"/>
      <c r="AW499" s="4"/>
      <c r="AX499" s="4"/>
    </row>
    <row r="500" spans="1:50" ht="15" x14ac:dyDescent="0.2">
      <c r="A500" s="3">
        <v>201188</v>
      </c>
      <c r="B500" s="1" t="s">
        <v>471</v>
      </c>
      <c r="C500" s="3">
        <v>1</v>
      </c>
      <c r="D500" s="3" t="s">
        <v>465</v>
      </c>
      <c r="E500" s="3">
        <v>21</v>
      </c>
      <c r="F500" s="3" t="s">
        <v>474</v>
      </c>
      <c r="G500" s="7" t="s">
        <v>413</v>
      </c>
      <c r="H500" s="3">
        <v>1011</v>
      </c>
      <c r="I500" s="3" t="s">
        <v>532</v>
      </c>
      <c r="J500" s="3">
        <v>38</v>
      </c>
      <c r="K500" s="3" t="s">
        <v>1522</v>
      </c>
      <c r="L500" s="3">
        <v>0</v>
      </c>
      <c r="M500" s="3" t="s">
        <v>1522</v>
      </c>
      <c r="N500" s="3" t="s">
        <v>532</v>
      </c>
      <c r="O500" s="10">
        <v>24654</v>
      </c>
      <c r="P500" s="10">
        <v>43226</v>
      </c>
      <c r="Q500" s="10"/>
      <c r="R500" s="10">
        <v>43226</v>
      </c>
      <c r="S500" s="23">
        <v>3507.98</v>
      </c>
      <c r="T500" s="3">
        <v>43189072</v>
      </c>
      <c r="U500" s="3">
        <v>26707010300091</v>
      </c>
      <c r="V500" s="4" t="s">
        <v>2582</v>
      </c>
      <c r="W500" s="4"/>
      <c r="X500" s="4" t="s">
        <v>2427</v>
      </c>
      <c r="Y500" s="4">
        <v>1987</v>
      </c>
      <c r="Z500" s="3">
        <f ca="1">DATEDIF(Table1[[#This Row],[تاريخ الميلاد]],TODAY(),"y")</f>
        <v>59</v>
      </c>
      <c r="AA500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59 عام 1  شهر  19  يوم </v>
      </c>
      <c r="AB500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8عام3  شهر  14  يوم </v>
      </c>
      <c r="AC500" s="10">
        <f>DATE(YEAR(Table1[[#This Row],[تاريخ الميلاد]])+60,MONTH(Table1[[#This Row],[تاريخ الميلاد]]),DAY(Table1[[#This Row],[تاريخ الميلاد]]))</f>
        <v>46569</v>
      </c>
      <c r="AD500" s="14">
        <f>DATE(YEAR(Table1[[#This Row],[معاش 01/01]])-1,MONTH(Table1[[#This Row],[تاريخ بلوغ 60 ]]),DAY(Table1[[#This Row],[تاريخ بلوغ 60 ]]))</f>
        <v>46569</v>
      </c>
      <c r="AE500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46935</v>
      </c>
      <c r="AF500" s="10" t="str">
        <f>IFERROR(IF(ISODD(MID(Table1[[#This Row],[الرقم القومي]],13,1)),"ذكر","انثي"),"")</f>
        <v>ذكر</v>
      </c>
      <c r="AG500" s="70" t="s">
        <v>2606</v>
      </c>
      <c r="AH500" s="3">
        <f>IF(MONTH(Table1[[#This Row],[تاريخ بلوغ 60 ]])&lt;&gt;1,1,0)</f>
        <v>1</v>
      </c>
      <c r="AI500" s="3">
        <f>IF(DAY(Table1[[#This Row],[تاريخ بلوغ 60 ]])&lt;&gt;1,1,0)</f>
        <v>0</v>
      </c>
      <c r="AJ500" s="4" t="s">
        <v>465</v>
      </c>
      <c r="AK500" s="4" t="s">
        <v>2636</v>
      </c>
      <c r="AL500" s="62" t="s">
        <v>2581</v>
      </c>
      <c r="AM500" s="62" t="s">
        <v>3169</v>
      </c>
      <c r="AN500" s="2">
        <v>0</v>
      </c>
      <c r="AO500" s="4" t="s">
        <v>2634</v>
      </c>
      <c r="AP500" s="74">
        <v>0</v>
      </c>
      <c r="AQ500" s="4">
        <v>0</v>
      </c>
      <c r="AR500" s="4">
        <v>3</v>
      </c>
      <c r="AS500" s="4" t="s">
        <v>2668</v>
      </c>
      <c r="AT500" s="72">
        <v>6</v>
      </c>
      <c r="AU500" s="2">
        <v>0</v>
      </c>
      <c r="AV500" s="4"/>
      <c r="AW500" s="4"/>
      <c r="AX500" s="4"/>
    </row>
    <row r="501" spans="1:50" ht="15" x14ac:dyDescent="0.2">
      <c r="A501" s="3">
        <v>201191</v>
      </c>
      <c r="B501" s="1" t="s">
        <v>471</v>
      </c>
      <c r="C501" s="3">
        <v>1</v>
      </c>
      <c r="D501" s="3" t="s">
        <v>465</v>
      </c>
      <c r="E501" s="3">
        <v>3</v>
      </c>
      <c r="F501" s="3" t="s">
        <v>472</v>
      </c>
      <c r="G501" s="7" t="s">
        <v>414</v>
      </c>
      <c r="H501" s="3">
        <v>1012</v>
      </c>
      <c r="I501" s="3" t="s">
        <v>533</v>
      </c>
      <c r="J501" s="3">
        <v>18</v>
      </c>
      <c r="K501" s="3" t="s">
        <v>1529</v>
      </c>
      <c r="L501" s="3">
        <v>0</v>
      </c>
      <c r="M501" s="3" t="s">
        <v>1522</v>
      </c>
      <c r="N501" s="3" t="s">
        <v>533</v>
      </c>
      <c r="O501" s="10">
        <v>30926</v>
      </c>
      <c r="P501" s="10">
        <v>43226</v>
      </c>
      <c r="Q501" s="10"/>
      <c r="R501" s="10">
        <v>43226</v>
      </c>
      <c r="S501" s="23">
        <v>3507.98</v>
      </c>
      <c r="T501" s="3">
        <v>47505718</v>
      </c>
      <c r="U501" s="3">
        <v>28409010300526</v>
      </c>
      <c r="V501" s="4" t="s">
        <v>2584</v>
      </c>
      <c r="W501" s="4"/>
      <c r="X501" s="4" t="s">
        <v>2427</v>
      </c>
      <c r="Y501" s="4">
        <v>2001</v>
      </c>
      <c r="Z501" s="3">
        <f ca="1">DATEDIF(Table1[[#This Row],[تاريخ الميلاد]],TODAY(),"y")</f>
        <v>41</v>
      </c>
      <c r="AA501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41 عام 11  شهر  19  يوم </v>
      </c>
      <c r="AB501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8عام3  شهر  14  يوم </v>
      </c>
      <c r="AC501" s="10">
        <f>DATE(YEAR(Table1[[#This Row],[تاريخ الميلاد]])+60,MONTH(Table1[[#This Row],[تاريخ الميلاد]]),DAY(Table1[[#This Row],[تاريخ الميلاد]]))</f>
        <v>52841</v>
      </c>
      <c r="AD501" s="14">
        <f>DATE(YEAR(Table1[[#This Row],[معاش 01/01]])-1,MONTH(Table1[[#This Row],[تاريخ بلوغ 60 ]]),DAY(Table1[[#This Row],[تاريخ بلوغ 60 ]]))</f>
        <v>52841</v>
      </c>
      <c r="AE501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53206</v>
      </c>
      <c r="AF501" s="10" t="str">
        <f>IFERROR(IF(ISODD(MID(Table1[[#This Row],[الرقم القومي]],13,1)),"ذكر","انثي"),"")</f>
        <v>انثي</v>
      </c>
      <c r="AG501" s="70" t="s">
        <v>2606</v>
      </c>
      <c r="AH501" s="3">
        <f>IF(MONTH(Table1[[#This Row],[تاريخ بلوغ 60 ]])&lt;&gt;1,1,0)</f>
        <v>1</v>
      </c>
      <c r="AI501" s="3">
        <f>IF(DAY(Table1[[#This Row],[تاريخ بلوغ 60 ]])&lt;&gt;1,1,0)</f>
        <v>0</v>
      </c>
      <c r="AJ501" s="4" t="s">
        <v>465</v>
      </c>
      <c r="AK501" s="4" t="s">
        <v>2636</v>
      </c>
      <c r="AL501" s="62" t="s">
        <v>2583</v>
      </c>
      <c r="AM501" s="62" t="s">
        <v>3170</v>
      </c>
      <c r="AN501" s="2">
        <v>0</v>
      </c>
      <c r="AO501" s="4" t="s">
        <v>2634</v>
      </c>
      <c r="AP501" s="74">
        <v>0</v>
      </c>
      <c r="AQ501" s="4">
        <v>0</v>
      </c>
      <c r="AR501" s="4">
        <v>1</v>
      </c>
      <c r="AS501" s="4" t="s">
        <v>2635</v>
      </c>
      <c r="AT501" s="72">
        <v>2</v>
      </c>
      <c r="AU501" s="2">
        <v>0</v>
      </c>
      <c r="AV501" s="4"/>
      <c r="AW501" s="4"/>
      <c r="AX501" s="4"/>
    </row>
    <row r="502" spans="1:50" ht="15" x14ac:dyDescent="0.2">
      <c r="A502" s="3">
        <v>201192</v>
      </c>
      <c r="B502" s="1" t="s">
        <v>471</v>
      </c>
      <c r="C502" s="3">
        <v>1</v>
      </c>
      <c r="D502" s="3" t="s">
        <v>465</v>
      </c>
      <c r="E502" s="3">
        <v>3</v>
      </c>
      <c r="F502" s="3" t="s">
        <v>472</v>
      </c>
      <c r="G502" s="7" t="s">
        <v>2585</v>
      </c>
      <c r="H502" s="3">
        <v>1012</v>
      </c>
      <c r="I502" s="3" t="s">
        <v>533</v>
      </c>
      <c r="J502" s="3">
        <v>18</v>
      </c>
      <c r="K502" s="3" t="s">
        <v>1529</v>
      </c>
      <c r="L502" s="3">
        <v>0</v>
      </c>
      <c r="M502" s="3" t="s">
        <v>1522</v>
      </c>
      <c r="N502" s="3" t="s">
        <v>533</v>
      </c>
      <c r="O502" s="10">
        <v>32101</v>
      </c>
      <c r="P502" s="10">
        <v>43226</v>
      </c>
      <c r="Q502" s="10"/>
      <c r="R502" s="10">
        <v>43226</v>
      </c>
      <c r="S502" s="23">
        <v>3507.98</v>
      </c>
      <c r="T502" s="3">
        <v>12693251</v>
      </c>
      <c r="U502" s="3">
        <v>28711200300083</v>
      </c>
      <c r="V502" s="4" t="s">
        <v>2587</v>
      </c>
      <c r="W502" s="4"/>
      <c r="X502" s="4" t="s">
        <v>2427</v>
      </c>
      <c r="Y502" s="4">
        <v>2004</v>
      </c>
      <c r="Z502" s="3">
        <f ca="1">DATEDIF(Table1[[#This Row],[تاريخ الميلاد]],TODAY(),"y")</f>
        <v>38</v>
      </c>
      <c r="AA502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38 عام 9  شهر  0  يوم </v>
      </c>
      <c r="AB502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8عام3  شهر  14  يوم </v>
      </c>
      <c r="AC502" s="10">
        <f>DATE(YEAR(Table1[[#This Row],[تاريخ الميلاد]])+60,MONTH(Table1[[#This Row],[تاريخ الميلاد]]),DAY(Table1[[#This Row],[تاريخ الميلاد]]))</f>
        <v>54016</v>
      </c>
      <c r="AD502" s="14">
        <f>DATE(YEAR(Table1[[#This Row],[معاش 01/01]])-1,MONTH(Table1[[#This Row],[تاريخ بلوغ 60 ]]),DAY(Table1[[#This Row],[تاريخ بلوغ 60 ]]))</f>
        <v>54016</v>
      </c>
      <c r="AE502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54382</v>
      </c>
      <c r="AF502" s="10" t="str">
        <f>IFERROR(IF(ISODD(MID(Table1[[#This Row],[الرقم القومي]],13,1)),"ذكر","انثي"),"")</f>
        <v>انثي</v>
      </c>
      <c r="AG502" s="70" t="s">
        <v>2606</v>
      </c>
      <c r="AH502" s="3">
        <f>IF(MONTH(Table1[[#This Row],[تاريخ بلوغ 60 ]])&lt;&gt;1,1,0)</f>
        <v>1</v>
      </c>
      <c r="AI502" s="3">
        <f>IF(DAY(Table1[[#This Row],[تاريخ بلوغ 60 ]])&lt;&gt;1,1,0)</f>
        <v>1</v>
      </c>
      <c r="AJ502" s="4" t="s">
        <v>465</v>
      </c>
      <c r="AK502" s="4" t="s">
        <v>2636</v>
      </c>
      <c r="AL502" s="62" t="s">
        <v>2586</v>
      </c>
      <c r="AM502" s="62" t="s">
        <v>3171</v>
      </c>
      <c r="AN502" s="2">
        <v>0</v>
      </c>
      <c r="AO502" s="4" t="s">
        <v>2634</v>
      </c>
      <c r="AP502" s="74">
        <v>0</v>
      </c>
      <c r="AQ502" s="4">
        <v>0</v>
      </c>
      <c r="AR502" s="4">
        <v>1</v>
      </c>
      <c r="AS502" s="4" t="s">
        <v>2635</v>
      </c>
      <c r="AT502" s="72">
        <v>2</v>
      </c>
      <c r="AU502" s="2">
        <v>0</v>
      </c>
      <c r="AV502" s="4"/>
      <c r="AW502" s="4"/>
      <c r="AX502" s="4"/>
    </row>
    <row r="503" spans="1:50" ht="15" x14ac:dyDescent="0.2">
      <c r="A503" s="3">
        <v>201195</v>
      </c>
      <c r="B503" s="1" t="s">
        <v>471</v>
      </c>
      <c r="C503" s="3">
        <v>1</v>
      </c>
      <c r="D503" s="3" t="s">
        <v>465</v>
      </c>
      <c r="E503" s="3">
        <v>3</v>
      </c>
      <c r="F503" s="3" t="s">
        <v>472</v>
      </c>
      <c r="G503" s="7" t="s">
        <v>415</v>
      </c>
      <c r="H503" s="3">
        <v>1007</v>
      </c>
      <c r="I503" s="3" t="s">
        <v>528</v>
      </c>
      <c r="J503" s="3">
        <v>18</v>
      </c>
      <c r="K503" s="3" t="s">
        <v>1529</v>
      </c>
      <c r="L503" s="3">
        <v>0</v>
      </c>
      <c r="M503" s="3" t="s">
        <v>1522</v>
      </c>
      <c r="N503" s="3" t="s">
        <v>528</v>
      </c>
      <c r="O503" s="10">
        <v>29763</v>
      </c>
      <c r="P503" s="10">
        <v>43226</v>
      </c>
      <c r="Q503" s="10"/>
      <c r="R503" s="10">
        <v>43226</v>
      </c>
      <c r="S503" s="23">
        <v>3507.98</v>
      </c>
      <c r="T503" s="3">
        <v>75948883</v>
      </c>
      <c r="U503" s="3">
        <v>28106268800342</v>
      </c>
      <c r="V503" s="4" t="s">
        <v>2589</v>
      </c>
      <c r="W503" s="4"/>
      <c r="X503" s="4" t="s">
        <v>2427</v>
      </c>
      <c r="Y503" s="4">
        <v>1999</v>
      </c>
      <c r="Z503" s="3">
        <f ca="1">DATEDIF(Table1[[#This Row],[تاريخ الميلاد]],TODAY(),"y")</f>
        <v>45</v>
      </c>
      <c r="AA503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45 عام 1  شهر  25  يوم </v>
      </c>
      <c r="AB503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8عام3  شهر  14  يوم </v>
      </c>
      <c r="AC503" s="10">
        <f>DATE(YEAR(Table1[[#This Row],[تاريخ الميلاد]])+60,MONTH(Table1[[#This Row],[تاريخ الميلاد]]),DAY(Table1[[#This Row],[تاريخ الميلاد]]))</f>
        <v>51678</v>
      </c>
      <c r="AD503" s="14">
        <f>DATE(YEAR(Table1[[#This Row],[معاش 01/01]])-1,MONTH(Table1[[#This Row],[تاريخ بلوغ 60 ]]),DAY(Table1[[#This Row],[تاريخ بلوغ 60 ]]))</f>
        <v>51678</v>
      </c>
      <c r="AE503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52043</v>
      </c>
      <c r="AF503" s="10" t="str">
        <f>IFERROR(IF(ISODD(MID(Table1[[#This Row],[الرقم القومي]],13,1)),"ذكر","انثي"),"")</f>
        <v>انثي</v>
      </c>
      <c r="AG503" s="70"/>
      <c r="AH503" s="3">
        <f>IF(MONTH(Table1[[#This Row],[تاريخ بلوغ 60 ]])&lt;&gt;1,1,0)</f>
        <v>1</v>
      </c>
      <c r="AI503" s="3">
        <f>IF(DAY(Table1[[#This Row],[تاريخ بلوغ 60 ]])&lt;&gt;1,1,0)</f>
        <v>1</v>
      </c>
      <c r="AJ503" s="4" t="s">
        <v>465</v>
      </c>
      <c r="AK503" s="4" t="s">
        <v>2636</v>
      </c>
      <c r="AL503" s="62" t="s">
        <v>2588</v>
      </c>
      <c r="AM503" s="62" t="s">
        <v>3172</v>
      </c>
      <c r="AN503" s="2">
        <v>0</v>
      </c>
      <c r="AO503" s="4" t="s">
        <v>2634</v>
      </c>
      <c r="AP503" s="74">
        <v>0</v>
      </c>
      <c r="AQ503" s="4">
        <v>0</v>
      </c>
      <c r="AR503" s="4">
        <v>0</v>
      </c>
      <c r="AS503" s="4" t="s">
        <v>2645</v>
      </c>
      <c r="AT503" s="72">
        <v>0</v>
      </c>
      <c r="AU503" s="2">
        <v>0</v>
      </c>
      <c r="AV503" s="4"/>
      <c r="AW503" s="4"/>
      <c r="AX503" s="4"/>
    </row>
    <row r="504" spans="1:50" ht="15" x14ac:dyDescent="0.2">
      <c r="A504" s="3">
        <v>201199</v>
      </c>
      <c r="B504" s="1" t="s">
        <v>471</v>
      </c>
      <c r="C504" s="3">
        <v>1</v>
      </c>
      <c r="D504" s="3" t="s">
        <v>465</v>
      </c>
      <c r="E504" s="3">
        <v>21</v>
      </c>
      <c r="F504" s="3" t="s">
        <v>474</v>
      </c>
      <c r="G504" s="7" t="s">
        <v>2590</v>
      </c>
      <c r="H504" s="3">
        <v>1011</v>
      </c>
      <c r="I504" s="3" t="s">
        <v>532</v>
      </c>
      <c r="J504" s="3">
        <v>38</v>
      </c>
      <c r="K504" s="3" t="s">
        <v>1522</v>
      </c>
      <c r="L504" s="3">
        <v>0</v>
      </c>
      <c r="M504" s="3" t="s">
        <v>1522</v>
      </c>
      <c r="N504" s="3" t="s">
        <v>532</v>
      </c>
      <c r="O504" s="10">
        <v>29795</v>
      </c>
      <c r="P504" s="10">
        <v>43228</v>
      </c>
      <c r="Q504" s="10"/>
      <c r="R504" s="10">
        <v>43228</v>
      </c>
      <c r="S504" s="23">
        <v>3507.98</v>
      </c>
      <c r="T504" s="3">
        <v>20275186</v>
      </c>
      <c r="U504" s="3">
        <v>28107280300319</v>
      </c>
      <c r="V504" s="4" t="s">
        <v>2592</v>
      </c>
      <c r="W504" s="4"/>
      <c r="X504" s="4" t="s">
        <v>2427</v>
      </c>
      <c r="Y504" s="4">
        <v>2000</v>
      </c>
      <c r="Z504" s="3">
        <f ca="1">DATEDIF(Table1[[#This Row],[تاريخ الميلاد]],TODAY(),"y")</f>
        <v>45</v>
      </c>
      <c r="AA504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45 عام 0  شهر  23  يوم </v>
      </c>
      <c r="AB504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8عام3  شهر  12  يوم </v>
      </c>
      <c r="AC504" s="10">
        <f>DATE(YEAR(Table1[[#This Row],[تاريخ الميلاد]])+60,MONTH(Table1[[#This Row],[تاريخ الميلاد]]),DAY(Table1[[#This Row],[تاريخ الميلاد]]))</f>
        <v>51710</v>
      </c>
      <c r="AD504" s="14">
        <f>DATE(YEAR(Table1[[#This Row],[معاش 01/01]])-1,MONTH(Table1[[#This Row],[تاريخ بلوغ 60 ]]),DAY(Table1[[#This Row],[تاريخ بلوغ 60 ]]))</f>
        <v>51710</v>
      </c>
      <c r="AE504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52075</v>
      </c>
      <c r="AF504" s="10" t="str">
        <f>IFERROR(IF(ISODD(MID(Table1[[#This Row],[الرقم القومي]],13,1)),"ذكر","انثي"),"")</f>
        <v>ذكر</v>
      </c>
      <c r="AG504" s="70" t="s">
        <v>2606</v>
      </c>
      <c r="AH504" s="3">
        <f>IF(MONTH(Table1[[#This Row],[تاريخ بلوغ 60 ]])&lt;&gt;1,1,0)</f>
        <v>1</v>
      </c>
      <c r="AI504" s="3">
        <f>IF(DAY(Table1[[#This Row],[تاريخ بلوغ 60 ]])&lt;&gt;1,1,0)</f>
        <v>1</v>
      </c>
      <c r="AJ504" s="4" t="s">
        <v>465</v>
      </c>
      <c r="AK504" s="4" t="s">
        <v>2636</v>
      </c>
      <c r="AL504" s="62" t="s">
        <v>2591</v>
      </c>
      <c r="AM504" s="62" t="s">
        <v>3173</v>
      </c>
      <c r="AN504" s="2">
        <v>0</v>
      </c>
      <c r="AO504" s="4" t="s">
        <v>2634</v>
      </c>
      <c r="AP504" s="74">
        <v>0</v>
      </c>
      <c r="AQ504" s="4">
        <v>0</v>
      </c>
      <c r="AR504" s="4">
        <v>1</v>
      </c>
      <c r="AS504" s="4" t="s">
        <v>2635</v>
      </c>
      <c r="AT504" s="72">
        <v>2</v>
      </c>
      <c r="AU504" s="2">
        <v>0</v>
      </c>
      <c r="AV504" s="4"/>
      <c r="AW504" s="4"/>
      <c r="AX504" s="4"/>
    </row>
    <row r="505" spans="1:50" ht="15" x14ac:dyDescent="0.2">
      <c r="A505" s="3">
        <v>201200</v>
      </c>
      <c r="B505" s="1" t="s">
        <v>471</v>
      </c>
      <c r="C505" s="3">
        <v>1</v>
      </c>
      <c r="D505" s="3" t="s">
        <v>465</v>
      </c>
      <c r="E505" s="3">
        <v>21</v>
      </c>
      <c r="F505" s="3" t="s">
        <v>474</v>
      </c>
      <c r="G505" s="7" t="s">
        <v>416</v>
      </c>
      <c r="H505" s="3">
        <v>1011</v>
      </c>
      <c r="I505" s="3" t="s">
        <v>532</v>
      </c>
      <c r="J505" s="3">
        <v>38</v>
      </c>
      <c r="K505" s="3" t="s">
        <v>1522</v>
      </c>
      <c r="L505" s="3">
        <v>0</v>
      </c>
      <c r="M505" s="3" t="s">
        <v>1522</v>
      </c>
      <c r="N505" s="3" t="s">
        <v>532</v>
      </c>
      <c r="O505" s="10">
        <v>31880</v>
      </c>
      <c r="P505" s="10">
        <v>43234</v>
      </c>
      <c r="Q505" s="10"/>
      <c r="R505" s="10">
        <v>43234</v>
      </c>
      <c r="S505" s="23">
        <v>3507.98</v>
      </c>
      <c r="T505" s="3">
        <v>60664554</v>
      </c>
      <c r="U505" s="3">
        <v>28704130300335</v>
      </c>
      <c r="V505" s="4" t="s">
        <v>2594</v>
      </c>
      <c r="W505" s="4"/>
      <c r="X505" s="4" t="s">
        <v>2427</v>
      </c>
      <c r="Y505" s="4">
        <v>2004</v>
      </c>
      <c r="Z505" s="3">
        <f ca="1">DATEDIF(Table1[[#This Row],[تاريخ الميلاد]],TODAY(),"y")</f>
        <v>39</v>
      </c>
      <c r="AA505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39 عام 4  شهر  7  يوم </v>
      </c>
      <c r="AB505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8عام3  شهر  6  يوم </v>
      </c>
      <c r="AC505" s="10">
        <f>DATE(YEAR(Table1[[#This Row],[تاريخ الميلاد]])+60,MONTH(Table1[[#This Row],[تاريخ الميلاد]]),DAY(Table1[[#This Row],[تاريخ الميلاد]]))</f>
        <v>53795</v>
      </c>
      <c r="AD505" s="14">
        <f>DATE(YEAR(Table1[[#This Row],[معاش 01/01]])-1,MONTH(Table1[[#This Row],[تاريخ بلوغ 60 ]]),DAY(Table1[[#This Row],[تاريخ بلوغ 60 ]]))</f>
        <v>53795</v>
      </c>
      <c r="AE505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54161</v>
      </c>
      <c r="AF505" s="10" t="str">
        <f>IFERROR(IF(ISODD(MID(Table1[[#This Row],[الرقم القومي]],13,1)),"ذكر","انثي"),"")</f>
        <v>ذكر</v>
      </c>
      <c r="AG505" s="70" t="s">
        <v>2606</v>
      </c>
      <c r="AH505" s="3">
        <f>IF(MONTH(Table1[[#This Row],[تاريخ بلوغ 60 ]])&lt;&gt;1,1,0)</f>
        <v>1</v>
      </c>
      <c r="AI505" s="3">
        <f>IF(DAY(Table1[[#This Row],[تاريخ بلوغ 60 ]])&lt;&gt;1,1,0)</f>
        <v>1</v>
      </c>
      <c r="AJ505" s="4" t="s">
        <v>465</v>
      </c>
      <c r="AK505" s="4" t="s">
        <v>2689</v>
      </c>
      <c r="AL505" s="62" t="s">
        <v>2593</v>
      </c>
      <c r="AM505" s="62" t="s">
        <v>3174</v>
      </c>
      <c r="AN505" s="2">
        <v>0</v>
      </c>
      <c r="AO505" s="4" t="s">
        <v>2634</v>
      </c>
      <c r="AP505" s="74">
        <v>0</v>
      </c>
      <c r="AQ505" s="4">
        <v>0</v>
      </c>
      <c r="AR505" s="4">
        <v>0</v>
      </c>
      <c r="AS505" s="4" t="s">
        <v>2645</v>
      </c>
      <c r="AT505" s="72">
        <v>0</v>
      </c>
      <c r="AU505" s="2">
        <v>0</v>
      </c>
      <c r="AV505" s="4"/>
      <c r="AW505" s="4"/>
      <c r="AX505" s="4"/>
    </row>
    <row r="506" spans="1:50" ht="15" x14ac:dyDescent="0.2">
      <c r="A506" s="3">
        <v>201209</v>
      </c>
      <c r="B506" s="1" t="s">
        <v>471</v>
      </c>
      <c r="C506" s="3">
        <v>1</v>
      </c>
      <c r="D506" s="3" t="s">
        <v>465</v>
      </c>
      <c r="E506" s="3">
        <v>3</v>
      </c>
      <c r="F506" s="3" t="s">
        <v>472</v>
      </c>
      <c r="G506" s="7" t="s">
        <v>417</v>
      </c>
      <c r="H506" s="3">
        <v>1011</v>
      </c>
      <c r="I506" s="3" t="s">
        <v>532</v>
      </c>
      <c r="J506" s="3">
        <v>38</v>
      </c>
      <c r="K506" s="3" t="s">
        <v>1522</v>
      </c>
      <c r="L506" s="3">
        <v>0</v>
      </c>
      <c r="M506" s="3" t="s">
        <v>1522</v>
      </c>
      <c r="N506" s="3" t="s">
        <v>532</v>
      </c>
      <c r="O506" s="10">
        <v>30154</v>
      </c>
      <c r="P506" s="10">
        <v>43298</v>
      </c>
      <c r="Q506" s="10"/>
      <c r="R506" s="10">
        <v>43298</v>
      </c>
      <c r="S506" s="23">
        <v>3323.17</v>
      </c>
      <c r="T506" s="3">
        <v>13268818</v>
      </c>
      <c r="U506" s="3">
        <v>28207221200631</v>
      </c>
      <c r="V506" s="4" t="s">
        <v>2596</v>
      </c>
      <c r="W506" s="4"/>
      <c r="X506" s="4" t="s">
        <v>2427</v>
      </c>
      <c r="Y506" s="4">
        <v>1999</v>
      </c>
      <c r="Z506" s="3">
        <f ca="1">DATEDIF(Table1[[#This Row],[تاريخ الميلاد]],TODAY(),"y")</f>
        <v>44</v>
      </c>
      <c r="AA506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44 عام 0  شهر  29  يوم </v>
      </c>
      <c r="AB506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8عام1  شهر  3  يوم </v>
      </c>
      <c r="AC506" s="10">
        <f>DATE(YEAR(Table1[[#This Row],[تاريخ الميلاد]])+60,MONTH(Table1[[#This Row],[تاريخ الميلاد]]),DAY(Table1[[#This Row],[تاريخ الميلاد]]))</f>
        <v>52069</v>
      </c>
      <c r="AD506" s="14">
        <f>DATE(YEAR(Table1[[#This Row],[معاش 01/01]])-1,MONTH(Table1[[#This Row],[تاريخ بلوغ 60 ]]),DAY(Table1[[#This Row],[تاريخ بلوغ 60 ]]))</f>
        <v>52069</v>
      </c>
      <c r="AE506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52434</v>
      </c>
      <c r="AF506" s="10" t="str">
        <f>IFERROR(IF(ISODD(MID(Table1[[#This Row],[الرقم القومي]],13,1)),"ذكر","انثي"),"")</f>
        <v>ذكر</v>
      </c>
      <c r="AG506" s="70" t="s">
        <v>1635</v>
      </c>
      <c r="AH506" s="3">
        <f>IF(MONTH(Table1[[#This Row],[تاريخ بلوغ 60 ]])&lt;&gt;1,1,0)</f>
        <v>1</v>
      </c>
      <c r="AI506" s="3">
        <f>IF(DAY(Table1[[#This Row],[تاريخ بلوغ 60 ]])&lt;&gt;1,1,0)</f>
        <v>1</v>
      </c>
      <c r="AJ506" s="4" t="s">
        <v>465</v>
      </c>
      <c r="AK506" s="4">
        <v>0</v>
      </c>
      <c r="AL506" s="62" t="s">
        <v>2595</v>
      </c>
      <c r="AM506" s="62" t="s">
        <v>3175</v>
      </c>
      <c r="AN506" s="2">
        <v>0</v>
      </c>
      <c r="AO506" s="4" t="s">
        <v>2634</v>
      </c>
      <c r="AP506" s="74">
        <v>0</v>
      </c>
      <c r="AQ506" s="4">
        <v>0</v>
      </c>
      <c r="AR506" s="4">
        <v>2</v>
      </c>
      <c r="AS506" s="4" t="s">
        <v>2696</v>
      </c>
      <c r="AT506" s="72">
        <v>4</v>
      </c>
      <c r="AU506" s="2">
        <v>0</v>
      </c>
      <c r="AV506" s="4"/>
      <c r="AW506" s="4"/>
      <c r="AX506" s="4"/>
    </row>
    <row r="507" spans="1:50" ht="15" x14ac:dyDescent="0.2">
      <c r="A507" s="3">
        <v>201653</v>
      </c>
      <c r="B507" s="1" t="s">
        <v>471</v>
      </c>
      <c r="C507" s="3">
        <v>1</v>
      </c>
      <c r="D507" s="3" t="s">
        <v>465</v>
      </c>
      <c r="E507" s="3">
        <v>6</v>
      </c>
      <c r="F507" s="3" t="s">
        <v>473</v>
      </c>
      <c r="G507" s="7" t="s">
        <v>418</v>
      </c>
      <c r="H507" s="3">
        <v>1001</v>
      </c>
      <c r="I507" s="3" t="s">
        <v>522</v>
      </c>
      <c r="J507" s="3">
        <v>38</v>
      </c>
      <c r="K507" s="3" t="s">
        <v>1522</v>
      </c>
      <c r="L507" s="3">
        <v>0</v>
      </c>
      <c r="M507" s="3" t="s">
        <v>1522</v>
      </c>
      <c r="N507" s="3" t="s">
        <v>522</v>
      </c>
      <c r="O507" s="10">
        <v>32944</v>
      </c>
      <c r="P507" s="10">
        <v>43697</v>
      </c>
      <c r="Q507" s="10"/>
      <c r="R507" s="10">
        <v>43697</v>
      </c>
      <c r="S507" s="23">
        <v>3129.95</v>
      </c>
      <c r="T507" s="3">
        <v>38165379</v>
      </c>
      <c r="U507" s="3">
        <v>29003120300103</v>
      </c>
      <c r="V507" s="4" t="s">
        <v>2598</v>
      </c>
      <c r="W507" s="4"/>
      <c r="X507" s="4" t="s">
        <v>2427</v>
      </c>
      <c r="Z507" s="3">
        <f ca="1">DATEDIF(Table1[[#This Row],[تاريخ الميلاد]],TODAY(),"y")</f>
        <v>36</v>
      </c>
      <c r="AA507" s="7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36 عام 5  شهر  8  يوم </v>
      </c>
      <c r="AB507" s="10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7عام0  شهر  0  يوم </v>
      </c>
      <c r="AC507" s="10">
        <f>DATE(YEAR(Table1[[#This Row],[تاريخ الميلاد]])+60,MONTH(Table1[[#This Row],[تاريخ الميلاد]]),DAY(Table1[[#This Row],[تاريخ الميلاد]]))</f>
        <v>54859</v>
      </c>
      <c r="AD507" s="14">
        <f>DATE(YEAR(Table1[[#This Row],[معاش 01/01]])-1,MONTH(Table1[[#This Row],[تاريخ بلوغ 60 ]]),DAY(Table1[[#This Row],[تاريخ بلوغ 60 ]]))</f>
        <v>54859</v>
      </c>
      <c r="AE507" s="18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55224</v>
      </c>
      <c r="AF507" s="10" t="str">
        <f>IFERROR(IF(ISODD(MID(Table1[[#This Row],[الرقم القومي]],13,1)),"ذكر","انثي"),"")</f>
        <v>انثي</v>
      </c>
      <c r="AG507" s="70" t="s">
        <v>2606</v>
      </c>
      <c r="AH507" s="3">
        <f>IF(MONTH(Table1[[#This Row],[تاريخ بلوغ 60 ]])&lt;&gt;1,1,0)</f>
        <v>1</v>
      </c>
      <c r="AI507" s="3">
        <f>IF(DAY(Table1[[#This Row],[تاريخ بلوغ 60 ]])&lt;&gt;1,1,0)</f>
        <v>1</v>
      </c>
      <c r="AJ507" s="4" t="s">
        <v>465</v>
      </c>
      <c r="AK507" s="4" t="s">
        <v>2638</v>
      </c>
      <c r="AL507" s="62" t="s">
        <v>2597</v>
      </c>
      <c r="AM507" s="62" t="s">
        <v>3176</v>
      </c>
      <c r="AN507" s="2">
        <v>0</v>
      </c>
      <c r="AO507" s="4" t="s">
        <v>2634</v>
      </c>
      <c r="AP507" s="74">
        <v>0</v>
      </c>
      <c r="AQ507" s="4">
        <v>0</v>
      </c>
      <c r="AR507" s="4">
        <v>0</v>
      </c>
      <c r="AS507" s="4" t="s">
        <v>2645</v>
      </c>
      <c r="AT507" s="72">
        <v>0</v>
      </c>
      <c r="AU507" s="2">
        <v>0</v>
      </c>
      <c r="AV507" s="4"/>
      <c r="AW507" s="4"/>
      <c r="AX507" s="4"/>
    </row>
    <row r="508" spans="1:50" ht="15" x14ac:dyDescent="0.2">
      <c r="A508" s="3">
        <v>201676</v>
      </c>
      <c r="B508" s="1" t="s">
        <v>471</v>
      </c>
      <c r="C508" s="3">
        <v>1</v>
      </c>
      <c r="D508" s="3" t="s">
        <v>465</v>
      </c>
      <c r="E508" s="3">
        <v>6</v>
      </c>
      <c r="F508" s="3" t="s">
        <v>473</v>
      </c>
      <c r="G508" s="7" t="s">
        <v>419</v>
      </c>
      <c r="H508" s="3">
        <v>1002</v>
      </c>
      <c r="I508" s="3" t="s">
        <v>523</v>
      </c>
      <c r="J508" s="3">
        <v>38</v>
      </c>
      <c r="K508" s="3" t="s">
        <v>1522</v>
      </c>
      <c r="L508" s="3">
        <v>0</v>
      </c>
      <c r="M508" s="3" t="s">
        <v>1522</v>
      </c>
      <c r="N508" s="3" t="s">
        <v>523</v>
      </c>
      <c r="O508" s="10">
        <v>34860</v>
      </c>
      <c r="P508" s="10">
        <v>43796</v>
      </c>
      <c r="Q508" s="10"/>
      <c r="R508" s="10">
        <v>43796</v>
      </c>
      <c r="S508" s="23">
        <v>3129.95</v>
      </c>
      <c r="T508" s="59">
        <v>71887678</v>
      </c>
      <c r="U508" s="59">
        <v>29506108800178</v>
      </c>
      <c r="V508" s="4" t="s">
        <v>2600</v>
      </c>
      <c r="W508" s="4"/>
      <c r="X508" s="4" t="s">
        <v>2427</v>
      </c>
      <c r="Y508" s="4">
        <v>2013</v>
      </c>
      <c r="Z508" s="59">
        <f ca="1">DATEDIF(Table1[[#This Row],[تاريخ الميلاد]],TODAY(),"y")</f>
        <v>31</v>
      </c>
      <c r="AA508" s="8" t="str">
        <f ca="1">DATEDIF(Table1[[#This Row],[تاريخ الميلاد]],TODAY(),"y")&amp;" عام "&amp;DATEDIF(Table1[[#This Row],[تاريخ الميلاد]],TODAY(),"ym")&amp;"  شهر  "&amp;DATEDIF(Table1[[#This Row],[تاريخ الميلاد]],TODAY(),"md")&amp;"  يوم "</f>
        <v xml:space="preserve">31 عام 2  شهر  10  يوم </v>
      </c>
      <c r="AB508" s="11" t="str">
        <f ca="1">IFERROR(DATEDIF(Table1[[#This Row],[تاريخ التعيين]],TODAY(),"y")&amp;"عام"&amp;DATEDIF(Table1[[#This Row],[تاريخ التعيين]],TODAY(),"ym")&amp;"  شهر  "&amp;DATEDIF(Table1[[#This Row],[تاريخ التعيين]],TODAY(),"md")&amp;"  يوم ","")</f>
        <v xml:space="preserve">6عام8  شهر  24  يوم </v>
      </c>
      <c r="AC508" s="11">
        <f>DATE(YEAR(Table1[[#This Row],[تاريخ الميلاد]])+60,MONTH(Table1[[#This Row],[تاريخ الميلاد]]),DAY(Table1[[#This Row],[تاريخ الميلاد]]))</f>
        <v>56775</v>
      </c>
      <c r="AD508" s="15">
        <f>DATE(YEAR(Table1[[#This Row],[معاش 01/01]])-1,MONTH(Table1[[#This Row],[تاريخ بلوغ 60 ]]),DAY(Table1[[#This Row],[تاريخ بلوغ 60 ]]))</f>
        <v>56775</v>
      </c>
      <c r="AE508" s="19">
        <f>IF(Table1[[#This Row],[الشهر=1]]+Table1[[#This Row],[اليوم=1]]&gt;0,DATE(YEAR(Table1[[#This Row],[تاريخ بلوغ 60 ]])+1,MONTH(Table1[[#This Row],[تاريخ بلوغ 60 ]]),DAY(Table1[[#This Row],[تاريخ بلوغ 60 ]])),DATE(YEAR(Table1[[#This Row],[تاريخ بلوغ 60 ]]),MONTH(Table1[[#This Row],[تاريخ بلوغ 60 ]]),DAY(Table1[[#This Row],[تاريخ بلوغ 60 ]])))</f>
        <v>57141</v>
      </c>
      <c r="AF508" s="11" t="str">
        <f>IFERROR(IF(ISODD(MID(Table1[[#This Row],[الرقم القومي]],13,1)),"ذكر","انثي"),"")</f>
        <v>ذكر</v>
      </c>
      <c r="AG508" s="70"/>
      <c r="AH508" s="59">
        <f>IF(MONTH(Table1[[#This Row],[تاريخ بلوغ 60 ]])&lt;&gt;1,1,0)</f>
        <v>1</v>
      </c>
      <c r="AI508" s="59">
        <f>IF(DAY(Table1[[#This Row],[تاريخ بلوغ 60 ]])&lt;&gt;1,1,0)</f>
        <v>1</v>
      </c>
      <c r="AJ508" s="4" t="s">
        <v>465</v>
      </c>
      <c r="AK508" s="4" t="s">
        <v>2770</v>
      </c>
      <c r="AL508" s="62" t="s">
        <v>2599</v>
      </c>
      <c r="AM508" s="62" t="s">
        <v>3177</v>
      </c>
      <c r="AN508" s="2">
        <v>0</v>
      </c>
      <c r="AO508" s="4" t="s">
        <v>2634</v>
      </c>
      <c r="AP508" s="74">
        <v>0</v>
      </c>
      <c r="AQ508" s="4">
        <v>0</v>
      </c>
      <c r="AR508" s="4">
        <v>0</v>
      </c>
      <c r="AS508" s="4" t="s">
        <v>2645</v>
      </c>
      <c r="AT508" s="72">
        <v>0</v>
      </c>
      <c r="AU508" s="2">
        <v>0</v>
      </c>
      <c r="AV508" s="4"/>
      <c r="AW508" s="4"/>
      <c r="AX508" s="4"/>
    </row>
  </sheetData>
  <phoneticPr fontId="9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FE234-05D1-4461-B0DB-74054C3E2C7D}">
  <sheetPr codeName="ورقة2"/>
  <dimension ref="A1:O1147"/>
  <sheetViews>
    <sheetView rightToLeft="1" tabSelected="1" workbookViewId="0">
      <selection activeCell="I21" sqref="I21"/>
    </sheetView>
  </sheetViews>
  <sheetFormatPr defaultRowHeight="14.25" x14ac:dyDescent="0.2"/>
  <cols>
    <col min="1" max="1" width="31" bestFit="1" customWidth="1"/>
    <col min="2" max="2" width="10.75" bestFit="1" customWidth="1"/>
    <col min="3" max="3" width="15.75" bestFit="1" customWidth="1"/>
    <col min="4" max="4" width="13.375" bestFit="1" customWidth="1"/>
    <col min="5" max="5" width="30" bestFit="1" customWidth="1"/>
    <col min="6" max="6" width="35.875" bestFit="1" customWidth="1"/>
    <col min="9" max="9" width="13.25" customWidth="1"/>
    <col min="11" max="11" width="22" customWidth="1"/>
    <col min="12" max="12" width="22" bestFit="1" customWidth="1"/>
  </cols>
  <sheetData>
    <row r="1" spans="1:15" ht="40.5" thickTop="1" thickBot="1" x14ac:dyDescent="0.25">
      <c r="A1" s="81" t="s">
        <v>486</v>
      </c>
      <c r="B1" s="82"/>
      <c r="C1" s="82"/>
      <c r="D1" s="82"/>
      <c r="E1" s="82"/>
      <c r="F1" s="83"/>
      <c r="H1" s="91" t="s">
        <v>457</v>
      </c>
      <c r="I1" s="92" t="s">
        <v>488</v>
      </c>
      <c r="K1" s="54" t="s">
        <v>463</v>
      </c>
      <c r="L1" s="45" t="s">
        <v>1523</v>
      </c>
    </row>
    <row r="2" spans="1:15" ht="19.5" customHeight="1" thickTop="1" thickBot="1" x14ac:dyDescent="0.25">
      <c r="A2" s="88" t="s">
        <v>487</v>
      </c>
      <c r="B2" s="89" t="s">
        <v>457</v>
      </c>
      <c r="C2" s="89" t="s">
        <v>488</v>
      </c>
      <c r="D2" s="89" t="s">
        <v>489</v>
      </c>
      <c r="E2" s="89" t="s">
        <v>459</v>
      </c>
      <c r="F2" s="90" t="s">
        <v>490</v>
      </c>
      <c r="H2" s="39">
        <v>0</v>
      </c>
      <c r="I2" s="42" t="s">
        <v>1522</v>
      </c>
      <c r="K2" s="52">
        <v>2</v>
      </c>
      <c r="L2" s="46" t="s">
        <v>594</v>
      </c>
      <c r="O2" s="5">
        <v>224</v>
      </c>
    </row>
    <row r="3" spans="1:15" ht="19.5" customHeight="1" thickTop="1" thickBot="1" x14ac:dyDescent="0.25">
      <c r="A3" s="25" t="str">
        <f>مهن[[#This Row],[الدرجة]]&amp;مهن[[#This Row],[المهنة]]</f>
        <v>6مهندس معار</v>
      </c>
      <c r="B3" s="26">
        <v>6</v>
      </c>
      <c r="C3" s="26" t="s">
        <v>491</v>
      </c>
      <c r="D3" s="26">
        <v>0</v>
      </c>
      <c r="E3" s="27" t="s">
        <v>492</v>
      </c>
      <c r="F3" s="28" t="s">
        <v>492</v>
      </c>
      <c r="H3" s="40">
        <v>1</v>
      </c>
      <c r="I3" s="43" t="s">
        <v>586</v>
      </c>
      <c r="K3" s="51">
        <v>3</v>
      </c>
      <c r="L3" s="46" t="s">
        <v>1528</v>
      </c>
      <c r="O3" s="3">
        <v>225</v>
      </c>
    </row>
    <row r="4" spans="1:15" ht="19.5" customHeight="1" thickTop="1" thickBot="1" x14ac:dyDescent="0.25">
      <c r="A4" s="25" t="str">
        <f>مهن[[#This Row],[الدرجة]]&amp;مهن[[#This Row],[المهنة]]</f>
        <v>2فنى تشغيل تليفونات</v>
      </c>
      <c r="B4" s="26">
        <v>2</v>
      </c>
      <c r="C4" s="26" t="s">
        <v>493</v>
      </c>
      <c r="D4" s="26">
        <v>111</v>
      </c>
      <c r="E4" s="27" t="s">
        <v>494</v>
      </c>
      <c r="F4" s="28" t="s">
        <v>495</v>
      </c>
      <c r="H4" s="39">
        <v>2</v>
      </c>
      <c r="I4" s="42" t="s">
        <v>493</v>
      </c>
      <c r="K4" s="51">
        <v>4</v>
      </c>
      <c r="L4" s="46" t="s">
        <v>1524</v>
      </c>
      <c r="O4" s="5">
        <v>226</v>
      </c>
    </row>
    <row r="5" spans="1:15" ht="19.5" customHeight="1" thickTop="1" thickBot="1" x14ac:dyDescent="0.25">
      <c r="A5" s="25" t="str">
        <f>مهن[[#This Row],[الدرجة]]&amp;مهن[[#This Row],[المهنة]]</f>
        <v>3فنى تشغيل تليفونات</v>
      </c>
      <c r="B5" s="26">
        <v>3</v>
      </c>
      <c r="C5" s="26" t="s">
        <v>496</v>
      </c>
      <c r="D5" s="26">
        <v>111</v>
      </c>
      <c r="E5" s="27" t="s">
        <v>494</v>
      </c>
      <c r="F5" s="28" t="s">
        <v>497</v>
      </c>
      <c r="H5" s="39">
        <v>3</v>
      </c>
      <c r="I5" s="42" t="s">
        <v>496</v>
      </c>
      <c r="K5" s="51">
        <v>5</v>
      </c>
      <c r="L5" s="46" t="s">
        <v>1523</v>
      </c>
      <c r="O5" s="5">
        <v>227</v>
      </c>
    </row>
    <row r="6" spans="1:15" ht="19.5" customHeight="1" thickTop="1" thickBot="1" x14ac:dyDescent="0.25">
      <c r="A6" s="25" t="str">
        <f>مهن[[#This Row],[الدرجة]]&amp;مهن[[#This Row],[المهنة]]</f>
        <v>4فنى تشغيل تليفونات</v>
      </c>
      <c r="B6" s="26">
        <v>4</v>
      </c>
      <c r="C6" s="26" t="s">
        <v>498</v>
      </c>
      <c r="D6" s="26">
        <v>111</v>
      </c>
      <c r="E6" s="27" t="s">
        <v>494</v>
      </c>
      <c r="F6" s="28" t="s">
        <v>499</v>
      </c>
      <c r="H6" s="39">
        <v>4</v>
      </c>
      <c r="I6" s="42" t="s">
        <v>498</v>
      </c>
      <c r="K6" s="51">
        <v>6</v>
      </c>
      <c r="L6" s="46" t="s">
        <v>1525</v>
      </c>
    </row>
    <row r="7" spans="1:15" ht="19.5" customHeight="1" thickTop="1" thickBot="1" x14ac:dyDescent="0.25">
      <c r="A7" s="25" t="str">
        <f>مهن[[#This Row],[الدرجة]]&amp;مهن[[#This Row],[المهنة]]</f>
        <v>5فنى تشغيل تليفونات</v>
      </c>
      <c r="B7" s="26">
        <v>5</v>
      </c>
      <c r="C7" s="26" t="s">
        <v>500</v>
      </c>
      <c r="D7" s="26">
        <v>111</v>
      </c>
      <c r="E7" s="27" t="s">
        <v>494</v>
      </c>
      <c r="F7" s="28" t="s">
        <v>501</v>
      </c>
      <c r="H7" s="39">
        <v>5</v>
      </c>
      <c r="I7" s="42" t="s">
        <v>500</v>
      </c>
      <c r="K7" s="51">
        <v>7</v>
      </c>
      <c r="L7" s="46" t="s">
        <v>1526</v>
      </c>
    </row>
    <row r="8" spans="1:15" ht="19.5" customHeight="1" thickTop="1" thickBot="1" x14ac:dyDescent="0.25">
      <c r="A8" s="25" t="str">
        <f>مهن[[#This Row],[الدرجة]]&amp;مهن[[#This Row],[المهنة]]</f>
        <v>6فنى تشغيل تليفونات</v>
      </c>
      <c r="B8" s="26">
        <v>6</v>
      </c>
      <c r="C8" s="26" t="s">
        <v>502</v>
      </c>
      <c r="D8" s="26">
        <v>111</v>
      </c>
      <c r="E8" s="27" t="s">
        <v>494</v>
      </c>
      <c r="F8" s="28" t="s">
        <v>503</v>
      </c>
      <c r="H8" s="39">
        <v>6</v>
      </c>
      <c r="I8" s="42" t="s">
        <v>502</v>
      </c>
      <c r="K8" s="51">
        <v>8</v>
      </c>
      <c r="L8" s="46" t="s">
        <v>1527</v>
      </c>
    </row>
    <row r="9" spans="1:15" ht="19.5" customHeight="1" thickTop="1" thickBot="1" x14ac:dyDescent="0.25">
      <c r="A9" s="25" t="str">
        <f>مهن[[#This Row],[الدرجة]]&amp;مهن[[#This Row],[المهنة]]</f>
        <v>7فنى تشغيل تليفونات</v>
      </c>
      <c r="B9" s="26">
        <v>7</v>
      </c>
      <c r="C9" s="26" t="s">
        <v>504</v>
      </c>
      <c r="D9" s="26">
        <v>111</v>
      </c>
      <c r="E9" s="27" t="s">
        <v>494</v>
      </c>
      <c r="F9" s="28" t="s">
        <v>505</v>
      </c>
      <c r="H9" s="39">
        <v>7</v>
      </c>
      <c r="I9" s="42" t="s">
        <v>504</v>
      </c>
      <c r="K9" s="51">
        <v>17</v>
      </c>
      <c r="L9" s="46" t="s">
        <v>1530</v>
      </c>
    </row>
    <row r="10" spans="1:15" ht="19.5" customHeight="1" thickTop="1" thickBot="1" x14ac:dyDescent="0.25">
      <c r="A10" s="25" t="str">
        <f>مهن[[#This Row],[الدرجة]]&amp;مهن[[#This Row],[المهنة]]</f>
        <v>8فنى تشغيل تليفونات</v>
      </c>
      <c r="B10" s="26">
        <v>8</v>
      </c>
      <c r="C10" s="26" t="s">
        <v>506</v>
      </c>
      <c r="D10" s="26">
        <v>111</v>
      </c>
      <c r="E10" s="27" t="s">
        <v>494</v>
      </c>
      <c r="F10" s="28" t="s">
        <v>494</v>
      </c>
      <c r="H10" s="39">
        <v>8</v>
      </c>
      <c r="I10" s="42" t="s">
        <v>506</v>
      </c>
      <c r="K10" s="51">
        <v>18</v>
      </c>
      <c r="L10" s="46" t="s">
        <v>1529</v>
      </c>
    </row>
    <row r="11" spans="1:15" ht="19.5" customHeight="1" thickTop="1" thickBot="1" x14ac:dyDescent="0.25">
      <c r="A11" s="25" t="str">
        <f>مهن[[#This Row],[الدرجة]]&amp;مهن[[#This Row],[المهنة]]</f>
        <v>0مستشار رئيس الهيئة</v>
      </c>
      <c r="B11" s="26">
        <v>0</v>
      </c>
      <c r="C11" s="26" t="s">
        <v>491</v>
      </c>
      <c r="D11" s="26">
        <v>202</v>
      </c>
      <c r="E11" s="27" t="s">
        <v>507</v>
      </c>
      <c r="F11" s="28" t="s">
        <v>507</v>
      </c>
      <c r="H11" s="41">
        <v>9</v>
      </c>
      <c r="I11" s="44" t="s">
        <v>1152</v>
      </c>
      <c r="K11" s="51">
        <v>20</v>
      </c>
      <c r="L11" s="46" t="s">
        <v>1531</v>
      </c>
    </row>
    <row r="12" spans="1:15" ht="19.5" customHeight="1" thickTop="1" thickBot="1" x14ac:dyDescent="0.25">
      <c r="A12" s="25" t="str">
        <f>مهن[[#This Row],[الدرجة]]&amp;مهن[[#This Row],[المهنة]]</f>
        <v>13مستشار رئيس الهيئة</v>
      </c>
      <c r="B12" s="26">
        <v>13</v>
      </c>
      <c r="C12" s="26" t="s">
        <v>508</v>
      </c>
      <c r="D12" s="26">
        <v>202</v>
      </c>
      <c r="E12" s="27" t="s">
        <v>507</v>
      </c>
      <c r="F12" s="28" t="s">
        <v>507</v>
      </c>
      <c r="H12" s="40">
        <v>10</v>
      </c>
      <c r="I12" s="43" t="s">
        <v>1477</v>
      </c>
      <c r="K12" s="51">
        <v>21</v>
      </c>
      <c r="L12" s="46" t="s">
        <v>1533</v>
      </c>
    </row>
    <row r="13" spans="1:15" ht="19.5" customHeight="1" thickTop="1" thickBot="1" x14ac:dyDescent="0.25">
      <c r="A13" s="25" t="str">
        <f>مهن[[#This Row],[الدرجة]]&amp;مهن[[#This Row],[المهنة]]</f>
        <v>2فنى سلامه وصحه مهنية</v>
      </c>
      <c r="B13" s="26">
        <v>2</v>
      </c>
      <c r="C13" s="26" t="s">
        <v>493</v>
      </c>
      <c r="D13" s="26">
        <v>203</v>
      </c>
      <c r="E13" s="27" t="s">
        <v>509</v>
      </c>
      <c r="F13" s="28" t="s">
        <v>510</v>
      </c>
      <c r="H13" s="39">
        <v>11</v>
      </c>
      <c r="I13" s="42" t="s">
        <v>521</v>
      </c>
      <c r="K13" s="51">
        <v>22</v>
      </c>
      <c r="L13" s="46" t="s">
        <v>1532</v>
      </c>
    </row>
    <row r="14" spans="1:15" ht="19.5" customHeight="1" thickTop="1" thickBot="1" x14ac:dyDescent="0.25">
      <c r="A14" s="25" t="str">
        <f>مهن[[#This Row],[الدرجة]]&amp;مهن[[#This Row],[المهنة]]</f>
        <v>3فنى سلامه وصحه مهنية</v>
      </c>
      <c r="B14" s="26">
        <v>3</v>
      </c>
      <c r="C14" s="26" t="s">
        <v>496</v>
      </c>
      <c r="D14" s="26">
        <v>203</v>
      </c>
      <c r="E14" s="27" t="s">
        <v>509</v>
      </c>
      <c r="F14" s="28" t="s">
        <v>511</v>
      </c>
      <c r="H14" s="41">
        <v>12</v>
      </c>
      <c r="I14" s="44" t="s">
        <v>594</v>
      </c>
      <c r="K14" s="51">
        <v>36</v>
      </c>
      <c r="L14" s="46" t="s">
        <v>1492</v>
      </c>
    </row>
    <row r="15" spans="1:15" ht="19.5" customHeight="1" thickTop="1" thickBot="1" x14ac:dyDescent="0.25">
      <c r="A15" s="25" t="str">
        <f>مهن[[#This Row],[الدرجة]]&amp;مهن[[#This Row],[المهنة]]</f>
        <v>4فنى سلامه وصحه مهنية</v>
      </c>
      <c r="B15" s="26">
        <v>4</v>
      </c>
      <c r="C15" s="26" t="s">
        <v>498</v>
      </c>
      <c r="D15" s="26">
        <v>203</v>
      </c>
      <c r="E15" s="27" t="s">
        <v>509</v>
      </c>
      <c r="F15" s="28" t="s">
        <v>512</v>
      </c>
      <c r="H15" s="39">
        <v>13</v>
      </c>
      <c r="I15" s="42" t="s">
        <v>508</v>
      </c>
      <c r="K15" s="51">
        <v>38</v>
      </c>
      <c r="L15" s="46" t="s">
        <v>1522</v>
      </c>
    </row>
    <row r="16" spans="1:15" ht="19.5" customHeight="1" thickTop="1" thickBot="1" x14ac:dyDescent="0.25">
      <c r="A16" s="25" t="str">
        <f>مهن[[#This Row],[الدرجة]]&amp;مهن[[#This Row],[المهنة]]</f>
        <v>5فنى سلامه وصحه مهنية</v>
      </c>
      <c r="B16" s="26">
        <v>5</v>
      </c>
      <c r="C16" s="26" t="s">
        <v>500</v>
      </c>
      <c r="D16" s="26">
        <v>203</v>
      </c>
      <c r="E16" s="27" t="s">
        <v>509</v>
      </c>
      <c r="F16" s="28" t="s">
        <v>513</v>
      </c>
      <c r="H16" s="39">
        <v>14</v>
      </c>
      <c r="I16" s="42" t="s">
        <v>516</v>
      </c>
      <c r="K16" s="51"/>
      <c r="L16" s="46" t="s">
        <v>521</v>
      </c>
    </row>
    <row r="17" spans="1:12" ht="19.5" customHeight="1" thickTop="1" thickBot="1" x14ac:dyDescent="0.25">
      <c r="A17" s="25" t="str">
        <f>مهن[[#This Row],[الدرجة]]&amp;مهن[[#This Row],[المهنة]]</f>
        <v>6فنى سلامه وصحه مهنية</v>
      </c>
      <c r="B17" s="26">
        <v>6</v>
      </c>
      <c r="C17" s="26" t="s">
        <v>502</v>
      </c>
      <c r="D17" s="26">
        <v>203</v>
      </c>
      <c r="E17" s="27" t="s">
        <v>509</v>
      </c>
      <c r="F17" s="28" t="s">
        <v>514</v>
      </c>
      <c r="K17" s="53"/>
      <c r="L17" s="53" t="s">
        <v>1534</v>
      </c>
    </row>
    <row r="18" spans="1:12" ht="19.5" customHeight="1" thickTop="1" thickBot="1" x14ac:dyDescent="0.25">
      <c r="A18" s="25" t="str">
        <f>مهن[[#This Row],[الدرجة]]&amp;مهن[[#This Row],[المهنة]]</f>
        <v>7فنى سلامه وصحه مهنية</v>
      </c>
      <c r="B18" s="26">
        <v>7</v>
      </c>
      <c r="C18" s="26" t="s">
        <v>504</v>
      </c>
      <c r="D18" s="26">
        <v>203</v>
      </c>
      <c r="E18" s="27" t="s">
        <v>509</v>
      </c>
      <c r="F18" s="28" t="s">
        <v>515</v>
      </c>
    </row>
    <row r="19" spans="1:12" ht="19.5" customHeight="1" thickTop="1" thickBot="1" x14ac:dyDescent="0.25">
      <c r="A19" s="25" t="str">
        <f>مهن[[#This Row],[الدرجة]]&amp;مهن[[#This Row],[المهنة]]</f>
        <v>8فنى سلامه وصحه مهنية</v>
      </c>
      <c r="B19" s="26">
        <v>8</v>
      </c>
      <c r="C19" s="26" t="s">
        <v>506</v>
      </c>
      <c r="D19" s="26">
        <v>203</v>
      </c>
      <c r="E19" s="27" t="s">
        <v>509</v>
      </c>
      <c r="F19" s="28" t="s">
        <v>509</v>
      </c>
    </row>
    <row r="20" spans="1:12" ht="19.5" customHeight="1" thickTop="1" thickBot="1" x14ac:dyDescent="0.25">
      <c r="A20" s="25" t="str">
        <f>مهن[[#This Row],[الدرجة]]&amp;مهن[[#This Row],[المهنة]]</f>
        <v>14رئيس الهيئة</v>
      </c>
      <c r="B20" s="26">
        <v>14</v>
      </c>
      <c r="C20" s="26" t="s">
        <v>516</v>
      </c>
      <c r="D20" s="26">
        <v>204</v>
      </c>
      <c r="E20" s="27" t="s">
        <v>516</v>
      </c>
      <c r="F20" s="28" t="s">
        <v>516</v>
      </c>
    </row>
    <row r="21" spans="1:12" ht="19.5" customHeight="1" thickTop="1" thickBot="1" x14ac:dyDescent="0.25">
      <c r="A21" s="25" t="str">
        <f>مهن[[#This Row],[الدرجة]]&amp;مهن[[#This Row],[المهنة]]</f>
        <v>13نائب رئيس الهيئة</v>
      </c>
      <c r="B21" s="26">
        <v>13</v>
      </c>
      <c r="C21" s="26" t="s">
        <v>508</v>
      </c>
      <c r="D21" s="26">
        <v>205</v>
      </c>
      <c r="E21" s="27" t="s">
        <v>517</v>
      </c>
      <c r="F21" s="28" t="s">
        <v>517</v>
      </c>
    </row>
    <row r="22" spans="1:12" ht="19.5" customHeight="1" thickTop="1" thickBot="1" x14ac:dyDescent="0.25">
      <c r="A22" s="25" t="str">
        <f>مهن[[#This Row],[الدرجة]]&amp;مهن[[#This Row],[المهنة]]</f>
        <v>0مدير مكتب السيد الفريق</v>
      </c>
      <c r="B22" s="26">
        <v>0</v>
      </c>
      <c r="C22" s="26" t="s">
        <v>491</v>
      </c>
      <c r="D22" s="26">
        <v>209</v>
      </c>
      <c r="E22" s="27" t="s">
        <v>518</v>
      </c>
      <c r="F22" s="28" t="s">
        <v>518</v>
      </c>
    </row>
    <row r="23" spans="1:12" ht="19.5" customHeight="1" thickTop="1" thickBot="1" x14ac:dyDescent="0.25">
      <c r="A23" s="25" t="str">
        <f>مهن[[#This Row],[الدرجة]]&amp;مهن[[#This Row],[المهنة]]</f>
        <v>0رئيس شؤون الامن للمجري الملاحي</v>
      </c>
      <c r="B23" s="26">
        <v>0</v>
      </c>
      <c r="C23" s="26" t="s">
        <v>491</v>
      </c>
      <c r="D23" s="26">
        <v>210</v>
      </c>
      <c r="E23" s="27" t="s">
        <v>519</v>
      </c>
      <c r="F23" s="28" t="s">
        <v>519</v>
      </c>
      <c r="K23" s="84" t="s">
        <v>2602</v>
      </c>
      <c r="L23" s="85"/>
    </row>
    <row r="24" spans="1:12" ht="19.5" customHeight="1" thickTop="1" thickBot="1" x14ac:dyDescent="0.25">
      <c r="A24" s="25" t="str">
        <f>مهن[[#This Row],[الدرجة]]&amp;مهن[[#This Row],[المهنة]]</f>
        <v>4ربان قاطرة انقاذ</v>
      </c>
      <c r="B24" s="26">
        <v>4</v>
      </c>
      <c r="C24" s="26" t="s">
        <v>498</v>
      </c>
      <c r="D24" s="26">
        <v>211</v>
      </c>
      <c r="E24" s="27" t="s">
        <v>520</v>
      </c>
      <c r="F24" s="28" t="s">
        <v>520</v>
      </c>
      <c r="K24" s="86"/>
      <c r="L24" s="87"/>
    </row>
    <row r="25" spans="1:12" ht="19.5" customHeight="1" thickTop="1" thickBot="1" x14ac:dyDescent="0.25">
      <c r="A25" s="25" t="str">
        <f>مهن[[#This Row],[الدرجة]]&amp;مهن[[#This Row],[المهنة]]</f>
        <v>11ربان قاطرة انقاذ</v>
      </c>
      <c r="B25" s="26">
        <v>11</v>
      </c>
      <c r="C25" s="26" t="s">
        <v>521</v>
      </c>
      <c r="D25" s="26">
        <v>211</v>
      </c>
      <c r="E25" s="27" t="s">
        <v>520</v>
      </c>
      <c r="F25" s="28" t="s">
        <v>520</v>
      </c>
      <c r="K25" s="60" t="s">
        <v>2603</v>
      </c>
      <c r="L25" s="60" t="s">
        <v>2604</v>
      </c>
    </row>
    <row r="26" spans="1:12" ht="19.5" customHeight="1" thickTop="1" thickBot="1" x14ac:dyDescent="0.25">
      <c r="A26" s="25" t="str">
        <f>مهن[[#This Row],[الدرجة]]&amp;مهن[[#This Row],[المهنة]]</f>
        <v>0عقد شامل -اعمال كتابية ومدخل بيانات</v>
      </c>
      <c r="B26" s="26">
        <v>0</v>
      </c>
      <c r="C26" s="26" t="s">
        <v>491</v>
      </c>
      <c r="D26" s="26">
        <v>1001</v>
      </c>
      <c r="E26" s="27" t="s">
        <v>522</v>
      </c>
      <c r="F26" s="28" t="s">
        <v>522</v>
      </c>
      <c r="K26">
        <v>1</v>
      </c>
      <c r="L26" t="s">
        <v>1667</v>
      </c>
    </row>
    <row r="27" spans="1:12" ht="19.5" customHeight="1" thickTop="1" thickBot="1" x14ac:dyDescent="0.25">
      <c r="A27" s="25" t="str">
        <f>مهن[[#This Row],[الدرجة]]&amp;مهن[[#This Row],[المهنة]]</f>
        <v>0عقد شامل -عامل طباعة وتجليد</v>
      </c>
      <c r="B27" s="26">
        <v>0</v>
      </c>
      <c r="C27" s="26" t="s">
        <v>491</v>
      </c>
      <c r="D27" s="26">
        <v>1002</v>
      </c>
      <c r="E27" s="27" t="s">
        <v>523</v>
      </c>
      <c r="F27" s="28" t="s">
        <v>523</v>
      </c>
      <c r="K27">
        <v>2</v>
      </c>
      <c r="L27" t="s">
        <v>2605</v>
      </c>
    </row>
    <row r="28" spans="1:12" ht="19.5" customHeight="1" thickTop="1" thickBot="1" x14ac:dyDescent="0.25">
      <c r="A28" s="25" t="str">
        <f>مهن[[#This Row],[الدرجة]]&amp;مهن[[#This Row],[المهنة]]</f>
        <v>0عقد شامل -عامل إنشاءات وصيانة</v>
      </c>
      <c r="B28" s="26">
        <v>0</v>
      </c>
      <c r="C28" s="26" t="s">
        <v>491</v>
      </c>
      <c r="D28" s="26">
        <v>1003</v>
      </c>
      <c r="E28" s="27" t="s">
        <v>524</v>
      </c>
      <c r="F28" s="28" t="s">
        <v>524</v>
      </c>
      <c r="K28">
        <v>3</v>
      </c>
      <c r="L28" t="s">
        <v>2606</v>
      </c>
    </row>
    <row r="29" spans="1:12" ht="19.5" customHeight="1" thickTop="1" thickBot="1" x14ac:dyDescent="0.25">
      <c r="A29" s="25" t="str">
        <f>مهن[[#This Row],[الدرجة]]&amp;مهن[[#This Row],[المهنة]]</f>
        <v>0عقد شامل -عامل تجليخ معادن</v>
      </c>
      <c r="B29" s="26">
        <v>0</v>
      </c>
      <c r="C29" s="26" t="s">
        <v>491</v>
      </c>
      <c r="D29" s="26">
        <v>1004</v>
      </c>
      <c r="E29" s="27" t="s">
        <v>525</v>
      </c>
      <c r="F29" s="28" t="s">
        <v>525</v>
      </c>
      <c r="K29">
        <v>4</v>
      </c>
      <c r="L29" t="s">
        <v>1675</v>
      </c>
    </row>
    <row r="30" spans="1:12" ht="19.5" customHeight="1" thickTop="1" thickBot="1" x14ac:dyDescent="0.25">
      <c r="A30" s="25" t="str">
        <f>مهن[[#This Row],[الدرجة]]&amp;مهن[[#This Row],[المهنة]]</f>
        <v>0عقد شامل -عامل لحام كهرباء وقطعية</v>
      </c>
      <c r="B30" s="26">
        <v>0</v>
      </c>
      <c r="C30" s="26" t="s">
        <v>491</v>
      </c>
      <c r="D30" s="26">
        <v>1005</v>
      </c>
      <c r="E30" s="27" t="s">
        <v>526</v>
      </c>
      <c r="F30" s="28" t="s">
        <v>526</v>
      </c>
      <c r="K30">
        <v>5</v>
      </c>
      <c r="L30" t="s">
        <v>465</v>
      </c>
    </row>
    <row r="31" spans="1:12" ht="19.5" customHeight="1" thickTop="1" thickBot="1" x14ac:dyDescent="0.25">
      <c r="A31" s="25" t="str">
        <f>مهن[[#This Row],[الدرجة]]&amp;مهن[[#This Row],[المهنة]]</f>
        <v>0عقد شامل -عامل توضيب</v>
      </c>
      <c r="B31" s="26">
        <v>0</v>
      </c>
      <c r="C31" s="26" t="s">
        <v>491</v>
      </c>
      <c r="D31" s="26">
        <v>1006</v>
      </c>
      <c r="E31" s="27" t="s">
        <v>527</v>
      </c>
      <c r="F31" s="28" t="s">
        <v>527</v>
      </c>
      <c r="K31">
        <v>6</v>
      </c>
      <c r="L31" t="s">
        <v>2607</v>
      </c>
    </row>
    <row r="32" spans="1:12" ht="19.5" customHeight="1" thickTop="1" thickBot="1" x14ac:dyDescent="0.25">
      <c r="A32" s="25" t="str">
        <f>مهن[[#This Row],[الدرجة]]&amp;مهن[[#This Row],[المهنة]]</f>
        <v>0عقد شامل -عامل صيدلية</v>
      </c>
      <c r="B32" s="26">
        <v>0</v>
      </c>
      <c r="C32" s="26" t="s">
        <v>491</v>
      </c>
      <c r="D32" s="26">
        <v>1007</v>
      </c>
      <c r="E32" s="27" t="s">
        <v>528</v>
      </c>
      <c r="F32" s="28" t="s">
        <v>528</v>
      </c>
      <c r="K32">
        <v>7</v>
      </c>
      <c r="L32" t="s">
        <v>2608</v>
      </c>
    </row>
    <row r="33" spans="1:12" ht="19.5" customHeight="1" thickTop="1" thickBot="1" x14ac:dyDescent="0.25">
      <c r="A33" s="25" t="str">
        <f>مهن[[#This Row],[الدرجة]]&amp;مهن[[#This Row],[المهنة]]</f>
        <v>0عقد شامل -عامل تثقيبات تربة</v>
      </c>
      <c r="B33" s="26">
        <v>0</v>
      </c>
      <c r="C33" s="26" t="s">
        <v>491</v>
      </c>
      <c r="D33" s="26">
        <v>1008</v>
      </c>
      <c r="E33" s="27" t="s">
        <v>529</v>
      </c>
      <c r="F33" s="28" t="s">
        <v>529</v>
      </c>
      <c r="K33">
        <v>8</v>
      </c>
      <c r="L33" t="s">
        <v>1719</v>
      </c>
    </row>
    <row r="34" spans="1:12" ht="19.5" customHeight="1" thickTop="1" thickBot="1" x14ac:dyDescent="0.25">
      <c r="A34" s="25" t="str">
        <f>مهن[[#This Row],[الدرجة]]&amp;مهن[[#This Row],[المهنة]]</f>
        <v>0عقد شامل - بحرى</v>
      </c>
      <c r="B34" s="26">
        <v>0</v>
      </c>
      <c r="C34" s="26" t="s">
        <v>491</v>
      </c>
      <c r="D34" s="26">
        <v>1009</v>
      </c>
      <c r="E34" s="27" t="s">
        <v>530</v>
      </c>
      <c r="F34" s="28" t="s">
        <v>530</v>
      </c>
      <c r="K34">
        <v>9</v>
      </c>
      <c r="L34" t="s">
        <v>2016</v>
      </c>
    </row>
    <row r="35" spans="1:12" ht="19.5" customHeight="1" thickTop="1" thickBot="1" x14ac:dyDescent="0.25">
      <c r="A35" s="25" t="str">
        <f>مهن[[#This Row],[الدرجة]]&amp;مهن[[#This Row],[المهنة]]</f>
        <v>0عقد شامل -عامل خدمات معاونة</v>
      </c>
      <c r="B35" s="26">
        <v>0</v>
      </c>
      <c r="C35" s="26" t="s">
        <v>491</v>
      </c>
      <c r="D35" s="26">
        <v>1010</v>
      </c>
      <c r="E35" s="27" t="s">
        <v>531</v>
      </c>
      <c r="F35" s="28" t="s">
        <v>531</v>
      </c>
      <c r="K35">
        <v>10</v>
      </c>
      <c r="L35" t="s">
        <v>1614</v>
      </c>
    </row>
    <row r="36" spans="1:12" ht="19.5" customHeight="1" thickTop="1" thickBot="1" x14ac:dyDescent="0.25">
      <c r="A36" s="25" t="str">
        <f>مهن[[#This Row],[الدرجة]]&amp;مهن[[#This Row],[المهنة]]</f>
        <v>0عقد شامل -سائق سيارة</v>
      </c>
      <c r="B36" s="26">
        <v>0</v>
      </c>
      <c r="C36" s="26" t="s">
        <v>491</v>
      </c>
      <c r="D36" s="26">
        <v>1011</v>
      </c>
      <c r="E36" s="27" t="s">
        <v>532</v>
      </c>
      <c r="F36" s="28" t="s">
        <v>532</v>
      </c>
      <c r="K36">
        <v>11</v>
      </c>
      <c r="L36" t="s">
        <v>2609</v>
      </c>
    </row>
    <row r="37" spans="1:12" ht="19.5" customHeight="1" thickTop="1" thickBot="1" x14ac:dyDescent="0.25">
      <c r="A37" s="25" t="str">
        <f>مهن[[#This Row],[الدرجة]]&amp;مهن[[#This Row],[المهنة]]</f>
        <v>0عقد شامل -عامل معمل تحاليل</v>
      </c>
      <c r="B37" s="26">
        <v>0</v>
      </c>
      <c r="C37" s="26" t="s">
        <v>491</v>
      </c>
      <c r="D37" s="26">
        <v>1012</v>
      </c>
      <c r="E37" s="27" t="s">
        <v>533</v>
      </c>
      <c r="F37" s="28" t="s">
        <v>533</v>
      </c>
      <c r="K37">
        <v>12</v>
      </c>
      <c r="L37" t="s">
        <v>1635</v>
      </c>
    </row>
    <row r="38" spans="1:12" ht="19.5" customHeight="1" thickTop="1" thickBot="1" x14ac:dyDescent="0.25">
      <c r="A38" s="25" t="str">
        <f>مهن[[#This Row],[الدرجة]]&amp;مهن[[#This Row],[المهنة]]</f>
        <v>0عقد شامل -عامل كهربائى قوى</v>
      </c>
      <c r="B38" s="26">
        <v>0</v>
      </c>
      <c r="C38" s="26" t="s">
        <v>491</v>
      </c>
      <c r="D38" s="26">
        <v>1013</v>
      </c>
      <c r="E38" s="27" t="s">
        <v>534</v>
      </c>
      <c r="F38" s="28" t="s">
        <v>534</v>
      </c>
      <c r="K38">
        <v>13</v>
      </c>
      <c r="L38" t="s">
        <v>2610</v>
      </c>
    </row>
    <row r="39" spans="1:12" ht="19.5" customHeight="1" thickTop="1" thickBot="1" x14ac:dyDescent="0.25">
      <c r="A39" s="25" t="str">
        <f>مهن[[#This Row],[الدرجة]]&amp;مهن[[#This Row],[المهنة]]</f>
        <v>0عقد شامل -عامل تمريض</v>
      </c>
      <c r="B39" s="26">
        <v>0</v>
      </c>
      <c r="C39" s="26" t="s">
        <v>491</v>
      </c>
      <c r="D39" s="26">
        <v>1014</v>
      </c>
      <c r="E39" s="27" t="s">
        <v>535</v>
      </c>
      <c r="F39" s="28" t="s">
        <v>535</v>
      </c>
      <c r="K39">
        <v>14</v>
      </c>
      <c r="L39" t="s">
        <v>2611</v>
      </c>
    </row>
    <row r="40" spans="1:12" ht="19.5" customHeight="1" thickTop="1" thickBot="1" x14ac:dyDescent="0.25">
      <c r="A40" s="25" t="str">
        <f>مهن[[#This Row],[الدرجة]]&amp;مهن[[#This Row],[المهنة]]</f>
        <v>0عقد شامل -عامل منجد</v>
      </c>
      <c r="B40" s="26">
        <v>0</v>
      </c>
      <c r="C40" s="26" t="s">
        <v>491</v>
      </c>
      <c r="D40" s="26">
        <v>1015</v>
      </c>
      <c r="E40" s="27" t="s">
        <v>536</v>
      </c>
      <c r="F40" s="28" t="s">
        <v>536</v>
      </c>
      <c r="K40">
        <v>15</v>
      </c>
      <c r="L40" t="s">
        <v>2612</v>
      </c>
    </row>
    <row r="41" spans="1:12" ht="19.5" customHeight="1" thickTop="1" thickBot="1" x14ac:dyDescent="0.25">
      <c r="A41" s="25" t="str">
        <f>مهن[[#This Row],[الدرجة]]&amp;مهن[[#This Row],[المهنة]]</f>
        <v>0عقد شامل -عامل ميكانيكى تركيبات</v>
      </c>
      <c r="B41" s="26">
        <v>0</v>
      </c>
      <c r="C41" s="26" t="s">
        <v>491</v>
      </c>
      <c r="D41" s="26">
        <v>1016</v>
      </c>
      <c r="E41" s="27" t="s">
        <v>537</v>
      </c>
      <c r="F41" s="28" t="s">
        <v>537</v>
      </c>
      <c r="K41">
        <v>16</v>
      </c>
      <c r="L41" t="s">
        <v>2613</v>
      </c>
    </row>
    <row r="42" spans="1:12" ht="19.5" customHeight="1" thickTop="1" thickBot="1" x14ac:dyDescent="0.25">
      <c r="A42" s="25" t="str">
        <f>مهن[[#This Row],[الدرجة]]&amp;مهن[[#This Row],[المهنة]]</f>
        <v>0عقد شامل -عامل جناينى</v>
      </c>
      <c r="B42" s="26">
        <v>0</v>
      </c>
      <c r="C42" s="26" t="s">
        <v>491</v>
      </c>
      <c r="D42" s="26">
        <v>1017</v>
      </c>
      <c r="E42" s="27" t="s">
        <v>538</v>
      </c>
      <c r="F42" s="28" t="s">
        <v>538</v>
      </c>
      <c r="K42">
        <v>17</v>
      </c>
      <c r="L42" t="s">
        <v>2614</v>
      </c>
    </row>
    <row r="43" spans="1:12" ht="19.5" customHeight="1" thickTop="1" thickBot="1" x14ac:dyDescent="0.25">
      <c r="A43" s="25" t="str">
        <f>مهن[[#This Row],[الدرجة]]&amp;مهن[[#This Row],[المهنة]]</f>
        <v>0عقد شامل -سائق معده</v>
      </c>
      <c r="B43" s="26">
        <v>0</v>
      </c>
      <c r="C43" s="26" t="s">
        <v>491</v>
      </c>
      <c r="D43" s="26">
        <v>1018</v>
      </c>
      <c r="E43" s="27" t="s">
        <v>539</v>
      </c>
      <c r="F43" s="28" t="s">
        <v>539</v>
      </c>
      <c r="K43">
        <v>18</v>
      </c>
      <c r="L43" t="s">
        <v>2615</v>
      </c>
    </row>
    <row r="44" spans="1:12" ht="19.5" customHeight="1" thickTop="1" thickBot="1" x14ac:dyDescent="0.25">
      <c r="A44" s="25" t="str">
        <f>مهن[[#This Row],[الدرجة]]&amp;مهن[[#This Row],[المهنة]]</f>
        <v>0عقد شامل -عامل مصعد</v>
      </c>
      <c r="B44" s="26">
        <v>0</v>
      </c>
      <c r="C44" s="26" t="s">
        <v>491</v>
      </c>
      <c r="D44" s="26">
        <v>1019</v>
      </c>
      <c r="E44" s="27" t="s">
        <v>540</v>
      </c>
      <c r="F44" s="28" t="s">
        <v>540</v>
      </c>
      <c r="K44">
        <v>19</v>
      </c>
      <c r="L44" t="s">
        <v>2616</v>
      </c>
    </row>
    <row r="45" spans="1:12" ht="19.5" customHeight="1" thickTop="1" thickBot="1" x14ac:dyDescent="0.25">
      <c r="A45" s="25" t="str">
        <f>مهن[[#This Row],[الدرجة]]&amp;مهن[[#This Row],[المهنة]]</f>
        <v>0عقد شامل -عامل براده مواسير</v>
      </c>
      <c r="B45" s="26">
        <v>0</v>
      </c>
      <c r="C45" s="26" t="s">
        <v>491</v>
      </c>
      <c r="D45" s="26">
        <v>1021</v>
      </c>
      <c r="E45" s="27" t="s">
        <v>541</v>
      </c>
      <c r="F45" s="28" t="s">
        <v>541</v>
      </c>
      <c r="K45">
        <v>20</v>
      </c>
      <c r="L45" t="s">
        <v>2116</v>
      </c>
    </row>
    <row r="46" spans="1:12" ht="19.5" customHeight="1" thickTop="1" thickBot="1" x14ac:dyDescent="0.25">
      <c r="A46" s="25" t="str">
        <f>مهن[[#This Row],[الدرجة]]&amp;مهن[[#This Row],[المهنة]]</f>
        <v>0عقد شامل -عامل إستورجى</v>
      </c>
      <c r="B46" s="26">
        <v>0</v>
      </c>
      <c r="C46" s="26" t="s">
        <v>491</v>
      </c>
      <c r="D46" s="26">
        <v>1022</v>
      </c>
      <c r="E46" s="27" t="s">
        <v>542</v>
      </c>
      <c r="F46" s="28" t="s">
        <v>542</v>
      </c>
      <c r="K46">
        <v>21</v>
      </c>
      <c r="L46" t="s">
        <v>2617</v>
      </c>
    </row>
    <row r="47" spans="1:12" ht="19.5" customHeight="1" thickTop="1" thickBot="1" x14ac:dyDescent="0.25">
      <c r="A47" s="25" t="str">
        <f>مهن[[#This Row],[الدرجة]]&amp;مهن[[#This Row],[المهنة]]</f>
        <v>0عقد شامل -عامل رشمه ودهان</v>
      </c>
      <c r="B47" s="26">
        <v>0</v>
      </c>
      <c r="C47" s="26" t="s">
        <v>491</v>
      </c>
      <c r="D47" s="26">
        <v>1023</v>
      </c>
      <c r="E47" s="27" t="s">
        <v>543</v>
      </c>
      <c r="F47" s="28" t="s">
        <v>543</v>
      </c>
      <c r="K47">
        <v>22</v>
      </c>
      <c r="L47" t="s">
        <v>2618</v>
      </c>
    </row>
    <row r="48" spans="1:12" ht="19.5" customHeight="1" thickTop="1" thickBot="1" x14ac:dyDescent="0.25">
      <c r="A48" s="25" t="str">
        <f>مهن[[#This Row],[الدرجة]]&amp;مهن[[#This Row],[المهنة]]</f>
        <v>0عقد شامل -عامل سمكرى سيارات</v>
      </c>
      <c r="B48" s="26">
        <v>0</v>
      </c>
      <c r="C48" s="26" t="s">
        <v>491</v>
      </c>
      <c r="D48" s="26">
        <v>1024</v>
      </c>
      <c r="E48" s="27" t="s">
        <v>544</v>
      </c>
      <c r="F48" s="28" t="s">
        <v>544</v>
      </c>
      <c r="K48">
        <v>23</v>
      </c>
      <c r="L48" t="s">
        <v>2619</v>
      </c>
    </row>
    <row r="49" spans="1:12" ht="19.5" customHeight="1" thickTop="1" thickBot="1" x14ac:dyDescent="0.25">
      <c r="A49" s="25" t="str">
        <f>مهن[[#This Row],[الدرجة]]&amp;مهن[[#This Row],[المهنة]]</f>
        <v>0عقد شامل -عامل إصلاح كاوتشوك</v>
      </c>
      <c r="B49" s="26">
        <v>0</v>
      </c>
      <c r="C49" s="26" t="s">
        <v>491</v>
      </c>
      <c r="D49" s="26">
        <v>1025</v>
      </c>
      <c r="E49" s="27" t="s">
        <v>545</v>
      </c>
      <c r="F49" s="28" t="s">
        <v>545</v>
      </c>
      <c r="K49">
        <v>24</v>
      </c>
      <c r="L49" t="s">
        <v>2009</v>
      </c>
    </row>
    <row r="50" spans="1:12" ht="19.5" customHeight="1" thickTop="1" thickBot="1" x14ac:dyDescent="0.25">
      <c r="A50" s="25" t="str">
        <f>مهن[[#This Row],[الدرجة]]&amp;مهن[[#This Row],[المهنة]]</f>
        <v>0عقد شامل -عامل ميكانيكا سيارات</v>
      </c>
      <c r="B50" s="26">
        <v>0</v>
      </c>
      <c r="C50" s="26" t="s">
        <v>491</v>
      </c>
      <c r="D50" s="26">
        <v>1026</v>
      </c>
      <c r="E50" s="27" t="s">
        <v>546</v>
      </c>
      <c r="F50" s="28" t="s">
        <v>546</v>
      </c>
      <c r="K50">
        <v>25</v>
      </c>
      <c r="L50" t="s">
        <v>2318</v>
      </c>
    </row>
    <row r="51" spans="1:12" ht="19.5" customHeight="1" thickTop="1" thickBot="1" x14ac:dyDescent="0.25">
      <c r="A51" s="25" t="str">
        <f>مهن[[#This Row],[الدرجة]]&amp;مهن[[#This Row],[المهنة]]</f>
        <v>0عقد شامل -عامل نجاره عامه</v>
      </c>
      <c r="B51" s="26">
        <v>0</v>
      </c>
      <c r="C51" s="26" t="s">
        <v>491</v>
      </c>
      <c r="D51" s="26">
        <v>1027</v>
      </c>
      <c r="E51" s="27" t="s">
        <v>547</v>
      </c>
      <c r="F51" s="28" t="s">
        <v>547</v>
      </c>
      <c r="K51">
        <v>26</v>
      </c>
      <c r="L51" t="s">
        <v>2620</v>
      </c>
    </row>
    <row r="52" spans="1:12" ht="19.5" customHeight="1" thickTop="1" thickBot="1" x14ac:dyDescent="0.25">
      <c r="A52" s="25" t="str">
        <f>مهن[[#This Row],[الدرجة]]&amp;مهن[[#This Row],[المهنة]]</f>
        <v>0عقد شامل -عامل خراطه معادن</v>
      </c>
      <c r="B52" s="26">
        <v>0</v>
      </c>
      <c r="C52" s="26" t="s">
        <v>491</v>
      </c>
      <c r="D52" s="26">
        <v>1028</v>
      </c>
      <c r="E52" s="27" t="s">
        <v>548</v>
      </c>
      <c r="F52" s="28" t="s">
        <v>548</v>
      </c>
      <c r="K52">
        <v>27</v>
      </c>
      <c r="L52" t="s">
        <v>2621</v>
      </c>
    </row>
    <row r="53" spans="1:12" ht="19.5" customHeight="1" thickTop="1" thickBot="1" x14ac:dyDescent="0.25">
      <c r="A53" s="25" t="str">
        <f>مهن[[#This Row],[الدرجة]]&amp;مهن[[#This Row],[المهنة]]</f>
        <v>0عقد شامل -عامل محركات بحرية</v>
      </c>
      <c r="B53" s="26">
        <v>0</v>
      </c>
      <c r="C53" s="26" t="s">
        <v>491</v>
      </c>
      <c r="D53" s="26">
        <v>1030</v>
      </c>
      <c r="E53" s="27" t="s">
        <v>549</v>
      </c>
      <c r="F53" s="28" t="s">
        <v>549</v>
      </c>
      <c r="K53">
        <v>28</v>
      </c>
      <c r="L53" t="s">
        <v>2622</v>
      </c>
    </row>
    <row r="54" spans="1:12" ht="19.5" customHeight="1" thickTop="1" thickBot="1" x14ac:dyDescent="0.25">
      <c r="A54" s="25" t="str">
        <f>مهن[[#This Row],[الدرجة]]&amp;مهن[[#This Row],[المهنة]]</f>
        <v>0عقد شامل -عامل سباكه معادن</v>
      </c>
      <c r="B54" s="26">
        <v>0</v>
      </c>
      <c r="C54" s="26" t="s">
        <v>491</v>
      </c>
      <c r="D54" s="26">
        <v>1031</v>
      </c>
      <c r="E54" s="27" t="s">
        <v>550</v>
      </c>
      <c r="F54" s="28" t="s">
        <v>550</v>
      </c>
      <c r="K54">
        <v>29</v>
      </c>
      <c r="L54" t="s">
        <v>2623</v>
      </c>
    </row>
    <row r="55" spans="1:12" ht="19.5" customHeight="1" thickTop="1" thickBot="1" x14ac:dyDescent="0.25">
      <c r="A55" s="25" t="str">
        <f>مهن[[#This Row],[الدرجة]]&amp;مهن[[#This Row],[المهنة]]</f>
        <v>0عقد شامل - عامل تغذيه</v>
      </c>
      <c r="B55" s="26">
        <v>0</v>
      </c>
      <c r="C55" s="26" t="s">
        <v>491</v>
      </c>
      <c r="D55" s="26">
        <v>1032</v>
      </c>
      <c r="E55" s="27" t="s">
        <v>551</v>
      </c>
      <c r="F55" s="28" t="s">
        <v>551</v>
      </c>
      <c r="K55">
        <v>30</v>
      </c>
      <c r="L55" t="s">
        <v>2624</v>
      </c>
    </row>
    <row r="56" spans="1:12" ht="19.5" customHeight="1" thickTop="1" thickBot="1" x14ac:dyDescent="0.25">
      <c r="A56" s="25" t="str">
        <f>مهن[[#This Row],[الدرجة]]&amp;مهن[[#This Row],[المهنة]]</f>
        <v>0عقد شامل-عامل صيانة الالات بال</v>
      </c>
      <c r="B56" s="26">
        <v>0</v>
      </c>
      <c r="C56" s="26" t="s">
        <v>491</v>
      </c>
      <c r="D56" s="26">
        <v>1033</v>
      </c>
      <c r="E56" s="27" t="s">
        <v>552</v>
      </c>
      <c r="F56" s="28" t="s">
        <v>552</v>
      </c>
      <c r="K56">
        <v>50</v>
      </c>
      <c r="L56" t="s">
        <v>491</v>
      </c>
    </row>
    <row r="57" spans="1:12" ht="19.5" customHeight="1" thickTop="1" thickBot="1" x14ac:dyDescent="0.25">
      <c r="A57" s="25" t="str">
        <f>مهن[[#This Row],[الدرجة]]&amp;مهن[[#This Row],[المهنة]]</f>
        <v>0عقد شامل -مساعد معمل تحاليل طبية</v>
      </c>
      <c r="B57" s="26">
        <v>0</v>
      </c>
      <c r="C57" s="26" t="s">
        <v>491</v>
      </c>
      <c r="D57" s="26">
        <v>1034</v>
      </c>
      <c r="E57" s="27" t="s">
        <v>553</v>
      </c>
      <c r="F57" s="28" t="s">
        <v>553</v>
      </c>
    </row>
    <row r="58" spans="1:12" ht="19.5" customHeight="1" thickTop="1" thickBot="1" x14ac:dyDescent="0.25">
      <c r="A58" s="25" t="str">
        <f>مهن[[#This Row],[الدرجة]]&amp;مهن[[#This Row],[المهنة]]</f>
        <v>0عقد شامل - حجار</v>
      </c>
      <c r="B58" s="26">
        <v>0</v>
      </c>
      <c r="C58" s="26" t="s">
        <v>491</v>
      </c>
      <c r="D58" s="26">
        <v>1035</v>
      </c>
      <c r="E58" s="27" t="s">
        <v>554</v>
      </c>
      <c r="F58" s="28" t="s">
        <v>554</v>
      </c>
    </row>
    <row r="59" spans="1:12" ht="19.5" customHeight="1" thickTop="1" thickBot="1" x14ac:dyDescent="0.25">
      <c r="A59" s="25" t="str">
        <f>مهن[[#This Row],[الدرجة]]&amp;مهن[[#This Row],[المهنة]]</f>
        <v>0عقد شامل - سروجى</v>
      </c>
      <c r="B59" s="26">
        <v>0</v>
      </c>
      <c r="C59" s="26" t="s">
        <v>491</v>
      </c>
      <c r="D59" s="26">
        <v>1036</v>
      </c>
      <c r="E59" s="27" t="s">
        <v>555</v>
      </c>
      <c r="F59" s="28" t="s">
        <v>555</v>
      </c>
    </row>
    <row r="60" spans="1:12" ht="19.5" customHeight="1" thickTop="1" thickBot="1" x14ac:dyDescent="0.25">
      <c r="A60" s="25" t="str">
        <f>مهن[[#This Row],[الدرجة]]&amp;مهن[[#This Row],[المهنة]]</f>
        <v>0عقد شامل - عامل تشحييم وتزييت</v>
      </c>
      <c r="B60" s="26">
        <v>0</v>
      </c>
      <c r="C60" s="26" t="s">
        <v>491</v>
      </c>
      <c r="D60" s="26">
        <v>1037</v>
      </c>
      <c r="E60" s="27" t="s">
        <v>556</v>
      </c>
      <c r="F60" s="28" t="s">
        <v>556</v>
      </c>
    </row>
    <row r="61" spans="1:12" ht="19.5" customHeight="1" thickTop="1" thickBot="1" x14ac:dyDescent="0.25">
      <c r="A61" s="25" t="str">
        <f>مهن[[#This Row],[الدرجة]]&amp;مهن[[#This Row],[المهنة]]</f>
        <v>0عقد شامل - عامل وناش</v>
      </c>
      <c r="B61" s="26">
        <v>0</v>
      </c>
      <c r="C61" s="26" t="s">
        <v>491</v>
      </c>
      <c r="D61" s="26">
        <v>1038</v>
      </c>
      <c r="E61" s="27" t="s">
        <v>557</v>
      </c>
      <c r="F61" s="28" t="s">
        <v>557</v>
      </c>
    </row>
    <row r="62" spans="1:12" ht="19.5" customHeight="1" thickTop="1" thickBot="1" x14ac:dyDescent="0.25">
      <c r="A62" s="25" t="str">
        <f>مهن[[#This Row],[الدرجة]]&amp;مهن[[#This Row],[المهنة]]</f>
        <v>0عقد شامل - عامل غسيل مروقات وخ</v>
      </c>
      <c r="B62" s="26">
        <v>0</v>
      </c>
      <c r="C62" s="26" t="s">
        <v>491</v>
      </c>
      <c r="D62" s="26">
        <v>1039</v>
      </c>
      <c r="E62" s="27" t="s">
        <v>558</v>
      </c>
      <c r="F62" s="28" t="s">
        <v>558</v>
      </c>
    </row>
    <row r="63" spans="1:12" ht="19.5" customHeight="1" thickTop="1" thickBot="1" x14ac:dyDescent="0.25">
      <c r="A63" s="25" t="str">
        <f>مهن[[#This Row],[الدرجة]]&amp;مهن[[#This Row],[المهنة]]</f>
        <v>0عقد شامل - عامل كهربائى توصيلات</v>
      </c>
      <c r="B63" s="26">
        <v>0</v>
      </c>
      <c r="C63" s="26" t="s">
        <v>491</v>
      </c>
      <c r="D63" s="26">
        <v>1040</v>
      </c>
      <c r="E63" s="27" t="s">
        <v>559</v>
      </c>
      <c r="F63" s="28" t="s">
        <v>559</v>
      </c>
    </row>
    <row r="64" spans="1:12" ht="19.5" customHeight="1" thickTop="1" thickBot="1" x14ac:dyDescent="0.25">
      <c r="A64" s="25" t="str">
        <f>مهن[[#This Row],[الدرجة]]&amp;مهن[[#This Row],[المهنة]]</f>
        <v>0عقد شامل - عامل مرشحات</v>
      </c>
      <c r="B64" s="26">
        <v>0</v>
      </c>
      <c r="C64" s="26" t="s">
        <v>491</v>
      </c>
      <c r="D64" s="26">
        <v>1041</v>
      </c>
      <c r="E64" s="27" t="s">
        <v>560</v>
      </c>
      <c r="F64" s="28" t="s">
        <v>560</v>
      </c>
    </row>
    <row r="65" spans="1:6" ht="19.5" customHeight="1" thickTop="1" thickBot="1" x14ac:dyDescent="0.25">
      <c r="A65" s="25" t="str">
        <f>مهن[[#This Row],[الدرجة]]&amp;مهن[[#This Row],[المهنة]]</f>
        <v>0عقد شامل - عامل زجاج</v>
      </c>
      <c r="B65" s="26">
        <v>0</v>
      </c>
      <c r="C65" s="26" t="s">
        <v>491</v>
      </c>
      <c r="D65" s="26">
        <v>1042</v>
      </c>
      <c r="E65" s="27" t="s">
        <v>561</v>
      </c>
      <c r="F65" s="28" t="s">
        <v>561</v>
      </c>
    </row>
    <row r="66" spans="1:6" ht="19.5" customHeight="1" thickTop="1" thickBot="1" x14ac:dyDescent="0.25">
      <c r="A66" s="25" t="str">
        <f>مهن[[#This Row],[الدرجة]]&amp;مهن[[#This Row],[المهنة]]</f>
        <v>0عقد شامل - عامل سباكة</v>
      </c>
      <c r="B66" s="26">
        <v>0</v>
      </c>
      <c r="C66" s="26" t="s">
        <v>491</v>
      </c>
      <c r="D66" s="26">
        <v>1043</v>
      </c>
      <c r="E66" s="27" t="s">
        <v>562</v>
      </c>
      <c r="F66" s="28" t="s">
        <v>562</v>
      </c>
    </row>
    <row r="67" spans="1:6" ht="19.5" customHeight="1" thickTop="1" thickBot="1" x14ac:dyDescent="0.25">
      <c r="A67" s="25" t="str">
        <f>مهن[[#This Row],[الدرجة]]&amp;مهن[[#This Row],[المهنة]]</f>
        <v>0عقد شامل - عامل صرف صحى</v>
      </c>
      <c r="B67" s="26">
        <v>0</v>
      </c>
      <c r="C67" s="26" t="s">
        <v>491</v>
      </c>
      <c r="D67" s="26">
        <v>1044</v>
      </c>
      <c r="E67" s="27" t="s">
        <v>563</v>
      </c>
      <c r="F67" s="28" t="s">
        <v>563</v>
      </c>
    </row>
    <row r="68" spans="1:6" ht="19.5" customHeight="1" thickTop="1" thickBot="1" x14ac:dyDescent="0.25">
      <c r="A68" s="25" t="str">
        <f>مهن[[#This Row],[الدرجة]]&amp;مهن[[#This Row],[المهنة]]</f>
        <v>0عقد شامل - عامل نقاشة</v>
      </c>
      <c r="B68" s="26">
        <v>0</v>
      </c>
      <c r="C68" s="26" t="s">
        <v>491</v>
      </c>
      <c r="D68" s="26">
        <v>1045</v>
      </c>
      <c r="E68" s="27" t="s">
        <v>564</v>
      </c>
      <c r="F68" s="28" t="s">
        <v>564</v>
      </c>
    </row>
    <row r="69" spans="1:6" ht="19.5" customHeight="1" thickTop="1" thickBot="1" x14ac:dyDescent="0.25">
      <c r="A69" s="25" t="str">
        <f>مهن[[#This Row],[الدرجة]]&amp;مهن[[#This Row],[المهنة]]</f>
        <v>0عقد شامل - عامل نجارة مسلحة</v>
      </c>
      <c r="B69" s="26">
        <v>0</v>
      </c>
      <c r="C69" s="26" t="s">
        <v>491</v>
      </c>
      <c r="D69" s="26">
        <v>1046</v>
      </c>
      <c r="E69" s="27" t="s">
        <v>565</v>
      </c>
      <c r="F69" s="28" t="s">
        <v>565</v>
      </c>
    </row>
    <row r="70" spans="1:6" ht="19.5" customHeight="1" thickTop="1" thickBot="1" x14ac:dyDescent="0.25">
      <c r="A70" s="25" t="str">
        <f>مهن[[#This Row],[الدرجة]]&amp;مهن[[#This Row],[المهنة]]</f>
        <v>0عقد شامل - عامل ميكانيكى معدات</v>
      </c>
      <c r="B70" s="26">
        <v>0</v>
      </c>
      <c r="C70" s="26" t="s">
        <v>491</v>
      </c>
      <c r="D70" s="26">
        <v>1047</v>
      </c>
      <c r="E70" s="27" t="s">
        <v>566</v>
      </c>
      <c r="F70" s="28" t="s">
        <v>566</v>
      </c>
    </row>
    <row r="71" spans="1:6" ht="19.5" customHeight="1" thickTop="1" thickBot="1" x14ac:dyDescent="0.25">
      <c r="A71" s="25" t="str">
        <f>مهن[[#This Row],[الدرجة]]&amp;مهن[[#This Row],[المهنة]]</f>
        <v>0عقد شامل - عامل دوكو سيارات</v>
      </c>
      <c r="B71" s="26">
        <v>0</v>
      </c>
      <c r="C71" s="26" t="s">
        <v>491</v>
      </c>
      <c r="D71" s="26">
        <v>1048</v>
      </c>
      <c r="E71" s="27" t="s">
        <v>567</v>
      </c>
      <c r="F71" s="28" t="s">
        <v>567</v>
      </c>
    </row>
    <row r="72" spans="1:6" ht="19.5" customHeight="1" thickTop="1" thickBot="1" x14ac:dyDescent="0.25">
      <c r="A72" s="25" t="str">
        <f>مهن[[#This Row],[الدرجة]]&amp;مهن[[#This Row],[المهنة]]</f>
        <v>0عقد شامل - عامل تبريد وتكييف</v>
      </c>
      <c r="B72" s="26">
        <v>0</v>
      </c>
      <c r="C72" s="26" t="s">
        <v>491</v>
      </c>
      <c r="D72" s="26">
        <v>1049</v>
      </c>
      <c r="E72" s="27" t="s">
        <v>568</v>
      </c>
      <c r="F72" s="28" t="s">
        <v>568</v>
      </c>
    </row>
    <row r="73" spans="1:6" ht="19.5" customHeight="1" thickTop="1" thickBot="1" x14ac:dyDescent="0.25">
      <c r="A73" s="25" t="str">
        <f>مهن[[#This Row],[الدرجة]]&amp;مهن[[#This Row],[المهنة]]</f>
        <v>0عقد شامل - عامل بوتاجازات وسخانات</v>
      </c>
      <c r="B73" s="26">
        <v>0</v>
      </c>
      <c r="C73" s="26" t="s">
        <v>491</v>
      </c>
      <c r="D73" s="26">
        <v>1050</v>
      </c>
      <c r="E73" s="27" t="s">
        <v>569</v>
      </c>
      <c r="F73" s="28" t="s">
        <v>569</v>
      </c>
    </row>
    <row r="74" spans="1:6" ht="19.5" customHeight="1" thickTop="1" thickBot="1" x14ac:dyDescent="0.25">
      <c r="A74" s="25" t="str">
        <f>مهن[[#This Row],[الدرجة]]&amp;مهن[[#This Row],[المهنة]]</f>
        <v>0عقد شامل - عامل مبيض محارة</v>
      </c>
      <c r="B74" s="26">
        <v>0</v>
      </c>
      <c r="C74" s="26" t="s">
        <v>491</v>
      </c>
      <c r="D74" s="26">
        <v>1051</v>
      </c>
      <c r="E74" s="27" t="s">
        <v>570</v>
      </c>
      <c r="F74" s="28" t="s">
        <v>570</v>
      </c>
    </row>
    <row r="75" spans="1:6" ht="19.5" customHeight="1" thickTop="1" thickBot="1" x14ac:dyDescent="0.25">
      <c r="A75" s="25" t="str">
        <f>مهن[[#This Row],[الدرجة]]&amp;مهن[[#This Row],[المهنة]]</f>
        <v>0عقد شامل - عامل صيانة مروقات</v>
      </c>
      <c r="B75" s="26">
        <v>0</v>
      </c>
      <c r="C75" s="26" t="s">
        <v>491</v>
      </c>
      <c r="D75" s="26">
        <v>1052</v>
      </c>
      <c r="E75" s="27" t="s">
        <v>571</v>
      </c>
      <c r="F75" s="28" t="s">
        <v>571</v>
      </c>
    </row>
    <row r="76" spans="1:6" ht="19.5" customHeight="1" thickTop="1" thickBot="1" x14ac:dyDescent="0.25">
      <c r="A76" s="25" t="str">
        <f>مهن[[#This Row],[الدرجة]]&amp;مهن[[#This Row],[المهنة]]</f>
        <v>0عقد شامل - عامل مبيض</v>
      </c>
      <c r="B76" s="26">
        <v>0</v>
      </c>
      <c r="C76" s="26" t="s">
        <v>491</v>
      </c>
      <c r="D76" s="26">
        <v>1053</v>
      </c>
      <c r="E76" s="27" t="s">
        <v>572</v>
      </c>
      <c r="F76" s="28" t="s">
        <v>572</v>
      </c>
    </row>
    <row r="77" spans="1:6" ht="19.5" customHeight="1" thickTop="1" thickBot="1" x14ac:dyDescent="0.25">
      <c r="A77" s="25" t="str">
        <f>مهن[[#This Row],[الدرجة]]&amp;مهن[[#This Row],[المهنة]]</f>
        <v>0عقد شامل - عامل معمل</v>
      </c>
      <c r="B77" s="26">
        <v>0</v>
      </c>
      <c r="C77" s="26" t="s">
        <v>491</v>
      </c>
      <c r="D77" s="26">
        <v>1054</v>
      </c>
      <c r="E77" s="27" t="s">
        <v>573</v>
      </c>
      <c r="F77" s="28" t="s">
        <v>573</v>
      </c>
    </row>
    <row r="78" spans="1:6" ht="19.5" customHeight="1" thickTop="1" thickBot="1" x14ac:dyDescent="0.25">
      <c r="A78" s="25" t="str">
        <f>مهن[[#This Row],[الدرجة]]&amp;مهن[[#This Row],[المهنة]]</f>
        <v>0عقد شامل - عامل كهربائى سيارات</v>
      </c>
      <c r="B78" s="26">
        <v>0</v>
      </c>
      <c r="C78" s="26" t="s">
        <v>491</v>
      </c>
      <c r="D78" s="26">
        <v>1055</v>
      </c>
      <c r="E78" s="27" t="s">
        <v>574</v>
      </c>
      <c r="F78" s="28" t="s">
        <v>574</v>
      </c>
    </row>
    <row r="79" spans="1:6" ht="19.5" customHeight="1" thickTop="1" thickBot="1" x14ac:dyDescent="0.25">
      <c r="A79" s="25" t="str">
        <f>مهن[[#This Row],[الدرجة]]&amp;مهن[[#This Row],[المهنة]]</f>
        <v>0عقد شامل - عامل نقش وزخرفة</v>
      </c>
      <c r="B79" s="26">
        <v>0</v>
      </c>
      <c r="C79" s="26" t="s">
        <v>491</v>
      </c>
      <c r="D79" s="26">
        <v>1056</v>
      </c>
      <c r="E79" s="27" t="s">
        <v>575</v>
      </c>
      <c r="F79" s="28" t="s">
        <v>575</v>
      </c>
    </row>
    <row r="80" spans="1:6" ht="19.5" customHeight="1" thickTop="1" thickBot="1" x14ac:dyDescent="0.25">
      <c r="A80" s="25" t="str">
        <f>مهن[[#This Row],[الدرجة]]&amp;مهن[[#This Row],[المهنة]]</f>
        <v>0عقد شامل - عامل شبكات مياة</v>
      </c>
      <c r="B80" s="26">
        <v>0</v>
      </c>
      <c r="C80" s="26" t="s">
        <v>491</v>
      </c>
      <c r="D80" s="26">
        <v>1057</v>
      </c>
      <c r="E80" s="27" t="s">
        <v>576</v>
      </c>
      <c r="F80" s="28" t="s">
        <v>576</v>
      </c>
    </row>
    <row r="81" spans="1:6" ht="19.5" customHeight="1" thickTop="1" thickBot="1" x14ac:dyDescent="0.25">
      <c r="A81" s="25" t="str">
        <f>مهن[[#This Row],[الدرجة]]&amp;مهن[[#This Row],[المهنة]]</f>
        <v>0عقد شامل - عامل نجارة</v>
      </c>
      <c r="B81" s="26">
        <v>0</v>
      </c>
      <c r="C81" s="26" t="s">
        <v>491</v>
      </c>
      <c r="D81" s="26">
        <v>1058</v>
      </c>
      <c r="E81" s="27" t="s">
        <v>577</v>
      </c>
      <c r="F81" s="28" t="s">
        <v>577</v>
      </c>
    </row>
    <row r="82" spans="1:6" ht="19.5" customHeight="1" thickTop="1" thickBot="1" x14ac:dyDescent="0.25">
      <c r="A82" s="25" t="str">
        <f>مهن[[#This Row],[الدرجة]]&amp;مهن[[#This Row],[المهنة]]</f>
        <v>0عقد شامل - أعمال كتابية معاونة</v>
      </c>
      <c r="B82" s="26">
        <v>0</v>
      </c>
      <c r="C82" s="26" t="s">
        <v>491</v>
      </c>
      <c r="D82" s="26">
        <v>1059</v>
      </c>
      <c r="E82" s="27" t="s">
        <v>578</v>
      </c>
      <c r="F82" s="28" t="s">
        <v>578</v>
      </c>
    </row>
    <row r="83" spans="1:6" ht="19.5" customHeight="1" thickTop="1" thickBot="1" x14ac:dyDescent="0.25">
      <c r="A83" s="25" t="str">
        <f>مهن[[#This Row],[الدرجة]]&amp;مهن[[#This Row],[المهنة]]</f>
        <v>0عقد شامل - عامل مساعد قارئ عدادات</v>
      </c>
      <c r="B83" s="26">
        <v>0</v>
      </c>
      <c r="C83" s="26" t="s">
        <v>491</v>
      </c>
      <c r="D83" s="26">
        <v>1060</v>
      </c>
      <c r="E83" s="27" t="s">
        <v>579</v>
      </c>
      <c r="F83" s="28" t="s">
        <v>579</v>
      </c>
    </row>
    <row r="84" spans="1:6" ht="19.5" customHeight="1" thickTop="1" thickBot="1" x14ac:dyDescent="0.25">
      <c r="A84" s="25" t="str">
        <f>مهن[[#This Row],[الدرجة]]&amp;مهن[[#This Row],[المهنة]]</f>
        <v>0عقد شامل - عامل مساعد سفرجي</v>
      </c>
      <c r="B84" s="26">
        <v>0</v>
      </c>
      <c r="C84" s="26" t="s">
        <v>491</v>
      </c>
      <c r="D84" s="26">
        <v>1061</v>
      </c>
      <c r="E84" s="27" t="s">
        <v>580</v>
      </c>
      <c r="F84" s="28" t="s">
        <v>580</v>
      </c>
    </row>
    <row r="85" spans="1:6" ht="19.5" customHeight="1" thickTop="1" thickBot="1" x14ac:dyDescent="0.25">
      <c r="A85" s="25" t="str">
        <f>مهن[[#This Row],[الدرجة]]&amp;مهن[[#This Row],[المهنة]]</f>
        <v>0عقد شامل - عامل مساعد طباخ</v>
      </c>
      <c r="B85" s="26">
        <v>0</v>
      </c>
      <c r="C85" s="26" t="s">
        <v>491</v>
      </c>
      <c r="D85" s="26">
        <v>1062</v>
      </c>
      <c r="E85" s="27" t="s">
        <v>581</v>
      </c>
      <c r="F85" s="28" t="s">
        <v>581</v>
      </c>
    </row>
    <row r="86" spans="1:6" ht="19.5" customHeight="1" thickTop="1" thickBot="1" x14ac:dyDescent="0.25">
      <c r="A86" s="25" t="str">
        <f>مهن[[#This Row],[الدرجة]]&amp;مهن[[#This Row],[المهنة]]</f>
        <v>0عقد شامل - عامل تعقييم</v>
      </c>
      <c r="B86" s="26">
        <v>0</v>
      </c>
      <c r="C86" s="26" t="s">
        <v>491</v>
      </c>
      <c r="D86" s="26">
        <v>1063</v>
      </c>
      <c r="E86" s="27" t="s">
        <v>582</v>
      </c>
      <c r="F86" s="28" t="s">
        <v>582</v>
      </c>
    </row>
    <row r="87" spans="1:6" ht="19.5" customHeight="1" thickTop="1" thickBot="1" x14ac:dyDescent="0.25">
      <c r="A87" s="25" t="str">
        <f>مهن[[#This Row],[الدرجة]]&amp;مهن[[#This Row],[المهنة]]</f>
        <v>0عقد شامل - عامل سويتش</v>
      </c>
      <c r="B87" s="26">
        <v>0</v>
      </c>
      <c r="C87" s="26" t="s">
        <v>491</v>
      </c>
      <c r="D87" s="26">
        <v>1064</v>
      </c>
      <c r="E87" s="27" t="s">
        <v>583</v>
      </c>
      <c r="F87" s="28" t="s">
        <v>583</v>
      </c>
    </row>
    <row r="88" spans="1:6" ht="19.5" customHeight="1" thickTop="1" thickBot="1" x14ac:dyDescent="0.25">
      <c r="A88" s="25" t="str">
        <f>مهن[[#This Row],[الدرجة]]&amp;مهن[[#This Row],[المهنة]]</f>
        <v>0طالب</v>
      </c>
      <c r="B88" s="26">
        <v>0</v>
      </c>
      <c r="C88" s="26" t="s">
        <v>491</v>
      </c>
      <c r="D88" s="26">
        <v>1313</v>
      </c>
      <c r="E88" s="27" t="s">
        <v>584</v>
      </c>
      <c r="F88" s="28" t="s">
        <v>584</v>
      </c>
    </row>
    <row r="89" spans="1:6" ht="19.5" customHeight="1" thickTop="1" thickBot="1" x14ac:dyDescent="0.25">
      <c r="A89" s="29" t="str">
        <f>مهن[[#This Row],[الدرجة]]&amp;مهن[[#This Row],[المهنة]]</f>
        <v>0طلبة</v>
      </c>
      <c r="B89" s="30">
        <v>0</v>
      </c>
      <c r="C89" s="30"/>
      <c r="D89" s="30"/>
      <c r="E89" s="31" t="s">
        <v>585</v>
      </c>
      <c r="F89" s="32" t="s">
        <v>585</v>
      </c>
    </row>
    <row r="90" spans="1:6" ht="19.5" customHeight="1" thickTop="1" thickBot="1" x14ac:dyDescent="0.25">
      <c r="A90" s="33" t="str">
        <f>مهن[[#This Row],[الدرجة]]&amp;مهن[[#This Row],[المهنة]]</f>
        <v>1مهندس</v>
      </c>
      <c r="B90" s="24">
        <v>1</v>
      </c>
      <c r="C90" s="24" t="s">
        <v>586</v>
      </c>
      <c r="D90" s="24">
        <v>1</v>
      </c>
      <c r="E90" s="34" t="s">
        <v>587</v>
      </c>
      <c r="F90" s="35" t="s">
        <v>588</v>
      </c>
    </row>
    <row r="91" spans="1:6" ht="19.5" customHeight="1" thickTop="1" thickBot="1" x14ac:dyDescent="0.25">
      <c r="A91" s="33" t="str">
        <f>مهن[[#This Row],[الدرجة]]&amp;مهن[[#This Row],[المهنة]]</f>
        <v>2مهندس</v>
      </c>
      <c r="B91" s="24">
        <v>2</v>
      </c>
      <c r="C91" s="24" t="s">
        <v>493</v>
      </c>
      <c r="D91" s="24">
        <v>1</v>
      </c>
      <c r="E91" s="34" t="s">
        <v>587</v>
      </c>
      <c r="F91" s="35" t="s">
        <v>589</v>
      </c>
    </row>
    <row r="92" spans="1:6" ht="19.5" customHeight="1" thickTop="1" thickBot="1" x14ac:dyDescent="0.25">
      <c r="A92" s="33" t="str">
        <f>مهن[[#This Row],[الدرجة]]&amp;مهن[[#This Row],[المهنة]]</f>
        <v>3مهندس</v>
      </c>
      <c r="B92" s="24">
        <v>3</v>
      </c>
      <c r="C92" s="24" t="s">
        <v>496</v>
      </c>
      <c r="D92" s="24">
        <v>1</v>
      </c>
      <c r="E92" s="34" t="s">
        <v>587</v>
      </c>
      <c r="F92" s="35" t="s">
        <v>590</v>
      </c>
    </row>
    <row r="93" spans="1:6" ht="19.5" customHeight="1" thickTop="1" thickBot="1" x14ac:dyDescent="0.25">
      <c r="A93" s="33" t="str">
        <f>مهن[[#This Row],[الدرجة]]&amp;مهن[[#This Row],[المهنة]]</f>
        <v>4مهندس</v>
      </c>
      <c r="B93" s="24">
        <v>4</v>
      </c>
      <c r="C93" s="24" t="s">
        <v>498</v>
      </c>
      <c r="D93" s="24">
        <v>1</v>
      </c>
      <c r="E93" s="34" t="s">
        <v>587</v>
      </c>
      <c r="F93" s="35" t="s">
        <v>591</v>
      </c>
    </row>
    <row r="94" spans="1:6" ht="19.5" customHeight="1" thickTop="1" thickBot="1" x14ac:dyDescent="0.25">
      <c r="A94" s="33" t="str">
        <f>مهن[[#This Row],[الدرجة]]&amp;مهن[[#This Row],[المهنة]]</f>
        <v>5مهندس</v>
      </c>
      <c r="B94" s="24">
        <v>5</v>
      </c>
      <c r="C94" s="24" t="s">
        <v>500</v>
      </c>
      <c r="D94" s="24">
        <v>1</v>
      </c>
      <c r="E94" s="34" t="s">
        <v>587</v>
      </c>
      <c r="F94" s="35" t="s">
        <v>592</v>
      </c>
    </row>
    <row r="95" spans="1:6" ht="19.5" customHeight="1" thickTop="1" thickBot="1" x14ac:dyDescent="0.25">
      <c r="A95" s="33" t="str">
        <f>مهن[[#This Row],[الدرجة]]&amp;مهن[[#This Row],[المهنة]]</f>
        <v>6مهندس</v>
      </c>
      <c r="B95" s="24">
        <v>6</v>
      </c>
      <c r="C95" s="24" t="s">
        <v>502</v>
      </c>
      <c r="D95" s="24">
        <v>1</v>
      </c>
      <c r="E95" s="34" t="s">
        <v>587</v>
      </c>
      <c r="F95" s="35" t="s">
        <v>587</v>
      </c>
    </row>
    <row r="96" spans="1:6" ht="19.5" customHeight="1" thickTop="1" thickBot="1" x14ac:dyDescent="0.25">
      <c r="A96" s="33" t="str">
        <f>مهن[[#This Row],[الدرجة]]&amp;مهن[[#This Row],[المهنة]]</f>
        <v>11مهندس</v>
      </c>
      <c r="B96" s="24">
        <v>11</v>
      </c>
      <c r="C96" s="24" t="s">
        <v>521</v>
      </c>
      <c r="D96" s="24">
        <v>1</v>
      </c>
      <c r="E96" s="34" t="s">
        <v>587</v>
      </c>
      <c r="F96" s="35" t="s">
        <v>593</v>
      </c>
    </row>
    <row r="97" spans="1:6" ht="19.5" customHeight="1" thickTop="1" thickBot="1" x14ac:dyDescent="0.25">
      <c r="A97" s="33" t="str">
        <f>مهن[[#This Row],[الدرجة]]&amp;مهن[[#This Row],[المهنة]]</f>
        <v>12مهندس</v>
      </c>
      <c r="B97" s="24">
        <v>12</v>
      </c>
      <c r="C97" s="24" t="s">
        <v>594</v>
      </c>
      <c r="D97" s="24">
        <v>1</v>
      </c>
      <c r="E97" s="34" t="s">
        <v>587</v>
      </c>
      <c r="F97" s="35" t="s">
        <v>595</v>
      </c>
    </row>
    <row r="98" spans="1:6" ht="19.5" customHeight="1" thickTop="1" thickBot="1" x14ac:dyDescent="0.25">
      <c r="A98" s="33" t="str">
        <f>مهن[[#This Row],[الدرجة]]&amp;مهن[[#This Row],[المهنة]]</f>
        <v>1طبيب</v>
      </c>
      <c r="B98" s="24">
        <v>1</v>
      </c>
      <c r="C98" s="24" t="s">
        <v>586</v>
      </c>
      <c r="D98" s="24">
        <v>2</v>
      </c>
      <c r="E98" s="34" t="s">
        <v>596</v>
      </c>
      <c r="F98" s="35" t="s">
        <v>597</v>
      </c>
    </row>
    <row r="99" spans="1:6" ht="19.5" customHeight="1" thickTop="1" thickBot="1" x14ac:dyDescent="0.25">
      <c r="A99" s="33" t="str">
        <f>مهن[[#This Row],[الدرجة]]&amp;مهن[[#This Row],[المهنة]]</f>
        <v>2طبيب</v>
      </c>
      <c r="B99" s="24">
        <v>2</v>
      </c>
      <c r="C99" s="24" t="s">
        <v>493</v>
      </c>
      <c r="D99" s="24">
        <v>2</v>
      </c>
      <c r="E99" s="34" t="s">
        <v>596</v>
      </c>
      <c r="F99" s="35" t="s">
        <v>598</v>
      </c>
    </row>
    <row r="100" spans="1:6" ht="19.5" customHeight="1" thickTop="1" thickBot="1" x14ac:dyDescent="0.25">
      <c r="A100" s="33" t="str">
        <f>مهن[[#This Row],[الدرجة]]&amp;مهن[[#This Row],[المهنة]]</f>
        <v>3طبيب</v>
      </c>
      <c r="B100" s="24">
        <v>3</v>
      </c>
      <c r="C100" s="24" t="s">
        <v>496</v>
      </c>
      <c r="D100" s="24">
        <v>2</v>
      </c>
      <c r="E100" s="34" t="s">
        <v>596</v>
      </c>
      <c r="F100" s="35" t="s">
        <v>599</v>
      </c>
    </row>
    <row r="101" spans="1:6" ht="19.5" customHeight="1" thickTop="1" thickBot="1" x14ac:dyDescent="0.25">
      <c r="A101" s="33" t="str">
        <f>مهن[[#This Row],[الدرجة]]&amp;مهن[[#This Row],[المهنة]]</f>
        <v>4طبيب</v>
      </c>
      <c r="B101" s="24">
        <v>4</v>
      </c>
      <c r="C101" s="24" t="s">
        <v>498</v>
      </c>
      <c r="D101" s="24">
        <v>2</v>
      </c>
      <c r="E101" s="34" t="s">
        <v>596</v>
      </c>
      <c r="F101" s="35" t="s">
        <v>600</v>
      </c>
    </row>
    <row r="102" spans="1:6" ht="19.5" customHeight="1" thickTop="1" thickBot="1" x14ac:dyDescent="0.25">
      <c r="A102" s="33" t="str">
        <f>مهن[[#This Row],[الدرجة]]&amp;مهن[[#This Row],[المهنة]]</f>
        <v>5طبيب</v>
      </c>
      <c r="B102" s="24">
        <v>5</v>
      </c>
      <c r="C102" s="24" t="s">
        <v>500</v>
      </c>
      <c r="D102" s="24">
        <v>2</v>
      </c>
      <c r="E102" s="34" t="s">
        <v>596</v>
      </c>
      <c r="F102" s="35" t="s">
        <v>601</v>
      </c>
    </row>
    <row r="103" spans="1:6" ht="19.5" customHeight="1" thickTop="1" thickBot="1" x14ac:dyDescent="0.25">
      <c r="A103" s="33" t="str">
        <f>مهن[[#This Row],[الدرجة]]&amp;مهن[[#This Row],[المهنة]]</f>
        <v>6طبيب</v>
      </c>
      <c r="B103" s="24">
        <v>6</v>
      </c>
      <c r="C103" s="24" t="s">
        <v>502</v>
      </c>
      <c r="D103" s="24">
        <v>2</v>
      </c>
      <c r="E103" s="34" t="s">
        <v>596</v>
      </c>
      <c r="F103" s="35" t="s">
        <v>596</v>
      </c>
    </row>
    <row r="104" spans="1:6" ht="19.5" customHeight="1" thickTop="1" thickBot="1" x14ac:dyDescent="0.25">
      <c r="A104" s="33" t="str">
        <f>مهن[[#This Row],[الدرجة]]&amp;مهن[[#This Row],[المهنة]]</f>
        <v>11طبيب</v>
      </c>
      <c r="B104" s="24">
        <v>11</v>
      </c>
      <c r="C104" s="24" t="s">
        <v>521</v>
      </c>
      <c r="D104" s="24">
        <v>2</v>
      </c>
      <c r="E104" s="34" t="s">
        <v>596</v>
      </c>
      <c r="F104" s="35" t="s">
        <v>602</v>
      </c>
    </row>
    <row r="105" spans="1:6" ht="19.5" customHeight="1" thickTop="1" thickBot="1" x14ac:dyDescent="0.25">
      <c r="A105" s="33" t="str">
        <f>مهن[[#This Row],[الدرجة]]&amp;مهن[[#This Row],[المهنة]]</f>
        <v>12طبيب</v>
      </c>
      <c r="B105" s="24">
        <v>12</v>
      </c>
      <c r="C105" s="24" t="s">
        <v>594</v>
      </c>
      <c r="D105" s="24">
        <v>2</v>
      </c>
      <c r="E105" s="34" t="s">
        <v>596</v>
      </c>
      <c r="F105" s="35" t="s">
        <v>603</v>
      </c>
    </row>
    <row r="106" spans="1:6" ht="19.5" customHeight="1" thickTop="1" thickBot="1" x14ac:dyDescent="0.25">
      <c r="A106" s="33" t="str">
        <f>مهن[[#This Row],[الدرجة]]&amp;مهن[[#This Row],[المهنة]]</f>
        <v>1صيدلى</v>
      </c>
      <c r="B106" s="24">
        <v>1</v>
      </c>
      <c r="C106" s="24" t="s">
        <v>586</v>
      </c>
      <c r="D106" s="24">
        <v>3</v>
      </c>
      <c r="E106" s="34" t="s">
        <v>604</v>
      </c>
      <c r="F106" s="35" t="s">
        <v>605</v>
      </c>
    </row>
    <row r="107" spans="1:6" ht="19.5" customHeight="1" thickTop="1" thickBot="1" x14ac:dyDescent="0.25">
      <c r="A107" s="33" t="str">
        <f>مهن[[#This Row],[الدرجة]]&amp;مهن[[#This Row],[المهنة]]</f>
        <v>2صيدلى</v>
      </c>
      <c r="B107" s="24">
        <v>2</v>
      </c>
      <c r="C107" s="24" t="s">
        <v>493</v>
      </c>
      <c r="D107" s="24">
        <v>3</v>
      </c>
      <c r="E107" s="34" t="s">
        <v>604</v>
      </c>
      <c r="F107" s="35" t="s">
        <v>606</v>
      </c>
    </row>
    <row r="108" spans="1:6" ht="19.5" customHeight="1" thickTop="1" thickBot="1" x14ac:dyDescent="0.25">
      <c r="A108" s="33" t="str">
        <f>مهن[[#This Row],[الدرجة]]&amp;مهن[[#This Row],[المهنة]]</f>
        <v>3صيدلى</v>
      </c>
      <c r="B108" s="24">
        <v>3</v>
      </c>
      <c r="C108" s="24" t="s">
        <v>496</v>
      </c>
      <c r="D108" s="24">
        <v>3</v>
      </c>
      <c r="E108" s="34" t="s">
        <v>604</v>
      </c>
      <c r="F108" s="35" t="s">
        <v>607</v>
      </c>
    </row>
    <row r="109" spans="1:6" ht="19.5" customHeight="1" thickTop="1" thickBot="1" x14ac:dyDescent="0.25">
      <c r="A109" s="33" t="str">
        <f>مهن[[#This Row],[الدرجة]]&amp;مهن[[#This Row],[المهنة]]</f>
        <v>4صيدلى</v>
      </c>
      <c r="B109" s="24">
        <v>4</v>
      </c>
      <c r="C109" s="24" t="s">
        <v>498</v>
      </c>
      <c r="D109" s="24">
        <v>3</v>
      </c>
      <c r="E109" s="34" t="s">
        <v>604</v>
      </c>
      <c r="F109" s="35" t="s">
        <v>608</v>
      </c>
    </row>
    <row r="110" spans="1:6" ht="19.5" customHeight="1" thickTop="1" thickBot="1" x14ac:dyDescent="0.25">
      <c r="A110" s="33" t="str">
        <f>مهن[[#This Row],[الدرجة]]&amp;مهن[[#This Row],[المهنة]]</f>
        <v>5صيدلى</v>
      </c>
      <c r="B110" s="24">
        <v>5</v>
      </c>
      <c r="C110" s="24" t="s">
        <v>500</v>
      </c>
      <c r="D110" s="24">
        <v>3</v>
      </c>
      <c r="E110" s="34" t="s">
        <v>604</v>
      </c>
      <c r="F110" s="35" t="s">
        <v>609</v>
      </c>
    </row>
    <row r="111" spans="1:6" ht="19.5" customHeight="1" thickTop="1" thickBot="1" x14ac:dyDescent="0.25">
      <c r="A111" s="33" t="str">
        <f>مهن[[#This Row],[الدرجة]]&amp;مهن[[#This Row],[المهنة]]</f>
        <v>6صيدلى</v>
      </c>
      <c r="B111" s="24">
        <v>6</v>
      </c>
      <c r="C111" s="24" t="s">
        <v>502</v>
      </c>
      <c r="D111" s="24">
        <v>3</v>
      </c>
      <c r="E111" s="34" t="s">
        <v>604</v>
      </c>
      <c r="F111" s="35" t="s">
        <v>604</v>
      </c>
    </row>
    <row r="112" spans="1:6" ht="19.5" customHeight="1" thickTop="1" thickBot="1" x14ac:dyDescent="0.25">
      <c r="A112" s="33" t="str">
        <f>مهن[[#This Row],[الدرجة]]&amp;مهن[[#This Row],[المهنة]]</f>
        <v>11صيدلى</v>
      </c>
      <c r="B112" s="24">
        <v>11</v>
      </c>
      <c r="C112" s="24" t="s">
        <v>521</v>
      </c>
      <c r="D112" s="24">
        <v>3</v>
      </c>
      <c r="E112" s="34" t="s">
        <v>604</v>
      </c>
      <c r="F112" s="35" t="s">
        <v>610</v>
      </c>
    </row>
    <row r="113" spans="1:6" ht="19.5" customHeight="1" thickTop="1" thickBot="1" x14ac:dyDescent="0.25">
      <c r="A113" s="33" t="str">
        <f>مهن[[#This Row],[الدرجة]]&amp;مهن[[#This Row],[المهنة]]</f>
        <v>12صيدلى</v>
      </c>
      <c r="B113" s="24">
        <v>12</v>
      </c>
      <c r="C113" s="24" t="s">
        <v>594</v>
      </c>
      <c r="D113" s="24">
        <v>3</v>
      </c>
      <c r="E113" s="34" t="s">
        <v>604</v>
      </c>
      <c r="F113" s="35" t="s">
        <v>611</v>
      </c>
    </row>
    <row r="114" spans="1:6" ht="19.5" customHeight="1" thickTop="1" thickBot="1" x14ac:dyDescent="0.25">
      <c r="A114" s="33" t="str">
        <f>مهن[[#This Row],[الدرجة]]&amp;مهن[[#This Row],[المهنة]]</f>
        <v>1اخصائى تمريض</v>
      </c>
      <c r="B114" s="24">
        <v>1</v>
      </c>
      <c r="C114" s="24" t="s">
        <v>586</v>
      </c>
      <c r="D114" s="24">
        <v>4</v>
      </c>
      <c r="E114" s="34" t="s">
        <v>612</v>
      </c>
      <c r="F114" s="35" t="s">
        <v>613</v>
      </c>
    </row>
    <row r="115" spans="1:6" ht="19.5" customHeight="1" thickTop="1" thickBot="1" x14ac:dyDescent="0.25">
      <c r="A115" s="33" t="str">
        <f>مهن[[#This Row],[الدرجة]]&amp;مهن[[#This Row],[المهنة]]</f>
        <v>2اخصائى تمريض</v>
      </c>
      <c r="B115" s="24">
        <v>2</v>
      </c>
      <c r="C115" s="24" t="s">
        <v>493</v>
      </c>
      <c r="D115" s="24">
        <v>4</v>
      </c>
      <c r="E115" s="34" t="s">
        <v>612</v>
      </c>
      <c r="F115" s="35" t="s">
        <v>614</v>
      </c>
    </row>
    <row r="116" spans="1:6" ht="19.5" customHeight="1" thickTop="1" thickBot="1" x14ac:dyDescent="0.25">
      <c r="A116" s="33" t="str">
        <f>مهن[[#This Row],[الدرجة]]&amp;مهن[[#This Row],[المهنة]]</f>
        <v>3اخصائى تمريض</v>
      </c>
      <c r="B116" s="24">
        <v>3</v>
      </c>
      <c r="C116" s="24" t="s">
        <v>496</v>
      </c>
      <c r="D116" s="24">
        <v>4</v>
      </c>
      <c r="E116" s="34" t="s">
        <v>612</v>
      </c>
      <c r="F116" s="35" t="s">
        <v>615</v>
      </c>
    </row>
    <row r="117" spans="1:6" ht="19.5" customHeight="1" thickTop="1" thickBot="1" x14ac:dyDescent="0.25">
      <c r="A117" s="33" t="str">
        <f>مهن[[#This Row],[الدرجة]]&amp;مهن[[#This Row],[المهنة]]</f>
        <v>4اخصائى تمريض</v>
      </c>
      <c r="B117" s="24">
        <v>4</v>
      </c>
      <c r="C117" s="24" t="s">
        <v>498</v>
      </c>
      <c r="D117" s="24">
        <v>4</v>
      </c>
      <c r="E117" s="34" t="s">
        <v>612</v>
      </c>
      <c r="F117" s="35" t="s">
        <v>616</v>
      </c>
    </row>
    <row r="118" spans="1:6" ht="19.5" customHeight="1" thickTop="1" thickBot="1" x14ac:dyDescent="0.25">
      <c r="A118" s="33" t="str">
        <f>مهن[[#This Row],[الدرجة]]&amp;مهن[[#This Row],[المهنة]]</f>
        <v>5اخصائى تمريض</v>
      </c>
      <c r="B118" s="24">
        <v>5</v>
      </c>
      <c r="C118" s="24" t="s">
        <v>500</v>
      </c>
      <c r="D118" s="24">
        <v>4</v>
      </c>
      <c r="E118" s="34" t="s">
        <v>612</v>
      </c>
      <c r="F118" s="35" t="s">
        <v>617</v>
      </c>
    </row>
    <row r="119" spans="1:6" ht="19.5" customHeight="1" thickTop="1" thickBot="1" x14ac:dyDescent="0.25">
      <c r="A119" s="33" t="str">
        <f>مهن[[#This Row],[الدرجة]]&amp;مهن[[#This Row],[المهنة]]</f>
        <v>6اخصائى تمريض</v>
      </c>
      <c r="B119" s="24">
        <v>6</v>
      </c>
      <c r="C119" s="24" t="s">
        <v>502</v>
      </c>
      <c r="D119" s="24">
        <v>4</v>
      </c>
      <c r="E119" s="34" t="s">
        <v>612</v>
      </c>
      <c r="F119" s="35" t="s">
        <v>618</v>
      </c>
    </row>
    <row r="120" spans="1:6" ht="19.5" customHeight="1" thickTop="1" thickBot="1" x14ac:dyDescent="0.25">
      <c r="A120" s="33" t="str">
        <f>مهن[[#This Row],[الدرجة]]&amp;مهن[[#This Row],[المهنة]]</f>
        <v>11اخصائى تمريض</v>
      </c>
      <c r="B120" s="24">
        <v>11</v>
      </c>
      <c r="C120" s="24" t="s">
        <v>521</v>
      </c>
      <c r="D120" s="24">
        <v>4</v>
      </c>
      <c r="E120" s="34" t="s">
        <v>612</v>
      </c>
      <c r="F120" s="35" t="s">
        <v>619</v>
      </c>
    </row>
    <row r="121" spans="1:6" ht="19.5" customHeight="1" thickTop="1" thickBot="1" x14ac:dyDescent="0.25">
      <c r="A121" s="33" t="str">
        <f>مهن[[#This Row],[الدرجة]]&amp;مهن[[#This Row],[المهنة]]</f>
        <v>12اخصائى تمريض</v>
      </c>
      <c r="B121" s="24">
        <v>12</v>
      </c>
      <c r="C121" s="24" t="s">
        <v>594</v>
      </c>
      <c r="D121" s="24">
        <v>4</v>
      </c>
      <c r="E121" s="34" t="s">
        <v>612</v>
      </c>
      <c r="F121" s="35" t="s">
        <v>620</v>
      </c>
    </row>
    <row r="122" spans="1:6" ht="19.5" customHeight="1" thickTop="1" thickBot="1" x14ac:dyDescent="0.25">
      <c r="A122" s="33" t="str">
        <f>مهن[[#This Row],[الدرجة]]&amp;مهن[[#This Row],[المهنة]]</f>
        <v>1اخصائى علاج طبيعى</v>
      </c>
      <c r="B122" s="24">
        <v>1</v>
      </c>
      <c r="C122" s="24" t="s">
        <v>586</v>
      </c>
      <c r="D122" s="24">
        <v>5</v>
      </c>
      <c r="E122" s="34" t="s">
        <v>621</v>
      </c>
      <c r="F122" s="35" t="s">
        <v>622</v>
      </c>
    </row>
    <row r="123" spans="1:6" ht="19.5" customHeight="1" thickTop="1" thickBot="1" x14ac:dyDescent="0.25">
      <c r="A123" s="33" t="str">
        <f>مهن[[#This Row],[الدرجة]]&amp;مهن[[#This Row],[المهنة]]</f>
        <v>2اخصائى علاج طبيعى</v>
      </c>
      <c r="B123" s="24">
        <v>2</v>
      </c>
      <c r="C123" s="24" t="s">
        <v>493</v>
      </c>
      <c r="D123" s="24">
        <v>5</v>
      </c>
      <c r="E123" s="34" t="s">
        <v>621</v>
      </c>
      <c r="F123" s="35" t="s">
        <v>623</v>
      </c>
    </row>
    <row r="124" spans="1:6" ht="19.5" customHeight="1" thickTop="1" thickBot="1" x14ac:dyDescent="0.25">
      <c r="A124" s="33" t="str">
        <f>مهن[[#This Row],[الدرجة]]&amp;مهن[[#This Row],[المهنة]]</f>
        <v>3اخصائى علاج طبيعى</v>
      </c>
      <c r="B124" s="24">
        <v>3</v>
      </c>
      <c r="C124" s="24" t="s">
        <v>496</v>
      </c>
      <c r="D124" s="24">
        <v>5</v>
      </c>
      <c r="E124" s="34" t="s">
        <v>621</v>
      </c>
      <c r="F124" s="35" t="s">
        <v>624</v>
      </c>
    </row>
    <row r="125" spans="1:6" ht="19.5" customHeight="1" thickTop="1" thickBot="1" x14ac:dyDescent="0.25">
      <c r="A125" s="33" t="str">
        <f>مهن[[#This Row],[الدرجة]]&amp;مهن[[#This Row],[المهنة]]</f>
        <v>4اخصائى علاج طبيعى</v>
      </c>
      <c r="B125" s="24">
        <v>4</v>
      </c>
      <c r="C125" s="24" t="s">
        <v>498</v>
      </c>
      <c r="D125" s="24">
        <v>5</v>
      </c>
      <c r="E125" s="34" t="s">
        <v>621</v>
      </c>
      <c r="F125" s="35" t="s">
        <v>625</v>
      </c>
    </row>
    <row r="126" spans="1:6" ht="19.5" customHeight="1" thickTop="1" thickBot="1" x14ac:dyDescent="0.25">
      <c r="A126" s="33" t="str">
        <f>مهن[[#This Row],[الدرجة]]&amp;مهن[[#This Row],[المهنة]]</f>
        <v>5اخصائى علاج طبيعى</v>
      </c>
      <c r="B126" s="24">
        <v>5</v>
      </c>
      <c r="C126" s="24" t="s">
        <v>500</v>
      </c>
      <c r="D126" s="24">
        <v>5</v>
      </c>
      <c r="E126" s="34" t="s">
        <v>621</v>
      </c>
      <c r="F126" s="35" t="s">
        <v>626</v>
      </c>
    </row>
    <row r="127" spans="1:6" ht="19.5" customHeight="1" thickTop="1" thickBot="1" x14ac:dyDescent="0.25">
      <c r="A127" s="33" t="str">
        <f>مهن[[#This Row],[الدرجة]]&amp;مهن[[#This Row],[المهنة]]</f>
        <v>6اخصائى علاج طبيعى</v>
      </c>
      <c r="B127" s="24">
        <v>6</v>
      </c>
      <c r="C127" s="24" t="s">
        <v>502</v>
      </c>
      <c r="D127" s="24">
        <v>5</v>
      </c>
      <c r="E127" s="34" t="s">
        <v>621</v>
      </c>
      <c r="F127" s="35" t="s">
        <v>621</v>
      </c>
    </row>
    <row r="128" spans="1:6" ht="19.5" customHeight="1" thickTop="1" thickBot="1" x14ac:dyDescent="0.25">
      <c r="A128" s="33" t="str">
        <f>مهن[[#This Row],[الدرجة]]&amp;مهن[[#This Row],[المهنة]]</f>
        <v>11اخصائى علاج طبيعى</v>
      </c>
      <c r="B128" s="24">
        <v>11</v>
      </c>
      <c r="C128" s="24" t="s">
        <v>521</v>
      </c>
      <c r="D128" s="24">
        <v>5</v>
      </c>
      <c r="E128" s="34" t="s">
        <v>621</v>
      </c>
      <c r="F128" s="35" t="s">
        <v>627</v>
      </c>
    </row>
    <row r="129" spans="1:6" ht="19.5" customHeight="1" thickTop="1" thickBot="1" x14ac:dyDescent="0.25">
      <c r="A129" s="33" t="str">
        <f>مهن[[#This Row],[الدرجة]]&amp;مهن[[#This Row],[المهنة]]</f>
        <v>12اخصائى علاج طبيعى</v>
      </c>
      <c r="B129" s="24">
        <v>12</v>
      </c>
      <c r="C129" s="24" t="s">
        <v>594</v>
      </c>
      <c r="D129" s="24">
        <v>5</v>
      </c>
      <c r="E129" s="34" t="s">
        <v>621</v>
      </c>
      <c r="F129" s="35" t="s">
        <v>628</v>
      </c>
    </row>
    <row r="130" spans="1:6" ht="19.5" customHeight="1" thickTop="1" thickBot="1" x14ac:dyDescent="0.25">
      <c r="A130" s="33" t="str">
        <f>مهن[[#This Row],[الدرجة]]&amp;مهن[[#This Row],[المهنة]]</f>
        <v>1محاسب</v>
      </c>
      <c r="B130" s="24">
        <v>1</v>
      </c>
      <c r="C130" s="24" t="s">
        <v>586</v>
      </c>
      <c r="D130" s="24">
        <v>6</v>
      </c>
      <c r="E130" s="34" t="s">
        <v>629</v>
      </c>
      <c r="F130" s="35" t="s">
        <v>630</v>
      </c>
    </row>
    <row r="131" spans="1:6" ht="19.5" customHeight="1" thickTop="1" thickBot="1" x14ac:dyDescent="0.25">
      <c r="A131" s="33" t="str">
        <f>مهن[[#This Row],[الدرجة]]&amp;مهن[[#This Row],[المهنة]]</f>
        <v>2محاسب</v>
      </c>
      <c r="B131" s="24">
        <v>2</v>
      </c>
      <c r="C131" s="24" t="s">
        <v>493</v>
      </c>
      <c r="D131" s="24">
        <v>6</v>
      </c>
      <c r="E131" s="34" t="s">
        <v>629</v>
      </c>
      <c r="F131" s="35" t="s">
        <v>631</v>
      </c>
    </row>
    <row r="132" spans="1:6" ht="19.5" customHeight="1" thickTop="1" thickBot="1" x14ac:dyDescent="0.25">
      <c r="A132" s="33" t="str">
        <f>مهن[[#This Row],[الدرجة]]&amp;مهن[[#This Row],[المهنة]]</f>
        <v>3محاسب</v>
      </c>
      <c r="B132" s="24">
        <v>3</v>
      </c>
      <c r="C132" s="24" t="s">
        <v>496</v>
      </c>
      <c r="D132" s="24">
        <v>6</v>
      </c>
      <c r="E132" s="34" t="s">
        <v>629</v>
      </c>
      <c r="F132" s="35" t="s">
        <v>632</v>
      </c>
    </row>
    <row r="133" spans="1:6" ht="19.5" customHeight="1" thickTop="1" thickBot="1" x14ac:dyDescent="0.25">
      <c r="A133" s="33" t="str">
        <f>مهن[[#This Row],[الدرجة]]&amp;مهن[[#This Row],[المهنة]]</f>
        <v>4محاسب</v>
      </c>
      <c r="B133" s="24">
        <v>4</v>
      </c>
      <c r="C133" s="24" t="s">
        <v>498</v>
      </c>
      <c r="D133" s="24">
        <v>6</v>
      </c>
      <c r="E133" s="34" t="s">
        <v>629</v>
      </c>
      <c r="F133" s="35" t="s">
        <v>633</v>
      </c>
    </row>
    <row r="134" spans="1:6" ht="19.5" customHeight="1" thickTop="1" thickBot="1" x14ac:dyDescent="0.25">
      <c r="A134" s="33" t="str">
        <f>مهن[[#This Row],[الدرجة]]&amp;مهن[[#This Row],[المهنة]]</f>
        <v>5محاسب</v>
      </c>
      <c r="B134" s="24">
        <v>5</v>
      </c>
      <c r="C134" s="24" t="s">
        <v>500</v>
      </c>
      <c r="D134" s="24">
        <v>6</v>
      </c>
      <c r="E134" s="34" t="s">
        <v>629</v>
      </c>
      <c r="F134" s="35" t="s">
        <v>634</v>
      </c>
    </row>
    <row r="135" spans="1:6" ht="19.5" customHeight="1" thickTop="1" thickBot="1" x14ac:dyDescent="0.25">
      <c r="A135" s="33" t="str">
        <f>مهن[[#This Row],[الدرجة]]&amp;مهن[[#This Row],[المهنة]]</f>
        <v>6محاسب</v>
      </c>
      <c r="B135" s="24">
        <v>6</v>
      </c>
      <c r="C135" s="24" t="s">
        <v>502</v>
      </c>
      <c r="D135" s="24">
        <v>6</v>
      </c>
      <c r="E135" s="34" t="s">
        <v>629</v>
      </c>
      <c r="F135" s="35" t="s">
        <v>629</v>
      </c>
    </row>
    <row r="136" spans="1:6" ht="19.5" customHeight="1" thickTop="1" thickBot="1" x14ac:dyDescent="0.25">
      <c r="A136" s="33" t="str">
        <f>مهن[[#This Row],[الدرجة]]&amp;مهن[[#This Row],[المهنة]]</f>
        <v>11محاسب</v>
      </c>
      <c r="B136" s="24">
        <v>11</v>
      </c>
      <c r="C136" s="24" t="s">
        <v>521</v>
      </c>
      <c r="D136" s="24">
        <v>6</v>
      </c>
      <c r="E136" s="34" t="s">
        <v>629</v>
      </c>
      <c r="F136" s="35" t="s">
        <v>635</v>
      </c>
    </row>
    <row r="137" spans="1:6" ht="19.5" customHeight="1" thickTop="1" thickBot="1" x14ac:dyDescent="0.25">
      <c r="A137" s="33" t="str">
        <f>مهن[[#This Row],[الدرجة]]&amp;مهن[[#This Row],[المهنة]]</f>
        <v>12محاسب</v>
      </c>
      <c r="B137" s="24">
        <v>12</v>
      </c>
      <c r="C137" s="24" t="s">
        <v>594</v>
      </c>
      <c r="D137" s="24">
        <v>6</v>
      </c>
      <c r="E137" s="34" t="s">
        <v>629</v>
      </c>
      <c r="F137" s="35" t="s">
        <v>636</v>
      </c>
    </row>
    <row r="138" spans="1:6" ht="19.5" customHeight="1" thickTop="1" thickBot="1" x14ac:dyDescent="0.25">
      <c r="A138" s="33" t="str">
        <f>مهن[[#This Row],[الدرجة]]&amp;مهن[[#This Row],[المهنة]]</f>
        <v>1اخصائى مشتريات</v>
      </c>
      <c r="B138" s="24">
        <v>1</v>
      </c>
      <c r="C138" s="24" t="s">
        <v>586</v>
      </c>
      <c r="D138" s="24">
        <v>7</v>
      </c>
      <c r="E138" s="34" t="s">
        <v>637</v>
      </c>
      <c r="F138" s="35" t="s">
        <v>638</v>
      </c>
    </row>
    <row r="139" spans="1:6" ht="19.5" customHeight="1" thickTop="1" thickBot="1" x14ac:dyDescent="0.25">
      <c r="A139" s="33" t="str">
        <f>مهن[[#This Row],[الدرجة]]&amp;مهن[[#This Row],[المهنة]]</f>
        <v>2اخصائى مشتريات</v>
      </c>
      <c r="B139" s="24">
        <v>2</v>
      </c>
      <c r="C139" s="24" t="s">
        <v>493</v>
      </c>
      <c r="D139" s="24">
        <v>7</v>
      </c>
      <c r="E139" s="34" t="s">
        <v>637</v>
      </c>
      <c r="F139" s="35" t="s">
        <v>639</v>
      </c>
    </row>
    <row r="140" spans="1:6" ht="19.5" customHeight="1" thickTop="1" thickBot="1" x14ac:dyDescent="0.25">
      <c r="A140" s="33" t="str">
        <f>مهن[[#This Row],[الدرجة]]&amp;مهن[[#This Row],[المهنة]]</f>
        <v>3اخصائى مشتريات</v>
      </c>
      <c r="B140" s="24">
        <v>3</v>
      </c>
      <c r="C140" s="24" t="s">
        <v>496</v>
      </c>
      <c r="D140" s="24">
        <v>7</v>
      </c>
      <c r="E140" s="34" t="s">
        <v>637</v>
      </c>
      <c r="F140" s="35" t="s">
        <v>640</v>
      </c>
    </row>
    <row r="141" spans="1:6" ht="19.5" customHeight="1" thickTop="1" thickBot="1" x14ac:dyDescent="0.25">
      <c r="A141" s="33" t="str">
        <f>مهن[[#This Row],[الدرجة]]&amp;مهن[[#This Row],[المهنة]]</f>
        <v>4اخصائى مشتريات</v>
      </c>
      <c r="B141" s="24">
        <v>4</v>
      </c>
      <c r="C141" s="24" t="s">
        <v>498</v>
      </c>
      <c r="D141" s="24">
        <v>7</v>
      </c>
      <c r="E141" s="34" t="s">
        <v>637</v>
      </c>
      <c r="F141" s="35" t="s">
        <v>641</v>
      </c>
    </row>
    <row r="142" spans="1:6" ht="19.5" customHeight="1" thickTop="1" thickBot="1" x14ac:dyDescent="0.25">
      <c r="A142" s="33" t="str">
        <f>مهن[[#This Row],[الدرجة]]&amp;مهن[[#This Row],[المهنة]]</f>
        <v>5اخصائى مشتريات</v>
      </c>
      <c r="B142" s="24">
        <v>5</v>
      </c>
      <c r="C142" s="24" t="s">
        <v>500</v>
      </c>
      <c r="D142" s="24">
        <v>7</v>
      </c>
      <c r="E142" s="34" t="s">
        <v>637</v>
      </c>
      <c r="F142" s="35" t="s">
        <v>642</v>
      </c>
    </row>
    <row r="143" spans="1:6" ht="19.5" customHeight="1" thickTop="1" thickBot="1" x14ac:dyDescent="0.25">
      <c r="A143" s="33" t="str">
        <f>مهن[[#This Row],[الدرجة]]&amp;مهن[[#This Row],[المهنة]]</f>
        <v>6اخصائى مشتريات</v>
      </c>
      <c r="B143" s="24">
        <v>6</v>
      </c>
      <c r="C143" s="24" t="s">
        <v>502</v>
      </c>
      <c r="D143" s="24">
        <v>7</v>
      </c>
      <c r="E143" s="34" t="s">
        <v>637</v>
      </c>
      <c r="F143" s="35" t="s">
        <v>643</v>
      </c>
    </row>
    <row r="144" spans="1:6" ht="19.5" customHeight="1" thickTop="1" thickBot="1" x14ac:dyDescent="0.25">
      <c r="A144" s="33" t="str">
        <f>مهن[[#This Row],[الدرجة]]&amp;مهن[[#This Row],[المهنة]]</f>
        <v>11اخصائى مشتريات</v>
      </c>
      <c r="B144" s="24">
        <v>11</v>
      </c>
      <c r="C144" s="24" t="s">
        <v>521</v>
      </c>
      <c r="D144" s="24">
        <v>7</v>
      </c>
      <c r="E144" s="34" t="s">
        <v>637</v>
      </c>
      <c r="F144" s="35" t="s">
        <v>644</v>
      </c>
    </row>
    <row r="145" spans="1:6" ht="19.5" customHeight="1" thickTop="1" thickBot="1" x14ac:dyDescent="0.25">
      <c r="A145" s="33" t="str">
        <f>مهن[[#This Row],[الدرجة]]&amp;مهن[[#This Row],[المهنة]]</f>
        <v>12اخصائى مشتريات</v>
      </c>
      <c r="B145" s="24">
        <v>12</v>
      </c>
      <c r="C145" s="24" t="s">
        <v>594</v>
      </c>
      <c r="D145" s="24">
        <v>7</v>
      </c>
      <c r="E145" s="34" t="s">
        <v>637</v>
      </c>
      <c r="F145" s="35" t="s">
        <v>645</v>
      </c>
    </row>
    <row r="146" spans="1:6" ht="19.5" customHeight="1" thickTop="1" thickBot="1" x14ac:dyDescent="0.25">
      <c r="A146" s="33" t="str">
        <f>مهن[[#This Row],[الدرجة]]&amp;مهن[[#This Row],[المهنة]]</f>
        <v>1محامى</v>
      </c>
      <c r="B146" s="24">
        <v>1</v>
      </c>
      <c r="C146" s="24" t="s">
        <v>586</v>
      </c>
      <c r="D146" s="24">
        <v>8</v>
      </c>
      <c r="E146" s="34" t="s">
        <v>646</v>
      </c>
      <c r="F146" s="35" t="s">
        <v>647</v>
      </c>
    </row>
    <row r="147" spans="1:6" ht="19.5" customHeight="1" thickTop="1" thickBot="1" x14ac:dyDescent="0.25">
      <c r="A147" s="33" t="str">
        <f>مهن[[#This Row],[الدرجة]]&amp;مهن[[#This Row],[المهنة]]</f>
        <v>2محامى</v>
      </c>
      <c r="B147" s="24">
        <v>2</v>
      </c>
      <c r="C147" s="24" t="s">
        <v>493</v>
      </c>
      <c r="D147" s="24">
        <v>8</v>
      </c>
      <c r="E147" s="34" t="s">
        <v>646</v>
      </c>
      <c r="F147" s="35" t="s">
        <v>648</v>
      </c>
    </row>
    <row r="148" spans="1:6" ht="19.5" customHeight="1" thickTop="1" thickBot="1" x14ac:dyDescent="0.25">
      <c r="A148" s="33" t="str">
        <f>مهن[[#This Row],[الدرجة]]&amp;مهن[[#This Row],[المهنة]]</f>
        <v>3محامى</v>
      </c>
      <c r="B148" s="24">
        <v>3</v>
      </c>
      <c r="C148" s="24" t="s">
        <v>496</v>
      </c>
      <c r="D148" s="24">
        <v>8</v>
      </c>
      <c r="E148" s="34" t="s">
        <v>646</v>
      </c>
      <c r="F148" s="35" t="s">
        <v>649</v>
      </c>
    </row>
    <row r="149" spans="1:6" ht="19.5" customHeight="1" thickTop="1" thickBot="1" x14ac:dyDescent="0.25">
      <c r="A149" s="33" t="str">
        <f>مهن[[#This Row],[الدرجة]]&amp;مهن[[#This Row],[المهنة]]</f>
        <v>4محامى</v>
      </c>
      <c r="B149" s="24">
        <v>4</v>
      </c>
      <c r="C149" s="24" t="s">
        <v>498</v>
      </c>
      <c r="D149" s="24">
        <v>8</v>
      </c>
      <c r="E149" s="34" t="s">
        <v>646</v>
      </c>
      <c r="F149" s="35" t="s">
        <v>650</v>
      </c>
    </row>
    <row r="150" spans="1:6" ht="19.5" customHeight="1" thickTop="1" thickBot="1" x14ac:dyDescent="0.25">
      <c r="A150" s="33" t="str">
        <f>مهن[[#This Row],[الدرجة]]&amp;مهن[[#This Row],[المهنة]]</f>
        <v>5محامى</v>
      </c>
      <c r="B150" s="24">
        <v>5</v>
      </c>
      <c r="C150" s="24" t="s">
        <v>500</v>
      </c>
      <c r="D150" s="24">
        <v>8</v>
      </c>
      <c r="E150" s="34" t="s">
        <v>646</v>
      </c>
      <c r="F150" s="35" t="s">
        <v>651</v>
      </c>
    </row>
    <row r="151" spans="1:6" ht="19.5" customHeight="1" thickTop="1" thickBot="1" x14ac:dyDescent="0.25">
      <c r="A151" s="33" t="str">
        <f>مهن[[#This Row],[الدرجة]]&amp;مهن[[#This Row],[المهنة]]</f>
        <v>6محامى</v>
      </c>
      <c r="B151" s="24">
        <v>6</v>
      </c>
      <c r="C151" s="24" t="s">
        <v>502</v>
      </c>
      <c r="D151" s="24">
        <v>8</v>
      </c>
      <c r="E151" s="34" t="s">
        <v>646</v>
      </c>
      <c r="F151" s="35" t="s">
        <v>646</v>
      </c>
    </row>
    <row r="152" spans="1:6" ht="19.5" customHeight="1" thickTop="1" thickBot="1" x14ac:dyDescent="0.25">
      <c r="A152" s="33" t="str">
        <f>مهن[[#This Row],[الدرجة]]&amp;مهن[[#This Row],[المهنة]]</f>
        <v>11محامى</v>
      </c>
      <c r="B152" s="24">
        <v>11</v>
      </c>
      <c r="C152" s="24" t="s">
        <v>521</v>
      </c>
      <c r="D152" s="24">
        <v>8</v>
      </c>
      <c r="E152" s="34" t="s">
        <v>646</v>
      </c>
      <c r="F152" s="35" t="s">
        <v>652</v>
      </c>
    </row>
    <row r="153" spans="1:6" ht="19.5" customHeight="1" thickTop="1" thickBot="1" x14ac:dyDescent="0.25">
      <c r="A153" s="33" t="str">
        <f>مهن[[#This Row],[الدرجة]]&amp;مهن[[#This Row],[المهنة]]</f>
        <v>12محامى</v>
      </c>
      <c r="B153" s="24">
        <v>12</v>
      </c>
      <c r="C153" s="24" t="s">
        <v>594</v>
      </c>
      <c r="D153" s="24">
        <v>8</v>
      </c>
      <c r="E153" s="34" t="s">
        <v>646</v>
      </c>
      <c r="F153" s="35" t="s">
        <v>653</v>
      </c>
    </row>
    <row r="154" spans="1:6" ht="19.5" customHeight="1" thickTop="1" thickBot="1" x14ac:dyDescent="0.25">
      <c r="A154" s="33" t="str">
        <f>مهن[[#This Row],[الدرجة]]&amp;مهن[[#This Row],[المهنة]]</f>
        <v>1اخصائى افراد</v>
      </c>
      <c r="B154" s="24">
        <v>1</v>
      </c>
      <c r="C154" s="24" t="s">
        <v>586</v>
      </c>
      <c r="D154" s="24">
        <v>9</v>
      </c>
      <c r="E154" s="34" t="s">
        <v>654</v>
      </c>
      <c r="F154" s="35" t="s">
        <v>638</v>
      </c>
    </row>
    <row r="155" spans="1:6" ht="19.5" customHeight="1" thickTop="1" thickBot="1" x14ac:dyDescent="0.25">
      <c r="A155" s="33" t="str">
        <f>مهن[[#This Row],[الدرجة]]&amp;مهن[[#This Row],[المهنة]]</f>
        <v>2اخصائى افراد</v>
      </c>
      <c r="B155" s="24">
        <v>2</v>
      </c>
      <c r="C155" s="24" t="s">
        <v>493</v>
      </c>
      <c r="D155" s="24">
        <v>9</v>
      </c>
      <c r="E155" s="34" t="s">
        <v>654</v>
      </c>
      <c r="F155" s="35" t="s">
        <v>639</v>
      </c>
    </row>
    <row r="156" spans="1:6" ht="19.5" customHeight="1" thickTop="1" thickBot="1" x14ac:dyDescent="0.25">
      <c r="A156" s="33" t="str">
        <f>مهن[[#This Row],[الدرجة]]&amp;مهن[[#This Row],[المهنة]]</f>
        <v>3اخصائى افراد</v>
      </c>
      <c r="B156" s="24">
        <v>3</v>
      </c>
      <c r="C156" s="24" t="s">
        <v>496</v>
      </c>
      <c r="D156" s="24">
        <v>9</v>
      </c>
      <c r="E156" s="34" t="s">
        <v>654</v>
      </c>
      <c r="F156" s="35" t="s">
        <v>640</v>
      </c>
    </row>
    <row r="157" spans="1:6" ht="19.5" customHeight="1" thickTop="1" thickBot="1" x14ac:dyDescent="0.25">
      <c r="A157" s="33" t="str">
        <f>مهن[[#This Row],[الدرجة]]&amp;مهن[[#This Row],[المهنة]]</f>
        <v>4اخصائى افراد</v>
      </c>
      <c r="B157" s="24">
        <v>4</v>
      </c>
      <c r="C157" s="24" t="s">
        <v>498</v>
      </c>
      <c r="D157" s="24">
        <v>9</v>
      </c>
      <c r="E157" s="34" t="s">
        <v>654</v>
      </c>
      <c r="F157" s="35" t="s">
        <v>641</v>
      </c>
    </row>
    <row r="158" spans="1:6" ht="19.5" customHeight="1" thickTop="1" thickBot="1" x14ac:dyDescent="0.25">
      <c r="A158" s="33" t="str">
        <f>مهن[[#This Row],[الدرجة]]&amp;مهن[[#This Row],[المهنة]]</f>
        <v>5اخصائى افراد</v>
      </c>
      <c r="B158" s="24">
        <v>5</v>
      </c>
      <c r="C158" s="24" t="s">
        <v>500</v>
      </c>
      <c r="D158" s="24">
        <v>9</v>
      </c>
      <c r="E158" s="34" t="s">
        <v>654</v>
      </c>
      <c r="F158" s="35" t="s">
        <v>642</v>
      </c>
    </row>
    <row r="159" spans="1:6" ht="19.5" customHeight="1" thickTop="1" thickBot="1" x14ac:dyDescent="0.25">
      <c r="A159" s="33" t="str">
        <f>مهن[[#This Row],[الدرجة]]&amp;مهن[[#This Row],[المهنة]]</f>
        <v>6اخصائى افراد</v>
      </c>
      <c r="B159" s="24">
        <v>6</v>
      </c>
      <c r="C159" s="24" t="s">
        <v>502</v>
      </c>
      <c r="D159" s="24">
        <v>9</v>
      </c>
      <c r="E159" s="34" t="s">
        <v>654</v>
      </c>
      <c r="F159" s="35" t="s">
        <v>643</v>
      </c>
    </row>
    <row r="160" spans="1:6" ht="19.5" customHeight="1" thickTop="1" thickBot="1" x14ac:dyDescent="0.25">
      <c r="A160" s="33" t="str">
        <f>مهن[[#This Row],[الدرجة]]&amp;مهن[[#This Row],[المهنة]]</f>
        <v>11اخصائى افراد</v>
      </c>
      <c r="B160" s="24">
        <v>11</v>
      </c>
      <c r="C160" s="24" t="s">
        <v>521</v>
      </c>
      <c r="D160" s="24">
        <v>9</v>
      </c>
      <c r="E160" s="34" t="s">
        <v>654</v>
      </c>
      <c r="F160" s="35" t="s">
        <v>644</v>
      </c>
    </row>
    <row r="161" spans="1:6" ht="19.5" customHeight="1" thickTop="1" thickBot="1" x14ac:dyDescent="0.25">
      <c r="A161" s="33" t="str">
        <f>مهن[[#This Row],[الدرجة]]&amp;مهن[[#This Row],[المهنة]]</f>
        <v>12اخصائى افراد</v>
      </c>
      <c r="B161" s="24">
        <v>12</v>
      </c>
      <c r="C161" s="24" t="s">
        <v>594</v>
      </c>
      <c r="D161" s="24">
        <v>9</v>
      </c>
      <c r="E161" s="34" t="s">
        <v>654</v>
      </c>
      <c r="F161" s="35" t="s">
        <v>645</v>
      </c>
    </row>
    <row r="162" spans="1:6" ht="19.5" customHeight="1" thickTop="1" thickBot="1" x14ac:dyDescent="0.25">
      <c r="A162" s="33" t="str">
        <f>مهن[[#This Row],[الدرجة]]&amp;مهن[[#This Row],[المهنة]]</f>
        <v>1اخصائى خدمات ادارية</v>
      </c>
      <c r="B162" s="24">
        <v>1</v>
      </c>
      <c r="C162" s="24" t="s">
        <v>586</v>
      </c>
      <c r="D162" s="24">
        <v>10</v>
      </c>
      <c r="E162" s="34" t="s">
        <v>655</v>
      </c>
      <c r="F162" s="35" t="s">
        <v>638</v>
      </c>
    </row>
    <row r="163" spans="1:6" ht="19.5" customHeight="1" thickTop="1" thickBot="1" x14ac:dyDescent="0.25">
      <c r="A163" s="33" t="str">
        <f>مهن[[#This Row],[الدرجة]]&amp;مهن[[#This Row],[المهنة]]</f>
        <v>2اخصائى خدمات ادارية</v>
      </c>
      <c r="B163" s="24">
        <v>2</v>
      </c>
      <c r="C163" s="24" t="s">
        <v>493</v>
      </c>
      <c r="D163" s="24">
        <v>10</v>
      </c>
      <c r="E163" s="34" t="s">
        <v>655</v>
      </c>
      <c r="F163" s="35" t="s">
        <v>639</v>
      </c>
    </row>
    <row r="164" spans="1:6" ht="19.5" customHeight="1" thickTop="1" thickBot="1" x14ac:dyDescent="0.25">
      <c r="A164" s="33" t="str">
        <f>مهن[[#This Row],[الدرجة]]&amp;مهن[[#This Row],[المهنة]]</f>
        <v>3اخصائى خدمات ادارية</v>
      </c>
      <c r="B164" s="24">
        <v>3</v>
      </c>
      <c r="C164" s="24" t="s">
        <v>496</v>
      </c>
      <c r="D164" s="24">
        <v>10</v>
      </c>
      <c r="E164" s="34" t="s">
        <v>655</v>
      </c>
      <c r="F164" s="35" t="s">
        <v>640</v>
      </c>
    </row>
    <row r="165" spans="1:6" ht="19.5" customHeight="1" thickTop="1" thickBot="1" x14ac:dyDescent="0.25">
      <c r="A165" s="33" t="str">
        <f>مهن[[#This Row],[الدرجة]]&amp;مهن[[#This Row],[المهنة]]</f>
        <v>4اخصائى خدمات ادارية</v>
      </c>
      <c r="B165" s="24">
        <v>4</v>
      </c>
      <c r="C165" s="24" t="s">
        <v>498</v>
      </c>
      <c r="D165" s="24">
        <v>10</v>
      </c>
      <c r="E165" s="34" t="s">
        <v>655</v>
      </c>
      <c r="F165" s="35" t="s">
        <v>641</v>
      </c>
    </row>
    <row r="166" spans="1:6" ht="19.5" customHeight="1" thickTop="1" thickBot="1" x14ac:dyDescent="0.25">
      <c r="A166" s="33" t="str">
        <f>مهن[[#This Row],[الدرجة]]&amp;مهن[[#This Row],[المهنة]]</f>
        <v>5اخصائى خدمات ادارية</v>
      </c>
      <c r="B166" s="24">
        <v>5</v>
      </c>
      <c r="C166" s="24" t="s">
        <v>500</v>
      </c>
      <c r="D166" s="24">
        <v>10</v>
      </c>
      <c r="E166" s="34" t="s">
        <v>655</v>
      </c>
      <c r="F166" s="35" t="s">
        <v>642</v>
      </c>
    </row>
    <row r="167" spans="1:6" ht="19.5" customHeight="1" thickTop="1" thickBot="1" x14ac:dyDescent="0.25">
      <c r="A167" s="33" t="str">
        <f>مهن[[#This Row],[الدرجة]]&amp;مهن[[#This Row],[المهنة]]</f>
        <v>6اخصائى خدمات ادارية</v>
      </c>
      <c r="B167" s="24">
        <v>6</v>
      </c>
      <c r="C167" s="24" t="s">
        <v>502</v>
      </c>
      <c r="D167" s="24">
        <v>10</v>
      </c>
      <c r="E167" s="34" t="s">
        <v>655</v>
      </c>
      <c r="F167" s="35" t="s">
        <v>643</v>
      </c>
    </row>
    <row r="168" spans="1:6" ht="19.5" customHeight="1" thickTop="1" thickBot="1" x14ac:dyDescent="0.25">
      <c r="A168" s="33" t="str">
        <f>مهن[[#This Row],[الدرجة]]&amp;مهن[[#This Row],[المهنة]]</f>
        <v>11اخصائى خدمات ادارية</v>
      </c>
      <c r="B168" s="24">
        <v>11</v>
      </c>
      <c r="C168" s="24" t="s">
        <v>521</v>
      </c>
      <c r="D168" s="24">
        <v>10</v>
      </c>
      <c r="E168" s="34" t="s">
        <v>655</v>
      </c>
      <c r="F168" s="35" t="s">
        <v>644</v>
      </c>
    </row>
    <row r="169" spans="1:6" ht="19.5" customHeight="1" thickTop="1" thickBot="1" x14ac:dyDescent="0.25">
      <c r="A169" s="33" t="str">
        <f>مهن[[#This Row],[الدرجة]]&amp;مهن[[#This Row],[المهنة]]</f>
        <v>12اخصائى خدمات ادارية</v>
      </c>
      <c r="B169" s="24">
        <v>12</v>
      </c>
      <c r="C169" s="24" t="s">
        <v>594</v>
      </c>
      <c r="D169" s="24">
        <v>10</v>
      </c>
      <c r="E169" s="34" t="s">
        <v>655</v>
      </c>
      <c r="F169" s="35" t="s">
        <v>645</v>
      </c>
    </row>
    <row r="170" spans="1:6" ht="19.5" customHeight="1" thickTop="1" thickBot="1" x14ac:dyDescent="0.25">
      <c r="A170" s="33" t="str">
        <f>مهن[[#This Row],[الدرجة]]&amp;مهن[[#This Row],[المهنة]]</f>
        <v>1اخصائى علاقات عامة</v>
      </c>
      <c r="B170" s="24">
        <v>1</v>
      </c>
      <c r="C170" s="24" t="s">
        <v>586</v>
      </c>
      <c r="D170" s="24">
        <v>11</v>
      </c>
      <c r="E170" s="34" t="s">
        <v>656</v>
      </c>
      <c r="F170" s="35" t="s">
        <v>638</v>
      </c>
    </row>
    <row r="171" spans="1:6" ht="19.5" customHeight="1" thickTop="1" thickBot="1" x14ac:dyDescent="0.25">
      <c r="A171" s="33" t="str">
        <f>مهن[[#This Row],[الدرجة]]&amp;مهن[[#This Row],[المهنة]]</f>
        <v>2اخصائى علاقات عامة</v>
      </c>
      <c r="B171" s="24">
        <v>2</v>
      </c>
      <c r="C171" s="24" t="s">
        <v>493</v>
      </c>
      <c r="D171" s="24">
        <v>11</v>
      </c>
      <c r="E171" s="34" t="s">
        <v>656</v>
      </c>
      <c r="F171" s="35" t="s">
        <v>639</v>
      </c>
    </row>
    <row r="172" spans="1:6" ht="19.5" customHeight="1" thickTop="1" thickBot="1" x14ac:dyDescent="0.25">
      <c r="A172" s="33" t="str">
        <f>مهن[[#This Row],[الدرجة]]&amp;مهن[[#This Row],[المهنة]]</f>
        <v>3اخصائى علاقات عامة</v>
      </c>
      <c r="B172" s="24">
        <v>3</v>
      </c>
      <c r="C172" s="24" t="s">
        <v>496</v>
      </c>
      <c r="D172" s="24">
        <v>11</v>
      </c>
      <c r="E172" s="34" t="s">
        <v>656</v>
      </c>
      <c r="F172" s="35" t="s">
        <v>640</v>
      </c>
    </row>
    <row r="173" spans="1:6" ht="19.5" customHeight="1" thickTop="1" thickBot="1" x14ac:dyDescent="0.25">
      <c r="A173" s="33" t="str">
        <f>مهن[[#This Row],[الدرجة]]&amp;مهن[[#This Row],[المهنة]]</f>
        <v>4اخصائى علاقات عامة</v>
      </c>
      <c r="B173" s="24">
        <v>4</v>
      </c>
      <c r="C173" s="24" t="s">
        <v>498</v>
      </c>
      <c r="D173" s="24">
        <v>11</v>
      </c>
      <c r="E173" s="34" t="s">
        <v>656</v>
      </c>
      <c r="F173" s="35" t="s">
        <v>641</v>
      </c>
    </row>
    <row r="174" spans="1:6" ht="19.5" customHeight="1" thickTop="1" thickBot="1" x14ac:dyDescent="0.25">
      <c r="A174" s="33" t="str">
        <f>مهن[[#This Row],[الدرجة]]&amp;مهن[[#This Row],[المهنة]]</f>
        <v>5اخصائى علاقات عامة</v>
      </c>
      <c r="B174" s="24">
        <v>5</v>
      </c>
      <c r="C174" s="24" t="s">
        <v>500</v>
      </c>
      <c r="D174" s="24">
        <v>11</v>
      </c>
      <c r="E174" s="34" t="s">
        <v>656</v>
      </c>
      <c r="F174" s="35" t="s">
        <v>642</v>
      </c>
    </row>
    <row r="175" spans="1:6" ht="19.5" customHeight="1" thickTop="1" thickBot="1" x14ac:dyDescent="0.25">
      <c r="A175" s="33" t="str">
        <f>مهن[[#This Row],[الدرجة]]&amp;مهن[[#This Row],[المهنة]]</f>
        <v>6اخصائى علاقات عامة</v>
      </c>
      <c r="B175" s="24">
        <v>6</v>
      </c>
      <c r="C175" s="24" t="s">
        <v>502</v>
      </c>
      <c r="D175" s="24">
        <v>11</v>
      </c>
      <c r="E175" s="34" t="s">
        <v>656</v>
      </c>
      <c r="F175" s="35" t="s">
        <v>643</v>
      </c>
    </row>
    <row r="176" spans="1:6" ht="19.5" customHeight="1" thickTop="1" thickBot="1" x14ac:dyDescent="0.25">
      <c r="A176" s="33" t="str">
        <f>مهن[[#This Row],[الدرجة]]&amp;مهن[[#This Row],[المهنة]]</f>
        <v>11اخصائى علاقات عامة</v>
      </c>
      <c r="B176" s="24">
        <v>11</v>
      </c>
      <c r="C176" s="24" t="s">
        <v>521</v>
      </c>
      <c r="D176" s="24">
        <v>11</v>
      </c>
      <c r="E176" s="34" t="s">
        <v>656</v>
      </c>
      <c r="F176" s="35" t="s">
        <v>644</v>
      </c>
    </row>
    <row r="177" spans="1:6" ht="19.5" customHeight="1" thickTop="1" thickBot="1" x14ac:dyDescent="0.25">
      <c r="A177" s="33" t="str">
        <f>مهن[[#This Row],[الدرجة]]&amp;مهن[[#This Row],[المهنة]]</f>
        <v>12اخصائى علاقات عامة</v>
      </c>
      <c r="B177" s="24">
        <v>12</v>
      </c>
      <c r="C177" s="24" t="s">
        <v>594</v>
      </c>
      <c r="D177" s="24">
        <v>11</v>
      </c>
      <c r="E177" s="34" t="s">
        <v>656</v>
      </c>
      <c r="F177" s="35" t="s">
        <v>645</v>
      </c>
    </row>
    <row r="178" spans="1:6" ht="19.5" customHeight="1" thickTop="1" thickBot="1" x14ac:dyDescent="0.25">
      <c r="A178" s="33" t="str">
        <f>مهن[[#This Row],[الدرجة]]&amp;مهن[[#This Row],[المهنة]]</f>
        <v>1اخصائى ترجمة</v>
      </c>
      <c r="B178" s="24">
        <v>1</v>
      </c>
      <c r="C178" s="24" t="s">
        <v>586</v>
      </c>
      <c r="D178" s="24">
        <v>12</v>
      </c>
      <c r="E178" s="34" t="s">
        <v>657</v>
      </c>
      <c r="F178" s="35" t="s">
        <v>638</v>
      </c>
    </row>
    <row r="179" spans="1:6" ht="19.5" customHeight="1" thickTop="1" thickBot="1" x14ac:dyDescent="0.25">
      <c r="A179" s="33" t="str">
        <f>مهن[[#This Row],[الدرجة]]&amp;مهن[[#This Row],[المهنة]]</f>
        <v>2اخصائى ترجمة</v>
      </c>
      <c r="B179" s="24">
        <v>2</v>
      </c>
      <c r="C179" s="24" t="s">
        <v>493</v>
      </c>
      <c r="D179" s="24">
        <v>12</v>
      </c>
      <c r="E179" s="34" t="s">
        <v>657</v>
      </c>
      <c r="F179" s="35" t="s">
        <v>639</v>
      </c>
    </row>
    <row r="180" spans="1:6" ht="19.5" customHeight="1" thickTop="1" thickBot="1" x14ac:dyDescent="0.25">
      <c r="A180" s="33" t="str">
        <f>مهن[[#This Row],[الدرجة]]&amp;مهن[[#This Row],[المهنة]]</f>
        <v>3اخصائى ترجمة</v>
      </c>
      <c r="B180" s="24">
        <v>3</v>
      </c>
      <c r="C180" s="24" t="s">
        <v>496</v>
      </c>
      <c r="D180" s="24">
        <v>12</v>
      </c>
      <c r="E180" s="34" t="s">
        <v>657</v>
      </c>
      <c r="F180" s="35" t="s">
        <v>640</v>
      </c>
    </row>
    <row r="181" spans="1:6" ht="19.5" customHeight="1" thickTop="1" thickBot="1" x14ac:dyDescent="0.25">
      <c r="A181" s="33" t="str">
        <f>مهن[[#This Row],[الدرجة]]&amp;مهن[[#This Row],[المهنة]]</f>
        <v>4اخصائى ترجمة</v>
      </c>
      <c r="B181" s="24">
        <v>4</v>
      </c>
      <c r="C181" s="24" t="s">
        <v>498</v>
      </c>
      <c r="D181" s="24">
        <v>12</v>
      </c>
      <c r="E181" s="34" t="s">
        <v>657</v>
      </c>
      <c r="F181" s="35" t="s">
        <v>641</v>
      </c>
    </row>
    <row r="182" spans="1:6" ht="19.5" customHeight="1" thickTop="1" thickBot="1" x14ac:dyDescent="0.25">
      <c r="A182" s="33" t="str">
        <f>مهن[[#This Row],[الدرجة]]&amp;مهن[[#This Row],[المهنة]]</f>
        <v>5اخصائى ترجمة</v>
      </c>
      <c r="B182" s="24">
        <v>5</v>
      </c>
      <c r="C182" s="24" t="s">
        <v>500</v>
      </c>
      <c r="D182" s="24">
        <v>12</v>
      </c>
      <c r="E182" s="34" t="s">
        <v>657</v>
      </c>
      <c r="F182" s="35" t="s">
        <v>642</v>
      </c>
    </row>
    <row r="183" spans="1:6" ht="19.5" customHeight="1" thickTop="1" thickBot="1" x14ac:dyDescent="0.25">
      <c r="A183" s="33" t="str">
        <f>مهن[[#This Row],[الدرجة]]&amp;مهن[[#This Row],[المهنة]]</f>
        <v>6اخصائى ترجمة</v>
      </c>
      <c r="B183" s="24">
        <v>6</v>
      </c>
      <c r="C183" s="24" t="s">
        <v>502</v>
      </c>
      <c r="D183" s="24">
        <v>12</v>
      </c>
      <c r="E183" s="34" t="s">
        <v>657</v>
      </c>
      <c r="F183" s="35" t="s">
        <v>643</v>
      </c>
    </row>
    <row r="184" spans="1:6" ht="19.5" customHeight="1" thickTop="1" thickBot="1" x14ac:dyDescent="0.25">
      <c r="A184" s="33" t="str">
        <f>مهن[[#This Row],[الدرجة]]&amp;مهن[[#This Row],[المهنة]]</f>
        <v>11اخصائى ترجمة</v>
      </c>
      <c r="B184" s="24">
        <v>11</v>
      </c>
      <c r="C184" s="24" t="s">
        <v>521</v>
      </c>
      <c r="D184" s="24">
        <v>12</v>
      </c>
      <c r="E184" s="34" t="s">
        <v>657</v>
      </c>
      <c r="F184" s="35" t="s">
        <v>644</v>
      </c>
    </row>
    <row r="185" spans="1:6" ht="19.5" customHeight="1" thickTop="1" thickBot="1" x14ac:dyDescent="0.25">
      <c r="A185" s="33" t="str">
        <f>مهن[[#This Row],[الدرجة]]&amp;مهن[[#This Row],[المهنة]]</f>
        <v>12اخصائى ترجمة</v>
      </c>
      <c r="B185" s="24">
        <v>12</v>
      </c>
      <c r="C185" s="24" t="s">
        <v>594</v>
      </c>
      <c r="D185" s="24">
        <v>12</v>
      </c>
      <c r="E185" s="34" t="s">
        <v>657</v>
      </c>
      <c r="F185" s="35" t="s">
        <v>645</v>
      </c>
    </row>
    <row r="186" spans="1:6" ht="19.5" customHeight="1" thickTop="1" thickBot="1" x14ac:dyDescent="0.25">
      <c r="A186" s="33" t="str">
        <f>مهن[[#This Row],[الدرجة]]&amp;مهن[[#This Row],[المهنة]]</f>
        <v>1اخصائى خدمات اجتماعية</v>
      </c>
      <c r="B186" s="24">
        <v>1</v>
      </c>
      <c r="C186" s="24" t="s">
        <v>586</v>
      </c>
      <c r="D186" s="24">
        <v>13</v>
      </c>
      <c r="E186" s="34" t="s">
        <v>658</v>
      </c>
      <c r="F186" s="35" t="s">
        <v>638</v>
      </c>
    </row>
    <row r="187" spans="1:6" ht="19.5" customHeight="1" thickTop="1" thickBot="1" x14ac:dyDescent="0.25">
      <c r="A187" s="33" t="str">
        <f>مهن[[#This Row],[الدرجة]]&amp;مهن[[#This Row],[المهنة]]</f>
        <v>2اخصائى خدمات اجتماعية</v>
      </c>
      <c r="B187" s="24">
        <v>2</v>
      </c>
      <c r="C187" s="24" t="s">
        <v>493</v>
      </c>
      <c r="D187" s="24">
        <v>13</v>
      </c>
      <c r="E187" s="34" t="s">
        <v>658</v>
      </c>
      <c r="F187" s="35" t="s">
        <v>639</v>
      </c>
    </row>
    <row r="188" spans="1:6" ht="19.5" customHeight="1" thickTop="1" thickBot="1" x14ac:dyDescent="0.25">
      <c r="A188" s="33" t="str">
        <f>مهن[[#This Row],[الدرجة]]&amp;مهن[[#This Row],[المهنة]]</f>
        <v>3اخصائى خدمات اجتماعية</v>
      </c>
      <c r="B188" s="24">
        <v>3</v>
      </c>
      <c r="C188" s="24" t="s">
        <v>496</v>
      </c>
      <c r="D188" s="24">
        <v>13</v>
      </c>
      <c r="E188" s="34" t="s">
        <v>658</v>
      </c>
      <c r="F188" s="35" t="s">
        <v>640</v>
      </c>
    </row>
    <row r="189" spans="1:6" ht="19.5" customHeight="1" thickTop="1" thickBot="1" x14ac:dyDescent="0.25">
      <c r="A189" s="33" t="str">
        <f>مهن[[#This Row],[الدرجة]]&amp;مهن[[#This Row],[المهنة]]</f>
        <v>4اخصائى خدمات اجتماعية</v>
      </c>
      <c r="B189" s="24">
        <v>4</v>
      </c>
      <c r="C189" s="24" t="s">
        <v>498</v>
      </c>
      <c r="D189" s="24">
        <v>13</v>
      </c>
      <c r="E189" s="34" t="s">
        <v>658</v>
      </c>
      <c r="F189" s="35" t="s">
        <v>641</v>
      </c>
    </row>
    <row r="190" spans="1:6" ht="19.5" customHeight="1" thickTop="1" thickBot="1" x14ac:dyDescent="0.25">
      <c r="A190" s="33" t="str">
        <f>مهن[[#This Row],[الدرجة]]&amp;مهن[[#This Row],[المهنة]]</f>
        <v>5اخصائى خدمات اجتماعية</v>
      </c>
      <c r="B190" s="24">
        <v>5</v>
      </c>
      <c r="C190" s="24" t="s">
        <v>500</v>
      </c>
      <c r="D190" s="24">
        <v>13</v>
      </c>
      <c r="E190" s="34" t="s">
        <v>658</v>
      </c>
      <c r="F190" s="35" t="s">
        <v>642</v>
      </c>
    </row>
    <row r="191" spans="1:6" ht="19.5" customHeight="1" thickTop="1" thickBot="1" x14ac:dyDescent="0.25">
      <c r="A191" s="33" t="str">
        <f>مهن[[#This Row],[الدرجة]]&amp;مهن[[#This Row],[المهنة]]</f>
        <v>6اخصائى خدمات اجتماعية</v>
      </c>
      <c r="B191" s="24">
        <v>6</v>
      </c>
      <c r="C191" s="24" t="s">
        <v>502</v>
      </c>
      <c r="D191" s="24">
        <v>13</v>
      </c>
      <c r="E191" s="34" t="s">
        <v>658</v>
      </c>
      <c r="F191" s="35" t="s">
        <v>643</v>
      </c>
    </row>
    <row r="192" spans="1:6" ht="19.5" customHeight="1" thickTop="1" thickBot="1" x14ac:dyDescent="0.25">
      <c r="A192" s="33" t="str">
        <f>مهن[[#This Row],[الدرجة]]&amp;مهن[[#This Row],[المهنة]]</f>
        <v>11اخصائى خدمات اجتماعية</v>
      </c>
      <c r="B192" s="24">
        <v>11</v>
      </c>
      <c r="C192" s="24" t="s">
        <v>521</v>
      </c>
      <c r="D192" s="24">
        <v>13</v>
      </c>
      <c r="E192" s="34" t="s">
        <v>658</v>
      </c>
      <c r="F192" s="35" t="s">
        <v>644</v>
      </c>
    </row>
    <row r="193" spans="1:6" ht="19.5" customHeight="1" thickTop="1" thickBot="1" x14ac:dyDescent="0.25">
      <c r="A193" s="33" t="str">
        <f>مهن[[#This Row],[الدرجة]]&amp;مهن[[#This Row],[المهنة]]</f>
        <v>12اخصائى خدمات اجتماعية</v>
      </c>
      <c r="B193" s="24">
        <v>12</v>
      </c>
      <c r="C193" s="24" t="s">
        <v>594</v>
      </c>
      <c r="D193" s="24">
        <v>13</v>
      </c>
      <c r="E193" s="34" t="s">
        <v>658</v>
      </c>
      <c r="F193" s="35" t="s">
        <v>645</v>
      </c>
    </row>
    <row r="194" spans="1:6" ht="19.5" customHeight="1" thickTop="1" thickBot="1" x14ac:dyDescent="0.25">
      <c r="A194" s="33" t="str">
        <f>مهن[[#This Row],[الدرجة]]&amp;مهن[[#This Row],[المهنة]]</f>
        <v>1اخصائى تنظيم وادارة</v>
      </c>
      <c r="B194" s="24">
        <v>1</v>
      </c>
      <c r="C194" s="24" t="s">
        <v>586</v>
      </c>
      <c r="D194" s="24">
        <v>14</v>
      </c>
      <c r="E194" s="34" t="s">
        <v>659</v>
      </c>
      <c r="F194" s="35" t="s">
        <v>638</v>
      </c>
    </row>
    <row r="195" spans="1:6" ht="19.5" customHeight="1" thickTop="1" thickBot="1" x14ac:dyDescent="0.25">
      <c r="A195" s="33" t="str">
        <f>مهن[[#This Row],[الدرجة]]&amp;مهن[[#This Row],[المهنة]]</f>
        <v>2اخصائى تنظيم وادارة</v>
      </c>
      <c r="B195" s="24">
        <v>2</v>
      </c>
      <c r="C195" s="24" t="s">
        <v>493</v>
      </c>
      <c r="D195" s="24">
        <v>14</v>
      </c>
      <c r="E195" s="34" t="s">
        <v>659</v>
      </c>
      <c r="F195" s="35" t="s">
        <v>639</v>
      </c>
    </row>
    <row r="196" spans="1:6" ht="19.5" customHeight="1" thickTop="1" thickBot="1" x14ac:dyDescent="0.25">
      <c r="A196" s="33" t="str">
        <f>مهن[[#This Row],[الدرجة]]&amp;مهن[[#This Row],[المهنة]]</f>
        <v>3اخصائى تنظيم وادارة</v>
      </c>
      <c r="B196" s="24">
        <v>3</v>
      </c>
      <c r="C196" s="24" t="s">
        <v>496</v>
      </c>
      <c r="D196" s="24">
        <v>14</v>
      </c>
      <c r="E196" s="34" t="s">
        <v>659</v>
      </c>
      <c r="F196" s="35" t="s">
        <v>640</v>
      </c>
    </row>
    <row r="197" spans="1:6" ht="19.5" customHeight="1" thickTop="1" thickBot="1" x14ac:dyDescent="0.25">
      <c r="A197" s="33" t="str">
        <f>مهن[[#This Row],[الدرجة]]&amp;مهن[[#This Row],[المهنة]]</f>
        <v>4اخصائى تنظيم وادارة</v>
      </c>
      <c r="B197" s="24">
        <v>4</v>
      </c>
      <c r="C197" s="24" t="s">
        <v>498</v>
      </c>
      <c r="D197" s="24">
        <v>14</v>
      </c>
      <c r="E197" s="34" t="s">
        <v>659</v>
      </c>
      <c r="F197" s="35" t="s">
        <v>641</v>
      </c>
    </row>
    <row r="198" spans="1:6" ht="19.5" customHeight="1" thickTop="1" thickBot="1" x14ac:dyDescent="0.25">
      <c r="A198" s="33" t="str">
        <f>مهن[[#This Row],[الدرجة]]&amp;مهن[[#This Row],[المهنة]]</f>
        <v>5اخصائى تنظيم وادارة</v>
      </c>
      <c r="B198" s="24">
        <v>5</v>
      </c>
      <c r="C198" s="24" t="s">
        <v>500</v>
      </c>
      <c r="D198" s="24">
        <v>14</v>
      </c>
      <c r="E198" s="34" t="s">
        <v>659</v>
      </c>
      <c r="F198" s="35" t="s">
        <v>642</v>
      </c>
    </row>
    <row r="199" spans="1:6" ht="19.5" customHeight="1" thickTop="1" thickBot="1" x14ac:dyDescent="0.25">
      <c r="A199" s="33" t="str">
        <f>مهن[[#This Row],[الدرجة]]&amp;مهن[[#This Row],[المهنة]]</f>
        <v>6اخصائى تنظيم وادارة</v>
      </c>
      <c r="B199" s="24">
        <v>6</v>
      </c>
      <c r="C199" s="24" t="s">
        <v>502</v>
      </c>
      <c r="D199" s="24">
        <v>14</v>
      </c>
      <c r="E199" s="34" t="s">
        <v>659</v>
      </c>
      <c r="F199" s="35" t="s">
        <v>643</v>
      </c>
    </row>
    <row r="200" spans="1:6" ht="19.5" customHeight="1" thickTop="1" thickBot="1" x14ac:dyDescent="0.25">
      <c r="A200" s="33" t="str">
        <f>مهن[[#This Row],[الدرجة]]&amp;مهن[[#This Row],[المهنة]]</f>
        <v>11اخصائى تنظيم وادارة</v>
      </c>
      <c r="B200" s="24">
        <v>11</v>
      </c>
      <c r="C200" s="24" t="s">
        <v>521</v>
      </c>
      <c r="D200" s="24">
        <v>14</v>
      </c>
      <c r="E200" s="34" t="s">
        <v>659</v>
      </c>
      <c r="F200" s="35" t="s">
        <v>644</v>
      </c>
    </row>
    <row r="201" spans="1:6" ht="19.5" customHeight="1" thickTop="1" thickBot="1" x14ac:dyDescent="0.25">
      <c r="A201" s="33" t="str">
        <f>مهن[[#This Row],[الدرجة]]&amp;مهن[[#This Row],[المهنة]]</f>
        <v>12اخصائى تنظيم وادارة</v>
      </c>
      <c r="B201" s="24">
        <v>12</v>
      </c>
      <c r="C201" s="24" t="s">
        <v>594</v>
      </c>
      <c r="D201" s="24">
        <v>14</v>
      </c>
      <c r="E201" s="34" t="s">
        <v>659</v>
      </c>
      <c r="F201" s="35" t="s">
        <v>645</v>
      </c>
    </row>
    <row r="202" spans="1:6" ht="19.5" customHeight="1" thickTop="1" thickBot="1" x14ac:dyDescent="0.25">
      <c r="A202" s="33" t="str">
        <f>مهن[[#This Row],[الدرجة]]&amp;مهن[[#This Row],[المهنة]]</f>
        <v>1اخصائى امن</v>
      </c>
      <c r="B202" s="24">
        <v>1</v>
      </c>
      <c r="C202" s="24" t="s">
        <v>586</v>
      </c>
      <c r="D202" s="24">
        <v>15</v>
      </c>
      <c r="E202" s="34" t="s">
        <v>660</v>
      </c>
      <c r="F202" s="35" t="s">
        <v>638</v>
      </c>
    </row>
    <row r="203" spans="1:6" ht="19.5" customHeight="1" thickTop="1" thickBot="1" x14ac:dyDescent="0.25">
      <c r="A203" s="33" t="str">
        <f>مهن[[#This Row],[الدرجة]]&amp;مهن[[#This Row],[المهنة]]</f>
        <v>2اخصائى امن</v>
      </c>
      <c r="B203" s="24">
        <v>2</v>
      </c>
      <c r="C203" s="24" t="s">
        <v>493</v>
      </c>
      <c r="D203" s="24">
        <v>15</v>
      </c>
      <c r="E203" s="34" t="s">
        <v>660</v>
      </c>
      <c r="F203" s="35" t="s">
        <v>639</v>
      </c>
    </row>
    <row r="204" spans="1:6" ht="19.5" customHeight="1" thickTop="1" thickBot="1" x14ac:dyDescent="0.25">
      <c r="A204" s="33" t="str">
        <f>مهن[[#This Row],[الدرجة]]&amp;مهن[[#This Row],[المهنة]]</f>
        <v>3اخصائى امن</v>
      </c>
      <c r="B204" s="24">
        <v>3</v>
      </c>
      <c r="C204" s="24" t="s">
        <v>496</v>
      </c>
      <c r="D204" s="24">
        <v>15</v>
      </c>
      <c r="E204" s="34" t="s">
        <v>660</v>
      </c>
      <c r="F204" s="35" t="s">
        <v>640</v>
      </c>
    </row>
    <row r="205" spans="1:6" ht="19.5" customHeight="1" thickTop="1" thickBot="1" x14ac:dyDescent="0.25">
      <c r="A205" s="33" t="str">
        <f>مهن[[#This Row],[الدرجة]]&amp;مهن[[#This Row],[المهنة]]</f>
        <v>4اخصائى امن</v>
      </c>
      <c r="B205" s="24">
        <v>4</v>
      </c>
      <c r="C205" s="24" t="s">
        <v>498</v>
      </c>
      <c r="D205" s="24">
        <v>15</v>
      </c>
      <c r="E205" s="34" t="s">
        <v>660</v>
      </c>
      <c r="F205" s="35" t="s">
        <v>641</v>
      </c>
    </row>
    <row r="206" spans="1:6" ht="19.5" customHeight="1" thickTop="1" thickBot="1" x14ac:dyDescent="0.25">
      <c r="A206" s="33" t="str">
        <f>مهن[[#This Row],[الدرجة]]&amp;مهن[[#This Row],[المهنة]]</f>
        <v>5اخصائى امن</v>
      </c>
      <c r="B206" s="24">
        <v>5</v>
      </c>
      <c r="C206" s="24" t="s">
        <v>500</v>
      </c>
      <c r="D206" s="24">
        <v>15</v>
      </c>
      <c r="E206" s="34" t="s">
        <v>660</v>
      </c>
      <c r="F206" s="35" t="s">
        <v>642</v>
      </c>
    </row>
    <row r="207" spans="1:6" ht="19.5" customHeight="1" thickTop="1" thickBot="1" x14ac:dyDescent="0.25">
      <c r="A207" s="33" t="str">
        <f>مهن[[#This Row],[الدرجة]]&amp;مهن[[#This Row],[المهنة]]</f>
        <v>6اخصائى امن</v>
      </c>
      <c r="B207" s="24">
        <v>6</v>
      </c>
      <c r="C207" s="24" t="s">
        <v>502</v>
      </c>
      <c r="D207" s="24">
        <v>15</v>
      </c>
      <c r="E207" s="34" t="s">
        <v>660</v>
      </c>
      <c r="F207" s="35" t="s">
        <v>643</v>
      </c>
    </row>
    <row r="208" spans="1:6" ht="19.5" customHeight="1" thickTop="1" thickBot="1" x14ac:dyDescent="0.25">
      <c r="A208" s="33" t="str">
        <f>مهن[[#This Row],[الدرجة]]&amp;مهن[[#This Row],[المهنة]]</f>
        <v>11اخصائى امن</v>
      </c>
      <c r="B208" s="24">
        <v>11</v>
      </c>
      <c r="C208" s="24" t="s">
        <v>521</v>
      </c>
      <c r="D208" s="24">
        <v>15</v>
      </c>
      <c r="E208" s="34" t="s">
        <v>660</v>
      </c>
      <c r="F208" s="35" t="s">
        <v>644</v>
      </c>
    </row>
    <row r="209" spans="1:6" ht="19.5" customHeight="1" thickTop="1" thickBot="1" x14ac:dyDescent="0.25">
      <c r="A209" s="33" t="str">
        <f>مهن[[#This Row],[الدرجة]]&amp;مهن[[#This Row],[المهنة]]</f>
        <v>12اخصائى امن</v>
      </c>
      <c r="B209" s="24">
        <v>12</v>
      </c>
      <c r="C209" s="24" t="s">
        <v>594</v>
      </c>
      <c r="D209" s="24">
        <v>15</v>
      </c>
      <c r="E209" s="34" t="s">
        <v>660</v>
      </c>
      <c r="F209" s="35" t="s">
        <v>645</v>
      </c>
    </row>
    <row r="210" spans="1:6" ht="19.5" customHeight="1" thickTop="1" thickBot="1" x14ac:dyDescent="0.25">
      <c r="A210" s="33" t="str">
        <f>مهن[[#This Row],[الدرجة]]&amp;مهن[[#This Row],[المهنة]]</f>
        <v>1اخصائى بحوث اقتصادية</v>
      </c>
      <c r="B210" s="24">
        <v>1</v>
      </c>
      <c r="C210" s="24" t="s">
        <v>586</v>
      </c>
      <c r="D210" s="24">
        <v>16</v>
      </c>
      <c r="E210" s="34" t="s">
        <v>661</v>
      </c>
      <c r="F210" s="35" t="s">
        <v>638</v>
      </c>
    </row>
    <row r="211" spans="1:6" ht="19.5" customHeight="1" thickTop="1" thickBot="1" x14ac:dyDescent="0.25">
      <c r="A211" s="33" t="str">
        <f>مهن[[#This Row],[الدرجة]]&amp;مهن[[#This Row],[المهنة]]</f>
        <v>2اخصائى بحوث اقتصادية</v>
      </c>
      <c r="B211" s="24">
        <v>2</v>
      </c>
      <c r="C211" s="24" t="s">
        <v>493</v>
      </c>
      <c r="D211" s="24">
        <v>16</v>
      </c>
      <c r="E211" s="34" t="s">
        <v>661</v>
      </c>
      <c r="F211" s="35" t="s">
        <v>639</v>
      </c>
    </row>
    <row r="212" spans="1:6" ht="19.5" customHeight="1" thickTop="1" thickBot="1" x14ac:dyDescent="0.25">
      <c r="A212" s="33" t="str">
        <f>مهن[[#This Row],[الدرجة]]&amp;مهن[[#This Row],[المهنة]]</f>
        <v>3اخصائى بحوث اقتصادية</v>
      </c>
      <c r="B212" s="24">
        <v>3</v>
      </c>
      <c r="C212" s="24" t="s">
        <v>496</v>
      </c>
      <c r="D212" s="24">
        <v>16</v>
      </c>
      <c r="E212" s="34" t="s">
        <v>661</v>
      </c>
      <c r="F212" s="35" t="s">
        <v>640</v>
      </c>
    </row>
    <row r="213" spans="1:6" ht="19.5" customHeight="1" thickTop="1" thickBot="1" x14ac:dyDescent="0.25">
      <c r="A213" s="33" t="str">
        <f>مهن[[#This Row],[الدرجة]]&amp;مهن[[#This Row],[المهنة]]</f>
        <v>4اخصائى بحوث اقتصادية</v>
      </c>
      <c r="B213" s="24">
        <v>4</v>
      </c>
      <c r="C213" s="24" t="s">
        <v>498</v>
      </c>
      <c r="D213" s="24">
        <v>16</v>
      </c>
      <c r="E213" s="34" t="s">
        <v>661</v>
      </c>
      <c r="F213" s="35" t="s">
        <v>641</v>
      </c>
    </row>
    <row r="214" spans="1:6" ht="19.5" customHeight="1" thickTop="1" thickBot="1" x14ac:dyDescent="0.25">
      <c r="A214" s="33" t="str">
        <f>مهن[[#This Row],[الدرجة]]&amp;مهن[[#This Row],[المهنة]]</f>
        <v>5اخصائى بحوث اقتصادية</v>
      </c>
      <c r="B214" s="24">
        <v>5</v>
      </c>
      <c r="C214" s="24" t="s">
        <v>500</v>
      </c>
      <c r="D214" s="24">
        <v>16</v>
      </c>
      <c r="E214" s="34" t="s">
        <v>661</v>
      </c>
      <c r="F214" s="35" t="s">
        <v>642</v>
      </c>
    </row>
    <row r="215" spans="1:6" ht="19.5" customHeight="1" thickTop="1" thickBot="1" x14ac:dyDescent="0.25">
      <c r="A215" s="33" t="str">
        <f>مهن[[#This Row],[الدرجة]]&amp;مهن[[#This Row],[المهنة]]</f>
        <v>6اخصائى بحوث اقتصادية</v>
      </c>
      <c r="B215" s="24">
        <v>6</v>
      </c>
      <c r="C215" s="24" t="s">
        <v>502</v>
      </c>
      <c r="D215" s="24">
        <v>16</v>
      </c>
      <c r="E215" s="34" t="s">
        <v>661</v>
      </c>
      <c r="F215" s="35" t="s">
        <v>643</v>
      </c>
    </row>
    <row r="216" spans="1:6" ht="19.5" customHeight="1" thickTop="1" thickBot="1" x14ac:dyDescent="0.25">
      <c r="A216" s="33" t="str">
        <f>مهن[[#This Row],[الدرجة]]&amp;مهن[[#This Row],[المهنة]]</f>
        <v>11اخصائى بحوث اقتصادية</v>
      </c>
      <c r="B216" s="24">
        <v>11</v>
      </c>
      <c r="C216" s="24" t="s">
        <v>521</v>
      </c>
      <c r="D216" s="24">
        <v>16</v>
      </c>
      <c r="E216" s="34" t="s">
        <v>661</v>
      </c>
      <c r="F216" s="35" t="s">
        <v>644</v>
      </c>
    </row>
    <row r="217" spans="1:6" ht="19.5" customHeight="1" thickTop="1" thickBot="1" x14ac:dyDescent="0.25">
      <c r="A217" s="33" t="str">
        <f>مهن[[#This Row],[الدرجة]]&amp;مهن[[#This Row],[المهنة]]</f>
        <v>12اخصائى بحوث اقتصادية</v>
      </c>
      <c r="B217" s="24">
        <v>12</v>
      </c>
      <c r="C217" s="24" t="s">
        <v>594</v>
      </c>
      <c r="D217" s="24">
        <v>16</v>
      </c>
      <c r="E217" s="34" t="s">
        <v>661</v>
      </c>
      <c r="F217" s="35" t="s">
        <v>645</v>
      </c>
    </row>
    <row r="218" spans="1:6" ht="19.5" customHeight="1" thickTop="1" thickBot="1" x14ac:dyDescent="0.25">
      <c r="A218" s="33" t="str">
        <f>مهن[[#This Row],[الدرجة]]&amp;مهن[[#This Row],[المهنة]]</f>
        <v>1اخصائى احصاء</v>
      </c>
      <c r="B218" s="24">
        <v>1</v>
      </c>
      <c r="C218" s="24" t="s">
        <v>586</v>
      </c>
      <c r="D218" s="24">
        <v>17</v>
      </c>
      <c r="E218" s="34" t="s">
        <v>662</v>
      </c>
      <c r="F218" s="35" t="s">
        <v>638</v>
      </c>
    </row>
    <row r="219" spans="1:6" ht="19.5" customHeight="1" thickTop="1" thickBot="1" x14ac:dyDescent="0.25">
      <c r="A219" s="33" t="str">
        <f>مهن[[#This Row],[الدرجة]]&amp;مهن[[#This Row],[المهنة]]</f>
        <v>2اخصائى احصاء</v>
      </c>
      <c r="B219" s="24">
        <v>2</v>
      </c>
      <c r="C219" s="24" t="s">
        <v>493</v>
      </c>
      <c r="D219" s="24">
        <v>17</v>
      </c>
      <c r="E219" s="34" t="s">
        <v>662</v>
      </c>
      <c r="F219" s="35" t="s">
        <v>639</v>
      </c>
    </row>
    <row r="220" spans="1:6" ht="19.5" customHeight="1" thickTop="1" thickBot="1" x14ac:dyDescent="0.25">
      <c r="A220" s="33" t="str">
        <f>مهن[[#This Row],[الدرجة]]&amp;مهن[[#This Row],[المهنة]]</f>
        <v>3اخصائى احصاء</v>
      </c>
      <c r="B220" s="24">
        <v>3</v>
      </c>
      <c r="C220" s="24" t="s">
        <v>496</v>
      </c>
      <c r="D220" s="24">
        <v>17</v>
      </c>
      <c r="E220" s="34" t="s">
        <v>662</v>
      </c>
      <c r="F220" s="35" t="s">
        <v>640</v>
      </c>
    </row>
    <row r="221" spans="1:6" ht="19.5" customHeight="1" thickTop="1" thickBot="1" x14ac:dyDescent="0.25">
      <c r="A221" s="33" t="str">
        <f>مهن[[#This Row],[الدرجة]]&amp;مهن[[#This Row],[المهنة]]</f>
        <v>4اخصائى احصاء</v>
      </c>
      <c r="B221" s="24">
        <v>4</v>
      </c>
      <c r="C221" s="24" t="s">
        <v>498</v>
      </c>
      <c r="D221" s="24">
        <v>17</v>
      </c>
      <c r="E221" s="34" t="s">
        <v>662</v>
      </c>
      <c r="F221" s="35" t="s">
        <v>641</v>
      </c>
    </row>
    <row r="222" spans="1:6" ht="19.5" customHeight="1" thickTop="1" thickBot="1" x14ac:dyDescent="0.25">
      <c r="A222" s="33" t="str">
        <f>مهن[[#This Row],[الدرجة]]&amp;مهن[[#This Row],[المهنة]]</f>
        <v>5اخصائى احصاء</v>
      </c>
      <c r="B222" s="24">
        <v>5</v>
      </c>
      <c r="C222" s="24" t="s">
        <v>500</v>
      </c>
      <c r="D222" s="24">
        <v>17</v>
      </c>
      <c r="E222" s="34" t="s">
        <v>662</v>
      </c>
      <c r="F222" s="35" t="s">
        <v>642</v>
      </c>
    </row>
    <row r="223" spans="1:6" ht="19.5" customHeight="1" thickTop="1" thickBot="1" x14ac:dyDescent="0.25">
      <c r="A223" s="33" t="str">
        <f>مهن[[#This Row],[الدرجة]]&amp;مهن[[#This Row],[المهنة]]</f>
        <v>6اخصائى احصاء</v>
      </c>
      <c r="B223" s="24">
        <v>6</v>
      </c>
      <c r="C223" s="24" t="s">
        <v>502</v>
      </c>
      <c r="D223" s="24">
        <v>17</v>
      </c>
      <c r="E223" s="34" t="s">
        <v>662</v>
      </c>
      <c r="F223" s="35" t="s">
        <v>643</v>
      </c>
    </row>
    <row r="224" spans="1:6" ht="19.5" customHeight="1" thickTop="1" thickBot="1" x14ac:dyDescent="0.25">
      <c r="A224" s="33" t="str">
        <f>مهن[[#This Row],[الدرجة]]&amp;مهن[[#This Row],[المهنة]]</f>
        <v>11اخصائى احصاء</v>
      </c>
      <c r="B224" s="24">
        <v>11</v>
      </c>
      <c r="C224" s="24" t="s">
        <v>521</v>
      </c>
      <c r="D224" s="24">
        <v>17</v>
      </c>
      <c r="E224" s="34" t="s">
        <v>662</v>
      </c>
      <c r="F224" s="35" t="s">
        <v>644</v>
      </c>
    </row>
    <row r="225" spans="1:6" ht="19.5" customHeight="1" thickTop="1" thickBot="1" x14ac:dyDescent="0.25">
      <c r="A225" s="33" t="str">
        <f>مهن[[#This Row],[الدرجة]]&amp;مهن[[#This Row],[المهنة]]</f>
        <v>12اخصائى احصاء</v>
      </c>
      <c r="B225" s="24">
        <v>12</v>
      </c>
      <c r="C225" s="24" t="s">
        <v>594</v>
      </c>
      <c r="D225" s="24">
        <v>17</v>
      </c>
      <c r="E225" s="34" t="s">
        <v>662</v>
      </c>
      <c r="F225" s="35" t="s">
        <v>645</v>
      </c>
    </row>
    <row r="226" spans="1:6" ht="19.5" customHeight="1" thickTop="1" thickBot="1" x14ac:dyDescent="0.25">
      <c r="A226" s="33" t="str">
        <f>مهن[[#This Row],[الدرجة]]&amp;مهن[[#This Row],[المهنة]]</f>
        <v>1اخصائى تربية بدنية</v>
      </c>
      <c r="B226" s="24">
        <v>1</v>
      </c>
      <c r="C226" s="24" t="s">
        <v>586</v>
      </c>
      <c r="D226" s="24">
        <v>18</v>
      </c>
      <c r="E226" s="34" t="s">
        <v>663</v>
      </c>
      <c r="F226" s="35" t="s">
        <v>613</v>
      </c>
    </row>
    <row r="227" spans="1:6" ht="19.5" customHeight="1" thickTop="1" thickBot="1" x14ac:dyDescent="0.25">
      <c r="A227" s="33" t="str">
        <f>مهن[[#This Row],[الدرجة]]&amp;مهن[[#This Row],[المهنة]]</f>
        <v>2اخصائى تربية بدنية</v>
      </c>
      <c r="B227" s="24">
        <v>2</v>
      </c>
      <c r="C227" s="24" t="s">
        <v>493</v>
      </c>
      <c r="D227" s="24">
        <v>18</v>
      </c>
      <c r="E227" s="34" t="s">
        <v>663</v>
      </c>
      <c r="F227" s="35" t="s">
        <v>614</v>
      </c>
    </row>
    <row r="228" spans="1:6" ht="19.5" customHeight="1" thickTop="1" thickBot="1" x14ac:dyDescent="0.25">
      <c r="A228" s="33" t="str">
        <f>مهن[[#This Row],[الدرجة]]&amp;مهن[[#This Row],[المهنة]]</f>
        <v>3اخصائى تربية بدنية</v>
      </c>
      <c r="B228" s="24">
        <v>3</v>
      </c>
      <c r="C228" s="24" t="s">
        <v>496</v>
      </c>
      <c r="D228" s="24">
        <v>18</v>
      </c>
      <c r="E228" s="34" t="s">
        <v>663</v>
      </c>
      <c r="F228" s="35" t="s">
        <v>615</v>
      </c>
    </row>
    <row r="229" spans="1:6" ht="19.5" customHeight="1" thickTop="1" thickBot="1" x14ac:dyDescent="0.25">
      <c r="A229" s="33" t="str">
        <f>مهن[[#This Row],[الدرجة]]&amp;مهن[[#This Row],[المهنة]]</f>
        <v>4اخصائى تربية بدنية</v>
      </c>
      <c r="B229" s="24">
        <v>4</v>
      </c>
      <c r="C229" s="24" t="s">
        <v>498</v>
      </c>
      <c r="D229" s="24">
        <v>18</v>
      </c>
      <c r="E229" s="34" t="s">
        <v>663</v>
      </c>
      <c r="F229" s="35" t="s">
        <v>616</v>
      </c>
    </row>
    <row r="230" spans="1:6" ht="19.5" customHeight="1" thickTop="1" thickBot="1" x14ac:dyDescent="0.25">
      <c r="A230" s="33" t="str">
        <f>مهن[[#This Row],[الدرجة]]&amp;مهن[[#This Row],[المهنة]]</f>
        <v>5اخصائى تربية بدنية</v>
      </c>
      <c r="B230" s="24">
        <v>5</v>
      </c>
      <c r="C230" s="24" t="s">
        <v>500</v>
      </c>
      <c r="D230" s="24">
        <v>18</v>
      </c>
      <c r="E230" s="34" t="s">
        <v>663</v>
      </c>
      <c r="F230" s="35" t="s">
        <v>617</v>
      </c>
    </row>
    <row r="231" spans="1:6" ht="19.5" customHeight="1" thickTop="1" thickBot="1" x14ac:dyDescent="0.25">
      <c r="A231" s="33" t="str">
        <f>مهن[[#This Row],[الدرجة]]&amp;مهن[[#This Row],[المهنة]]</f>
        <v>6اخصائى تربية بدنية</v>
      </c>
      <c r="B231" s="24">
        <v>6</v>
      </c>
      <c r="C231" s="24" t="s">
        <v>502</v>
      </c>
      <c r="D231" s="24">
        <v>18</v>
      </c>
      <c r="E231" s="34" t="s">
        <v>663</v>
      </c>
      <c r="F231" s="35" t="s">
        <v>618</v>
      </c>
    </row>
    <row r="232" spans="1:6" ht="19.5" customHeight="1" thickTop="1" thickBot="1" x14ac:dyDescent="0.25">
      <c r="A232" s="33" t="str">
        <f>مهن[[#This Row],[الدرجة]]&amp;مهن[[#This Row],[المهنة]]</f>
        <v>11اخصائى تربية بدنية</v>
      </c>
      <c r="B232" s="24">
        <v>11</v>
      </c>
      <c r="C232" s="24" t="s">
        <v>521</v>
      </c>
      <c r="D232" s="24">
        <v>18</v>
      </c>
      <c r="E232" s="34" t="s">
        <v>663</v>
      </c>
      <c r="F232" s="35" t="s">
        <v>664</v>
      </c>
    </row>
    <row r="233" spans="1:6" ht="19.5" customHeight="1" thickTop="1" thickBot="1" x14ac:dyDescent="0.25">
      <c r="A233" s="33" t="str">
        <f>مهن[[#This Row],[الدرجة]]&amp;مهن[[#This Row],[المهنة]]</f>
        <v>12اخصائى تربية بدنية</v>
      </c>
      <c r="B233" s="24">
        <v>12</v>
      </c>
      <c r="C233" s="24" t="s">
        <v>594</v>
      </c>
      <c r="D233" s="24">
        <v>18</v>
      </c>
      <c r="E233" s="34" t="s">
        <v>663</v>
      </c>
      <c r="F233" s="35" t="s">
        <v>620</v>
      </c>
    </row>
    <row r="234" spans="1:6" ht="19.5" customHeight="1" thickTop="1" thickBot="1" x14ac:dyDescent="0.25">
      <c r="A234" s="33" t="str">
        <f>مهن[[#This Row],[الدرجة]]&amp;مهن[[#This Row],[المهنة]]</f>
        <v>1اخصائى تدبير منزلى</v>
      </c>
      <c r="B234" s="24">
        <v>1</v>
      </c>
      <c r="C234" s="24" t="s">
        <v>586</v>
      </c>
      <c r="D234" s="24">
        <v>19</v>
      </c>
      <c r="E234" s="34" t="s">
        <v>665</v>
      </c>
      <c r="F234" s="35" t="s">
        <v>613</v>
      </c>
    </row>
    <row r="235" spans="1:6" ht="19.5" customHeight="1" thickTop="1" thickBot="1" x14ac:dyDescent="0.25">
      <c r="A235" s="33" t="str">
        <f>مهن[[#This Row],[الدرجة]]&amp;مهن[[#This Row],[المهنة]]</f>
        <v>2اخصائى تدبير منزلى</v>
      </c>
      <c r="B235" s="24">
        <v>2</v>
      </c>
      <c r="C235" s="24" t="s">
        <v>493</v>
      </c>
      <c r="D235" s="24">
        <v>19</v>
      </c>
      <c r="E235" s="34" t="s">
        <v>665</v>
      </c>
      <c r="F235" s="35" t="s">
        <v>614</v>
      </c>
    </row>
    <row r="236" spans="1:6" ht="19.5" customHeight="1" thickTop="1" thickBot="1" x14ac:dyDescent="0.25">
      <c r="A236" s="33" t="str">
        <f>مهن[[#This Row],[الدرجة]]&amp;مهن[[#This Row],[المهنة]]</f>
        <v>3اخصائى تدبير منزلى</v>
      </c>
      <c r="B236" s="24">
        <v>3</v>
      </c>
      <c r="C236" s="24" t="s">
        <v>496</v>
      </c>
      <c r="D236" s="24">
        <v>19</v>
      </c>
      <c r="E236" s="34" t="s">
        <v>665</v>
      </c>
      <c r="F236" s="35" t="s">
        <v>615</v>
      </c>
    </row>
    <row r="237" spans="1:6" ht="19.5" customHeight="1" thickTop="1" thickBot="1" x14ac:dyDescent="0.25">
      <c r="A237" s="33" t="str">
        <f>مهن[[#This Row],[الدرجة]]&amp;مهن[[#This Row],[المهنة]]</f>
        <v>4اخصائى تدبير منزلى</v>
      </c>
      <c r="B237" s="24">
        <v>4</v>
      </c>
      <c r="C237" s="24" t="s">
        <v>498</v>
      </c>
      <c r="D237" s="24">
        <v>19</v>
      </c>
      <c r="E237" s="34" t="s">
        <v>665</v>
      </c>
      <c r="F237" s="35" t="s">
        <v>616</v>
      </c>
    </row>
    <row r="238" spans="1:6" ht="19.5" customHeight="1" thickTop="1" thickBot="1" x14ac:dyDescent="0.25">
      <c r="A238" s="33" t="str">
        <f>مهن[[#This Row],[الدرجة]]&amp;مهن[[#This Row],[المهنة]]</f>
        <v>5اخصائى تدبير منزلى</v>
      </c>
      <c r="B238" s="24">
        <v>5</v>
      </c>
      <c r="C238" s="24" t="s">
        <v>500</v>
      </c>
      <c r="D238" s="24">
        <v>19</v>
      </c>
      <c r="E238" s="34" t="s">
        <v>665</v>
      </c>
      <c r="F238" s="35" t="s">
        <v>617</v>
      </c>
    </row>
    <row r="239" spans="1:6" ht="19.5" customHeight="1" thickTop="1" thickBot="1" x14ac:dyDescent="0.25">
      <c r="A239" s="33" t="str">
        <f>مهن[[#This Row],[الدرجة]]&amp;مهن[[#This Row],[المهنة]]</f>
        <v>6اخصائى تدبير منزلى</v>
      </c>
      <c r="B239" s="24">
        <v>6</v>
      </c>
      <c r="C239" s="24" t="s">
        <v>502</v>
      </c>
      <c r="D239" s="24">
        <v>19</v>
      </c>
      <c r="E239" s="34" t="s">
        <v>665</v>
      </c>
      <c r="F239" s="35" t="s">
        <v>618</v>
      </c>
    </row>
    <row r="240" spans="1:6" ht="19.5" customHeight="1" thickTop="1" thickBot="1" x14ac:dyDescent="0.25">
      <c r="A240" s="33" t="str">
        <f>مهن[[#This Row],[الدرجة]]&amp;مهن[[#This Row],[المهنة]]</f>
        <v>11اخصائى تدبير منزلى</v>
      </c>
      <c r="B240" s="24">
        <v>11</v>
      </c>
      <c r="C240" s="24" t="s">
        <v>521</v>
      </c>
      <c r="D240" s="24">
        <v>19</v>
      </c>
      <c r="E240" s="34" t="s">
        <v>665</v>
      </c>
      <c r="F240" s="35" t="s">
        <v>664</v>
      </c>
    </row>
    <row r="241" spans="1:6" ht="19.5" customHeight="1" thickTop="1" thickBot="1" x14ac:dyDescent="0.25">
      <c r="A241" s="33" t="str">
        <f>مهن[[#This Row],[الدرجة]]&amp;مهن[[#This Row],[المهنة]]</f>
        <v>12اخصائى تدبير منزلى</v>
      </c>
      <c r="B241" s="24">
        <v>12</v>
      </c>
      <c r="C241" s="24" t="s">
        <v>594</v>
      </c>
      <c r="D241" s="24">
        <v>19</v>
      </c>
      <c r="E241" s="34" t="s">
        <v>665</v>
      </c>
      <c r="F241" s="35" t="s">
        <v>620</v>
      </c>
    </row>
    <row r="242" spans="1:6" ht="19.5" customHeight="1" thickTop="1" thickBot="1" x14ac:dyDescent="0.25">
      <c r="A242" s="33" t="str">
        <f>مهن[[#This Row],[الدرجة]]&amp;مهن[[#This Row],[المهنة]]</f>
        <v>1اخصائى اعمال ذراعية</v>
      </c>
      <c r="B242" s="24">
        <v>1</v>
      </c>
      <c r="C242" s="24" t="s">
        <v>586</v>
      </c>
      <c r="D242" s="24">
        <v>20</v>
      </c>
      <c r="E242" s="34" t="s">
        <v>666</v>
      </c>
      <c r="F242" s="35" t="s">
        <v>613</v>
      </c>
    </row>
    <row r="243" spans="1:6" ht="19.5" customHeight="1" thickTop="1" thickBot="1" x14ac:dyDescent="0.25">
      <c r="A243" s="33" t="str">
        <f>مهن[[#This Row],[الدرجة]]&amp;مهن[[#This Row],[المهنة]]</f>
        <v>2اخصائى اعمال ذراعية</v>
      </c>
      <c r="B243" s="24">
        <v>2</v>
      </c>
      <c r="C243" s="24" t="s">
        <v>493</v>
      </c>
      <c r="D243" s="24">
        <v>20</v>
      </c>
      <c r="E243" s="34" t="s">
        <v>666</v>
      </c>
      <c r="F243" s="35" t="s">
        <v>614</v>
      </c>
    </row>
    <row r="244" spans="1:6" ht="19.5" customHeight="1" thickTop="1" thickBot="1" x14ac:dyDescent="0.25">
      <c r="A244" s="33" t="str">
        <f>مهن[[#This Row],[الدرجة]]&amp;مهن[[#This Row],[المهنة]]</f>
        <v>3اخصائى اعمال ذراعية</v>
      </c>
      <c r="B244" s="24">
        <v>3</v>
      </c>
      <c r="C244" s="24" t="s">
        <v>496</v>
      </c>
      <c r="D244" s="24">
        <v>20</v>
      </c>
      <c r="E244" s="34" t="s">
        <v>666</v>
      </c>
      <c r="F244" s="35" t="s">
        <v>615</v>
      </c>
    </row>
    <row r="245" spans="1:6" ht="19.5" customHeight="1" thickTop="1" thickBot="1" x14ac:dyDescent="0.25">
      <c r="A245" s="33" t="str">
        <f>مهن[[#This Row],[الدرجة]]&amp;مهن[[#This Row],[المهنة]]</f>
        <v>4اخصائى اعمال ذراعية</v>
      </c>
      <c r="B245" s="24">
        <v>4</v>
      </c>
      <c r="C245" s="24" t="s">
        <v>498</v>
      </c>
      <c r="D245" s="24">
        <v>20</v>
      </c>
      <c r="E245" s="34" t="s">
        <v>666</v>
      </c>
      <c r="F245" s="35" t="s">
        <v>616</v>
      </c>
    </row>
    <row r="246" spans="1:6" ht="19.5" customHeight="1" thickTop="1" thickBot="1" x14ac:dyDescent="0.25">
      <c r="A246" s="33" t="str">
        <f>مهن[[#This Row],[الدرجة]]&amp;مهن[[#This Row],[المهنة]]</f>
        <v>5اخصائى اعمال ذراعية</v>
      </c>
      <c r="B246" s="24">
        <v>5</v>
      </c>
      <c r="C246" s="24" t="s">
        <v>500</v>
      </c>
      <c r="D246" s="24">
        <v>20</v>
      </c>
      <c r="E246" s="34" t="s">
        <v>666</v>
      </c>
      <c r="F246" s="35" t="s">
        <v>617</v>
      </c>
    </row>
    <row r="247" spans="1:6" ht="19.5" customHeight="1" thickTop="1" thickBot="1" x14ac:dyDescent="0.25">
      <c r="A247" s="33" t="str">
        <f>مهن[[#This Row],[الدرجة]]&amp;مهن[[#This Row],[المهنة]]</f>
        <v>6اخصائى اعمال ذراعية</v>
      </c>
      <c r="B247" s="24">
        <v>6</v>
      </c>
      <c r="C247" s="24" t="s">
        <v>502</v>
      </c>
      <c r="D247" s="24">
        <v>20</v>
      </c>
      <c r="E247" s="34" t="s">
        <v>666</v>
      </c>
      <c r="F247" s="35" t="s">
        <v>618</v>
      </c>
    </row>
    <row r="248" spans="1:6" ht="19.5" customHeight="1" thickTop="1" thickBot="1" x14ac:dyDescent="0.25">
      <c r="A248" s="33" t="str">
        <f>مهن[[#This Row],[الدرجة]]&amp;مهن[[#This Row],[المهنة]]</f>
        <v>11اخصائى اعمال ذراعية</v>
      </c>
      <c r="B248" s="24">
        <v>11</v>
      </c>
      <c r="C248" s="24" t="s">
        <v>521</v>
      </c>
      <c r="D248" s="24">
        <v>20</v>
      </c>
      <c r="E248" s="34" t="s">
        <v>666</v>
      </c>
      <c r="F248" s="35" t="s">
        <v>664</v>
      </c>
    </row>
    <row r="249" spans="1:6" ht="19.5" customHeight="1" thickTop="1" thickBot="1" x14ac:dyDescent="0.25">
      <c r="A249" s="33" t="str">
        <f>مهن[[#This Row],[الدرجة]]&amp;مهن[[#This Row],[المهنة]]</f>
        <v>12اخصائى اعمال ذراعية</v>
      </c>
      <c r="B249" s="24">
        <v>12</v>
      </c>
      <c r="C249" s="24" t="s">
        <v>594</v>
      </c>
      <c r="D249" s="24">
        <v>20</v>
      </c>
      <c r="E249" s="34" t="s">
        <v>666</v>
      </c>
      <c r="F249" s="35" t="s">
        <v>620</v>
      </c>
    </row>
    <row r="250" spans="1:6" ht="19.5" customHeight="1" thickTop="1" thickBot="1" x14ac:dyDescent="0.25">
      <c r="A250" s="33" t="str">
        <f>مهن[[#This Row],[الدرجة]]&amp;مهن[[#This Row],[المهنة]]</f>
        <v>1مرشد</v>
      </c>
      <c r="B250" s="24">
        <v>1</v>
      </c>
      <c r="C250" s="24" t="s">
        <v>586</v>
      </c>
      <c r="D250" s="24">
        <v>21</v>
      </c>
      <c r="E250" s="34" t="s">
        <v>667</v>
      </c>
      <c r="F250" s="35" t="s">
        <v>668</v>
      </c>
    </row>
    <row r="251" spans="1:6" ht="19.5" customHeight="1" thickTop="1" thickBot="1" x14ac:dyDescent="0.25">
      <c r="A251" s="33" t="str">
        <f>مهن[[#This Row],[الدرجة]]&amp;مهن[[#This Row],[المهنة]]</f>
        <v>2مرشد</v>
      </c>
      <c r="B251" s="24">
        <v>2</v>
      </c>
      <c r="C251" s="24" t="s">
        <v>493</v>
      </c>
      <c r="D251" s="24">
        <v>21</v>
      </c>
      <c r="E251" s="34" t="s">
        <v>667</v>
      </c>
      <c r="F251" s="35" t="s">
        <v>669</v>
      </c>
    </row>
    <row r="252" spans="1:6" ht="19.5" customHeight="1" thickTop="1" thickBot="1" x14ac:dyDescent="0.25">
      <c r="A252" s="33" t="str">
        <f>مهن[[#This Row],[الدرجة]]&amp;مهن[[#This Row],[المهنة]]</f>
        <v>3مرشد</v>
      </c>
      <c r="B252" s="24">
        <v>3</v>
      </c>
      <c r="C252" s="24" t="s">
        <v>496</v>
      </c>
      <c r="D252" s="24">
        <v>21</v>
      </c>
      <c r="E252" s="34" t="s">
        <v>667</v>
      </c>
      <c r="F252" s="35" t="s">
        <v>670</v>
      </c>
    </row>
    <row r="253" spans="1:6" ht="19.5" customHeight="1" thickTop="1" thickBot="1" x14ac:dyDescent="0.25">
      <c r="A253" s="33" t="str">
        <f>مهن[[#This Row],[الدرجة]]&amp;مهن[[#This Row],[المهنة]]</f>
        <v>4مرشد</v>
      </c>
      <c r="B253" s="24">
        <v>4</v>
      </c>
      <c r="C253" s="24" t="s">
        <v>498</v>
      </c>
      <c r="D253" s="24">
        <v>21</v>
      </c>
      <c r="E253" s="34" t="s">
        <v>667</v>
      </c>
      <c r="F253" s="35" t="s">
        <v>667</v>
      </c>
    </row>
    <row r="254" spans="1:6" ht="19.5" customHeight="1" thickTop="1" thickBot="1" x14ac:dyDescent="0.25">
      <c r="A254" s="33" t="str">
        <f>مهن[[#This Row],[الدرجة]]&amp;مهن[[#This Row],[المهنة]]</f>
        <v>11مرشد</v>
      </c>
      <c r="B254" s="24">
        <v>11</v>
      </c>
      <c r="C254" s="24" t="s">
        <v>521</v>
      </c>
      <c r="D254" s="24">
        <v>21</v>
      </c>
      <c r="E254" s="34" t="s">
        <v>667</v>
      </c>
      <c r="F254" s="35" t="s">
        <v>671</v>
      </c>
    </row>
    <row r="255" spans="1:6" ht="19.5" customHeight="1" thickTop="1" thickBot="1" x14ac:dyDescent="0.25">
      <c r="A255" s="33" t="str">
        <f>مهن[[#This Row],[الدرجة]]&amp;مهن[[#This Row],[المهنة]]</f>
        <v>12مرشد</v>
      </c>
      <c r="B255" s="24">
        <v>12</v>
      </c>
      <c r="C255" s="24" t="s">
        <v>594</v>
      </c>
      <c r="D255" s="24">
        <v>21</v>
      </c>
      <c r="E255" s="34" t="s">
        <v>667</v>
      </c>
      <c r="F255" s="35" t="s">
        <v>672</v>
      </c>
    </row>
    <row r="256" spans="1:6" ht="19.5" customHeight="1" thickTop="1" thickBot="1" x14ac:dyDescent="0.25">
      <c r="A256" s="33" t="str">
        <f>مهن[[#This Row],[الدرجة]]&amp;مهن[[#This Row],[المهنة]]</f>
        <v>1ضابط ميناء</v>
      </c>
      <c r="B256" s="24">
        <v>1</v>
      </c>
      <c r="C256" s="24" t="s">
        <v>586</v>
      </c>
      <c r="D256" s="24">
        <v>22</v>
      </c>
      <c r="E256" s="34" t="s">
        <v>673</v>
      </c>
      <c r="F256" s="35" t="s">
        <v>674</v>
      </c>
    </row>
    <row r="257" spans="1:6" ht="19.5" customHeight="1" thickTop="1" thickBot="1" x14ac:dyDescent="0.25">
      <c r="A257" s="33" t="str">
        <f>مهن[[#This Row],[الدرجة]]&amp;مهن[[#This Row],[المهنة]]</f>
        <v>2ضابط ميناء</v>
      </c>
      <c r="B257" s="24">
        <v>2</v>
      </c>
      <c r="C257" s="24" t="s">
        <v>493</v>
      </c>
      <c r="D257" s="24">
        <v>22</v>
      </c>
      <c r="E257" s="34" t="s">
        <v>673</v>
      </c>
      <c r="F257" s="35" t="s">
        <v>675</v>
      </c>
    </row>
    <row r="258" spans="1:6" ht="19.5" customHeight="1" thickTop="1" thickBot="1" x14ac:dyDescent="0.25">
      <c r="A258" s="33" t="str">
        <f>مهن[[#This Row],[الدرجة]]&amp;مهن[[#This Row],[المهنة]]</f>
        <v>3ضابط ميناء</v>
      </c>
      <c r="B258" s="24">
        <v>3</v>
      </c>
      <c r="C258" s="24" t="s">
        <v>496</v>
      </c>
      <c r="D258" s="24">
        <v>22</v>
      </c>
      <c r="E258" s="34" t="s">
        <v>673</v>
      </c>
      <c r="F258" s="35" t="s">
        <v>675</v>
      </c>
    </row>
    <row r="259" spans="1:6" ht="19.5" customHeight="1" thickTop="1" thickBot="1" x14ac:dyDescent="0.25">
      <c r="A259" s="33" t="str">
        <f>مهن[[#This Row],[الدرجة]]&amp;مهن[[#This Row],[المهنة]]</f>
        <v>4ضابط ميناء</v>
      </c>
      <c r="B259" s="24">
        <v>4</v>
      </c>
      <c r="C259" s="24" t="s">
        <v>498</v>
      </c>
      <c r="D259" s="24">
        <v>22</v>
      </c>
      <c r="E259" s="34" t="s">
        <v>673</v>
      </c>
      <c r="F259" s="35" t="s">
        <v>676</v>
      </c>
    </row>
    <row r="260" spans="1:6" ht="19.5" customHeight="1" thickTop="1" thickBot="1" x14ac:dyDescent="0.25">
      <c r="A260" s="33" t="str">
        <f>مهن[[#This Row],[الدرجة]]&amp;مهن[[#This Row],[المهنة]]</f>
        <v>11ضابط ميناء</v>
      </c>
      <c r="B260" s="24">
        <v>11</v>
      </c>
      <c r="C260" s="24" t="s">
        <v>521</v>
      </c>
      <c r="D260" s="24">
        <v>22</v>
      </c>
      <c r="E260" s="34" t="s">
        <v>673</v>
      </c>
      <c r="F260" s="35" t="s">
        <v>677</v>
      </c>
    </row>
    <row r="261" spans="1:6" ht="19.5" customHeight="1" thickTop="1" thickBot="1" x14ac:dyDescent="0.25">
      <c r="A261" s="33" t="str">
        <f>مهن[[#This Row],[الدرجة]]&amp;مهن[[#This Row],[المهنة]]</f>
        <v>12ضابط ميناء</v>
      </c>
      <c r="B261" s="24">
        <v>12</v>
      </c>
      <c r="C261" s="24" t="s">
        <v>594</v>
      </c>
      <c r="D261" s="24">
        <v>22</v>
      </c>
      <c r="E261" s="34" t="s">
        <v>673</v>
      </c>
      <c r="F261" s="35" t="s">
        <v>678</v>
      </c>
    </row>
    <row r="262" spans="1:6" ht="19.5" customHeight="1" thickTop="1" thickBot="1" x14ac:dyDescent="0.25">
      <c r="A262" s="33" t="str">
        <f>مهن[[#This Row],[الدرجة]]&amp;مهن[[#This Row],[المهنة]]</f>
        <v>2قبطان قاطرة</v>
      </c>
      <c r="B262" s="24">
        <v>2</v>
      </c>
      <c r="C262" s="24" t="s">
        <v>493</v>
      </c>
      <c r="D262" s="24">
        <v>23</v>
      </c>
      <c r="E262" s="34" t="s">
        <v>679</v>
      </c>
      <c r="F262" s="35" t="s">
        <v>680</v>
      </c>
    </row>
    <row r="263" spans="1:6" ht="19.5" customHeight="1" thickTop="1" thickBot="1" x14ac:dyDescent="0.25">
      <c r="A263" s="33" t="str">
        <f>مهن[[#This Row],[الدرجة]]&amp;مهن[[#This Row],[المهنة]]</f>
        <v>3قبطان قاطرة</v>
      </c>
      <c r="B263" s="24">
        <v>3</v>
      </c>
      <c r="C263" s="24" t="s">
        <v>496</v>
      </c>
      <c r="D263" s="24">
        <v>23</v>
      </c>
      <c r="E263" s="34" t="s">
        <v>679</v>
      </c>
      <c r="F263" s="35" t="s">
        <v>681</v>
      </c>
    </row>
    <row r="264" spans="1:6" ht="19.5" customHeight="1" thickTop="1" thickBot="1" x14ac:dyDescent="0.25">
      <c r="A264" s="33" t="str">
        <f>مهن[[#This Row],[الدرجة]]&amp;مهن[[#This Row],[المهنة]]</f>
        <v>4قبطان قاطرة</v>
      </c>
      <c r="B264" s="24">
        <v>4</v>
      </c>
      <c r="C264" s="24" t="s">
        <v>498</v>
      </c>
      <c r="D264" s="24">
        <v>23</v>
      </c>
      <c r="E264" s="34" t="s">
        <v>679</v>
      </c>
      <c r="F264" s="35" t="s">
        <v>682</v>
      </c>
    </row>
    <row r="265" spans="1:6" ht="19.5" customHeight="1" thickTop="1" thickBot="1" x14ac:dyDescent="0.25">
      <c r="A265" s="33" t="str">
        <f>مهن[[#This Row],[الدرجة]]&amp;مهن[[#This Row],[المهنة]]</f>
        <v>5قبطان قاطرة</v>
      </c>
      <c r="B265" s="24">
        <v>5</v>
      </c>
      <c r="C265" s="24" t="s">
        <v>500</v>
      </c>
      <c r="D265" s="24">
        <v>23</v>
      </c>
      <c r="E265" s="34" t="s">
        <v>679</v>
      </c>
      <c r="F265" s="35" t="s">
        <v>683</v>
      </c>
    </row>
    <row r="266" spans="1:6" ht="19.5" customHeight="1" thickTop="1" thickBot="1" x14ac:dyDescent="0.25">
      <c r="A266" s="33" t="str">
        <f>مهن[[#This Row],[الدرجة]]&amp;مهن[[#This Row],[المهنة]]</f>
        <v>6قبطان قاطرة</v>
      </c>
      <c r="B266" s="24">
        <v>6</v>
      </c>
      <c r="C266" s="24" t="s">
        <v>502</v>
      </c>
      <c r="D266" s="24">
        <v>23</v>
      </c>
      <c r="E266" s="34" t="s">
        <v>679</v>
      </c>
      <c r="F266" s="35" t="s">
        <v>679</v>
      </c>
    </row>
    <row r="267" spans="1:6" ht="19.5" customHeight="1" thickTop="1" thickBot="1" x14ac:dyDescent="0.25">
      <c r="A267" s="33" t="str">
        <f>مهن[[#This Row],[الدرجة]]&amp;مهن[[#This Row],[المهنة]]</f>
        <v>2ضابط لاسلكى</v>
      </c>
      <c r="B267" s="24">
        <v>2</v>
      </c>
      <c r="C267" s="24" t="s">
        <v>493</v>
      </c>
      <c r="D267" s="24">
        <v>24</v>
      </c>
      <c r="E267" s="34" t="s">
        <v>684</v>
      </c>
      <c r="F267" s="35" t="s">
        <v>685</v>
      </c>
    </row>
    <row r="268" spans="1:6" ht="19.5" customHeight="1" thickTop="1" thickBot="1" x14ac:dyDescent="0.25">
      <c r="A268" s="33" t="str">
        <f>مهن[[#This Row],[الدرجة]]&amp;مهن[[#This Row],[المهنة]]</f>
        <v>3ضابط لاسلكى</v>
      </c>
      <c r="B268" s="24">
        <v>3</v>
      </c>
      <c r="C268" s="24" t="s">
        <v>496</v>
      </c>
      <c r="D268" s="24">
        <v>24</v>
      </c>
      <c r="E268" s="34" t="s">
        <v>684</v>
      </c>
      <c r="F268" s="35" t="s">
        <v>686</v>
      </c>
    </row>
    <row r="269" spans="1:6" ht="19.5" customHeight="1" thickTop="1" thickBot="1" x14ac:dyDescent="0.25">
      <c r="A269" s="33" t="str">
        <f>مهن[[#This Row],[الدرجة]]&amp;مهن[[#This Row],[المهنة]]</f>
        <v>4ضابط لاسلكى</v>
      </c>
      <c r="B269" s="24">
        <v>4</v>
      </c>
      <c r="C269" s="24" t="s">
        <v>498</v>
      </c>
      <c r="D269" s="24">
        <v>24</v>
      </c>
      <c r="E269" s="34" t="s">
        <v>684</v>
      </c>
      <c r="F269" s="35" t="s">
        <v>687</v>
      </c>
    </row>
    <row r="270" spans="1:6" ht="19.5" customHeight="1" thickTop="1" thickBot="1" x14ac:dyDescent="0.25">
      <c r="A270" s="33" t="str">
        <f>مهن[[#This Row],[الدرجة]]&amp;مهن[[#This Row],[المهنة]]</f>
        <v>5ضابط لاسلكى</v>
      </c>
      <c r="B270" s="24">
        <v>5</v>
      </c>
      <c r="C270" s="24" t="s">
        <v>500</v>
      </c>
      <c r="D270" s="24">
        <v>24</v>
      </c>
      <c r="E270" s="34" t="s">
        <v>684</v>
      </c>
      <c r="F270" s="35" t="s">
        <v>688</v>
      </c>
    </row>
    <row r="271" spans="1:6" ht="19.5" customHeight="1" thickTop="1" thickBot="1" x14ac:dyDescent="0.25">
      <c r="A271" s="33" t="str">
        <f>مهن[[#This Row],[الدرجة]]&amp;مهن[[#This Row],[المهنة]]</f>
        <v>6ضابط لاسلكى</v>
      </c>
      <c r="B271" s="24">
        <v>6</v>
      </c>
      <c r="C271" s="24" t="s">
        <v>502</v>
      </c>
      <c r="D271" s="24">
        <v>24</v>
      </c>
      <c r="E271" s="34" t="s">
        <v>684</v>
      </c>
      <c r="F271" s="35" t="s">
        <v>684</v>
      </c>
    </row>
    <row r="272" spans="1:6" ht="19.5" customHeight="1" thickTop="1" thickBot="1" x14ac:dyDescent="0.25">
      <c r="A272" s="33" t="str">
        <f>مهن[[#This Row],[الدرجة]]&amp;مهن[[#This Row],[المهنة]]</f>
        <v>7ضابط لاسلكى</v>
      </c>
      <c r="B272" s="24">
        <v>7</v>
      </c>
      <c r="C272" s="24" t="s">
        <v>504</v>
      </c>
      <c r="D272" s="24">
        <v>24</v>
      </c>
      <c r="E272" s="34" t="s">
        <v>684</v>
      </c>
      <c r="F272" s="35" t="s">
        <v>689</v>
      </c>
    </row>
    <row r="273" spans="1:6" ht="19.5" customHeight="1" thickTop="1" thickBot="1" x14ac:dyDescent="0.25">
      <c r="A273" s="33" t="str">
        <f>مهن[[#This Row],[الدرجة]]&amp;مهن[[#This Row],[المهنة]]</f>
        <v>1مراجع حمولة ورسوم سفن</v>
      </c>
      <c r="B273" s="24">
        <v>1</v>
      </c>
      <c r="C273" s="24" t="s">
        <v>586</v>
      </c>
      <c r="D273" s="24">
        <v>25</v>
      </c>
      <c r="E273" s="34" t="s">
        <v>690</v>
      </c>
      <c r="F273" s="35" t="s">
        <v>691</v>
      </c>
    </row>
    <row r="274" spans="1:6" ht="19.5" customHeight="1" thickTop="1" thickBot="1" x14ac:dyDescent="0.25">
      <c r="A274" s="33" t="str">
        <f>مهن[[#This Row],[الدرجة]]&amp;مهن[[#This Row],[المهنة]]</f>
        <v>2مراجع حمولة ورسوم سفن</v>
      </c>
      <c r="B274" s="24">
        <v>2</v>
      </c>
      <c r="C274" s="24" t="s">
        <v>493</v>
      </c>
      <c r="D274" s="24">
        <v>25</v>
      </c>
      <c r="E274" s="34" t="s">
        <v>690</v>
      </c>
      <c r="F274" s="35" t="s">
        <v>692</v>
      </c>
    </row>
    <row r="275" spans="1:6" ht="19.5" customHeight="1" thickTop="1" thickBot="1" x14ac:dyDescent="0.25">
      <c r="A275" s="33" t="str">
        <f>مهن[[#This Row],[الدرجة]]&amp;مهن[[#This Row],[المهنة]]</f>
        <v>3مراجع حمولة ورسوم سفن</v>
      </c>
      <c r="B275" s="24">
        <v>3</v>
      </c>
      <c r="C275" s="24" t="s">
        <v>496</v>
      </c>
      <c r="D275" s="24">
        <v>25</v>
      </c>
      <c r="E275" s="34" t="s">
        <v>690</v>
      </c>
      <c r="F275" s="35" t="s">
        <v>693</v>
      </c>
    </row>
    <row r="276" spans="1:6" ht="19.5" customHeight="1" thickTop="1" thickBot="1" x14ac:dyDescent="0.25">
      <c r="A276" s="33" t="str">
        <f>مهن[[#This Row],[الدرجة]]&amp;مهن[[#This Row],[المهنة]]</f>
        <v>4مراجع حمولة ورسوم سفن</v>
      </c>
      <c r="B276" s="24">
        <v>4</v>
      </c>
      <c r="C276" s="24" t="s">
        <v>498</v>
      </c>
      <c r="D276" s="24">
        <v>25</v>
      </c>
      <c r="E276" s="34" t="s">
        <v>690</v>
      </c>
      <c r="F276" s="35" t="s">
        <v>694</v>
      </c>
    </row>
    <row r="277" spans="1:6" ht="19.5" customHeight="1" thickTop="1" thickBot="1" x14ac:dyDescent="0.25">
      <c r="A277" s="33" t="str">
        <f>مهن[[#This Row],[الدرجة]]&amp;مهن[[#This Row],[المهنة]]</f>
        <v>5مراجع حمولة ورسوم سفن</v>
      </c>
      <c r="B277" s="24">
        <v>5</v>
      </c>
      <c r="C277" s="24" t="s">
        <v>500</v>
      </c>
      <c r="D277" s="24">
        <v>25</v>
      </c>
      <c r="E277" s="34" t="s">
        <v>690</v>
      </c>
      <c r="F277" s="35" t="s">
        <v>695</v>
      </c>
    </row>
    <row r="278" spans="1:6" ht="19.5" customHeight="1" thickTop="1" thickBot="1" x14ac:dyDescent="0.25">
      <c r="A278" s="33" t="str">
        <f>مهن[[#This Row],[الدرجة]]&amp;مهن[[#This Row],[المهنة]]</f>
        <v>6مراجع حمولة ورسوم سفن</v>
      </c>
      <c r="B278" s="24">
        <v>6</v>
      </c>
      <c r="C278" s="24" t="s">
        <v>502</v>
      </c>
      <c r="D278" s="24">
        <v>25</v>
      </c>
      <c r="E278" s="34" t="s">
        <v>690</v>
      </c>
      <c r="F278" s="35" t="s">
        <v>690</v>
      </c>
    </row>
    <row r="279" spans="1:6" ht="19.5" customHeight="1" thickTop="1" thickBot="1" x14ac:dyDescent="0.25">
      <c r="A279" s="33" t="str">
        <f>مهن[[#This Row],[الدرجة]]&amp;مهن[[#This Row],[المهنة]]</f>
        <v>11مراجع حمولة ورسوم سفن</v>
      </c>
      <c r="B279" s="24">
        <v>11</v>
      </c>
      <c r="C279" s="24" t="s">
        <v>521</v>
      </c>
      <c r="D279" s="24">
        <v>25</v>
      </c>
      <c r="E279" s="34" t="s">
        <v>690</v>
      </c>
      <c r="F279" s="35" t="s">
        <v>696</v>
      </c>
    </row>
    <row r="280" spans="1:6" ht="19.5" customHeight="1" thickTop="1" thickBot="1" x14ac:dyDescent="0.25">
      <c r="A280" s="33" t="str">
        <f>مهن[[#This Row],[الدرجة]]&amp;مهن[[#This Row],[المهنة]]</f>
        <v>12مراجع حمولة ورسوم سفن</v>
      </c>
      <c r="B280" s="24">
        <v>12</v>
      </c>
      <c r="C280" s="24" t="s">
        <v>594</v>
      </c>
      <c r="D280" s="24">
        <v>25</v>
      </c>
      <c r="E280" s="34" t="s">
        <v>690</v>
      </c>
      <c r="F280" s="35" t="s">
        <v>697</v>
      </c>
    </row>
    <row r="281" spans="1:6" ht="19.5" customHeight="1" thickTop="1" thickBot="1" x14ac:dyDescent="0.25">
      <c r="A281" s="33" t="str">
        <f>مهن[[#This Row],[الدرجة]]&amp;مهن[[#This Row],[المهنة]]</f>
        <v>1مراقب حركة</v>
      </c>
      <c r="B281" s="24">
        <v>1</v>
      </c>
      <c r="C281" s="24" t="s">
        <v>586</v>
      </c>
      <c r="D281" s="24">
        <v>31</v>
      </c>
      <c r="E281" s="34" t="s">
        <v>698</v>
      </c>
      <c r="F281" s="35" t="s">
        <v>699</v>
      </c>
    </row>
    <row r="282" spans="1:6" ht="19.5" customHeight="1" thickTop="1" thickBot="1" x14ac:dyDescent="0.25">
      <c r="A282" s="33" t="str">
        <f>مهن[[#This Row],[الدرجة]]&amp;مهن[[#This Row],[المهنة]]</f>
        <v>2مراقب حركة</v>
      </c>
      <c r="B282" s="24">
        <v>2</v>
      </c>
      <c r="C282" s="24" t="s">
        <v>493</v>
      </c>
      <c r="D282" s="24">
        <v>31</v>
      </c>
      <c r="E282" s="34" t="s">
        <v>698</v>
      </c>
      <c r="F282" s="35" t="s">
        <v>700</v>
      </c>
    </row>
    <row r="283" spans="1:6" ht="19.5" customHeight="1" thickTop="1" thickBot="1" x14ac:dyDescent="0.25">
      <c r="A283" s="33" t="str">
        <f>مهن[[#This Row],[الدرجة]]&amp;مهن[[#This Row],[المهنة]]</f>
        <v>3مراقب حركة</v>
      </c>
      <c r="B283" s="24">
        <v>3</v>
      </c>
      <c r="C283" s="24" t="s">
        <v>496</v>
      </c>
      <c r="D283" s="24">
        <v>31</v>
      </c>
      <c r="E283" s="34" t="s">
        <v>698</v>
      </c>
      <c r="F283" s="35" t="s">
        <v>701</v>
      </c>
    </row>
    <row r="284" spans="1:6" ht="19.5" customHeight="1" thickTop="1" thickBot="1" x14ac:dyDescent="0.25">
      <c r="A284" s="33" t="str">
        <f>مهن[[#This Row],[الدرجة]]&amp;مهن[[#This Row],[المهنة]]</f>
        <v>4مراقب حركة</v>
      </c>
      <c r="B284" s="24">
        <v>4</v>
      </c>
      <c r="C284" s="24" t="s">
        <v>498</v>
      </c>
      <c r="D284" s="24">
        <v>31</v>
      </c>
      <c r="E284" s="34" t="s">
        <v>698</v>
      </c>
      <c r="F284" s="35" t="s">
        <v>702</v>
      </c>
    </row>
    <row r="285" spans="1:6" ht="19.5" customHeight="1" thickTop="1" thickBot="1" x14ac:dyDescent="0.25">
      <c r="A285" s="33" t="str">
        <f>مهن[[#This Row],[الدرجة]]&amp;مهن[[#This Row],[المهنة]]</f>
        <v>5مراقب حركة</v>
      </c>
      <c r="B285" s="24">
        <v>5</v>
      </c>
      <c r="C285" s="24" t="s">
        <v>500</v>
      </c>
      <c r="D285" s="24">
        <v>31</v>
      </c>
      <c r="E285" s="34" t="s">
        <v>698</v>
      </c>
      <c r="F285" s="35" t="s">
        <v>703</v>
      </c>
    </row>
    <row r="286" spans="1:6" ht="19.5" customHeight="1" thickTop="1" thickBot="1" x14ac:dyDescent="0.25">
      <c r="A286" s="33" t="str">
        <f>مهن[[#This Row],[الدرجة]]&amp;مهن[[#This Row],[المهنة]]</f>
        <v>6مراقب حركة</v>
      </c>
      <c r="B286" s="24">
        <v>6</v>
      </c>
      <c r="C286" s="24" t="s">
        <v>502</v>
      </c>
      <c r="D286" s="24">
        <v>31</v>
      </c>
      <c r="E286" s="34" t="s">
        <v>698</v>
      </c>
      <c r="F286" s="35" t="s">
        <v>698</v>
      </c>
    </row>
    <row r="287" spans="1:6" ht="19.5" customHeight="1" thickTop="1" thickBot="1" x14ac:dyDescent="0.25">
      <c r="A287" s="33" t="str">
        <f>مهن[[#This Row],[الدرجة]]&amp;مهن[[#This Row],[المهنة]]</f>
        <v>11مراقب حركة</v>
      </c>
      <c r="B287" s="24">
        <v>11</v>
      </c>
      <c r="C287" s="24" t="s">
        <v>521</v>
      </c>
      <c r="D287" s="24">
        <v>31</v>
      </c>
      <c r="E287" s="34" t="s">
        <v>698</v>
      </c>
      <c r="F287" s="35" t="s">
        <v>704</v>
      </c>
    </row>
    <row r="288" spans="1:6" ht="19.5" customHeight="1" thickTop="1" thickBot="1" x14ac:dyDescent="0.25">
      <c r="A288" s="33" t="str">
        <f>مهن[[#This Row],[الدرجة]]&amp;مهن[[#This Row],[المهنة]]</f>
        <v>12مراقب حركة</v>
      </c>
      <c r="B288" s="24">
        <v>12</v>
      </c>
      <c r="C288" s="24" t="s">
        <v>594</v>
      </c>
      <c r="D288" s="24">
        <v>31</v>
      </c>
      <c r="E288" s="34" t="s">
        <v>698</v>
      </c>
      <c r="F288" s="35" t="s">
        <v>705</v>
      </c>
    </row>
    <row r="289" spans="1:6" ht="19.5" customHeight="1" thickTop="1" thickBot="1" x14ac:dyDescent="0.25">
      <c r="A289" s="33" t="str">
        <f>مهن[[#This Row],[الدرجة]]&amp;مهن[[#This Row],[المهنة]]</f>
        <v>2رصاد</v>
      </c>
      <c r="B289" s="24">
        <v>2</v>
      </c>
      <c r="C289" s="24" t="s">
        <v>493</v>
      </c>
      <c r="D289" s="24">
        <v>32</v>
      </c>
      <c r="E289" s="34" t="s">
        <v>706</v>
      </c>
      <c r="F289" s="35" t="s">
        <v>707</v>
      </c>
    </row>
    <row r="290" spans="1:6" ht="19.5" customHeight="1" thickTop="1" thickBot="1" x14ac:dyDescent="0.25">
      <c r="A290" s="33" t="str">
        <f>مهن[[#This Row],[الدرجة]]&amp;مهن[[#This Row],[المهنة]]</f>
        <v>3رصاد</v>
      </c>
      <c r="B290" s="24">
        <v>3</v>
      </c>
      <c r="C290" s="24" t="s">
        <v>496</v>
      </c>
      <c r="D290" s="24">
        <v>32</v>
      </c>
      <c r="E290" s="34" t="s">
        <v>706</v>
      </c>
      <c r="F290" s="35" t="s">
        <v>708</v>
      </c>
    </row>
    <row r="291" spans="1:6" ht="19.5" customHeight="1" thickTop="1" thickBot="1" x14ac:dyDescent="0.25">
      <c r="A291" s="33" t="str">
        <f>مهن[[#This Row],[الدرجة]]&amp;مهن[[#This Row],[المهنة]]</f>
        <v>4رصاد</v>
      </c>
      <c r="B291" s="24">
        <v>4</v>
      </c>
      <c r="C291" s="24" t="s">
        <v>498</v>
      </c>
      <c r="D291" s="24">
        <v>32</v>
      </c>
      <c r="E291" s="34" t="s">
        <v>706</v>
      </c>
      <c r="F291" s="35" t="s">
        <v>709</v>
      </c>
    </row>
    <row r="292" spans="1:6" ht="19.5" customHeight="1" thickTop="1" thickBot="1" x14ac:dyDescent="0.25">
      <c r="A292" s="33" t="str">
        <f>مهن[[#This Row],[الدرجة]]&amp;مهن[[#This Row],[المهنة]]</f>
        <v>5رصاد</v>
      </c>
      <c r="B292" s="24">
        <v>5</v>
      </c>
      <c r="C292" s="24" t="s">
        <v>500</v>
      </c>
      <c r="D292" s="24">
        <v>32</v>
      </c>
      <c r="E292" s="34" t="s">
        <v>706</v>
      </c>
      <c r="F292" s="35" t="s">
        <v>710</v>
      </c>
    </row>
    <row r="293" spans="1:6" ht="19.5" customHeight="1" thickTop="1" thickBot="1" x14ac:dyDescent="0.25">
      <c r="A293" s="33" t="str">
        <f>مهن[[#This Row],[الدرجة]]&amp;مهن[[#This Row],[المهنة]]</f>
        <v>6رصاد</v>
      </c>
      <c r="B293" s="24">
        <v>6</v>
      </c>
      <c r="C293" s="24" t="s">
        <v>502</v>
      </c>
      <c r="D293" s="24">
        <v>32</v>
      </c>
      <c r="E293" s="34" t="s">
        <v>706</v>
      </c>
      <c r="F293" s="35" t="s">
        <v>711</v>
      </c>
    </row>
    <row r="294" spans="1:6" ht="19.5" customHeight="1" thickTop="1" thickBot="1" x14ac:dyDescent="0.25">
      <c r="A294" s="33" t="str">
        <f>مهن[[#This Row],[الدرجة]]&amp;مهن[[#This Row],[المهنة]]</f>
        <v>7رصاد</v>
      </c>
      <c r="B294" s="24">
        <v>7</v>
      </c>
      <c r="C294" s="24" t="s">
        <v>504</v>
      </c>
      <c r="D294" s="24">
        <v>32</v>
      </c>
      <c r="E294" s="34" t="s">
        <v>706</v>
      </c>
      <c r="F294" s="35" t="s">
        <v>706</v>
      </c>
    </row>
    <row r="295" spans="1:6" ht="19.5" customHeight="1" thickTop="1" thickBot="1" x14ac:dyDescent="0.25">
      <c r="A295" s="33" t="str">
        <f>مهن[[#This Row],[الدرجة]]&amp;مهن[[#This Row],[المهنة]]</f>
        <v>8رصاد</v>
      </c>
      <c r="B295" s="24">
        <v>8</v>
      </c>
      <c r="C295" s="24" t="s">
        <v>506</v>
      </c>
      <c r="D295" s="24">
        <v>32</v>
      </c>
      <c r="E295" s="34" t="s">
        <v>706</v>
      </c>
      <c r="F295" s="35" t="s">
        <v>712</v>
      </c>
    </row>
    <row r="296" spans="1:6" ht="19.5" customHeight="1" thickTop="1" thickBot="1" x14ac:dyDescent="0.25">
      <c r="A296" s="33" t="str">
        <f>مهن[[#This Row],[الدرجة]]&amp;مهن[[#This Row],[المهنة]]</f>
        <v>2كاتب</v>
      </c>
      <c r="B296" s="24">
        <v>2</v>
      </c>
      <c r="C296" s="24" t="s">
        <v>493</v>
      </c>
      <c r="D296" s="24">
        <v>41</v>
      </c>
      <c r="E296" s="34" t="s">
        <v>713</v>
      </c>
      <c r="F296" s="35" t="s">
        <v>714</v>
      </c>
    </row>
    <row r="297" spans="1:6" ht="19.5" customHeight="1" thickTop="1" thickBot="1" x14ac:dyDescent="0.25">
      <c r="A297" s="33" t="str">
        <f>مهن[[#This Row],[الدرجة]]&amp;مهن[[#This Row],[المهنة]]</f>
        <v>3كاتب</v>
      </c>
      <c r="B297" s="24">
        <v>3</v>
      </c>
      <c r="C297" s="24" t="s">
        <v>496</v>
      </c>
      <c r="D297" s="24">
        <v>41</v>
      </c>
      <c r="E297" s="34" t="s">
        <v>713</v>
      </c>
      <c r="F297" s="35" t="s">
        <v>715</v>
      </c>
    </row>
    <row r="298" spans="1:6" ht="19.5" customHeight="1" thickTop="1" thickBot="1" x14ac:dyDescent="0.25">
      <c r="A298" s="33" t="str">
        <f>مهن[[#This Row],[الدرجة]]&amp;مهن[[#This Row],[المهنة]]</f>
        <v>4كاتب</v>
      </c>
      <c r="B298" s="24">
        <v>4</v>
      </c>
      <c r="C298" s="24" t="s">
        <v>498</v>
      </c>
      <c r="D298" s="24">
        <v>41</v>
      </c>
      <c r="E298" s="34" t="s">
        <v>713</v>
      </c>
      <c r="F298" s="35" t="s">
        <v>716</v>
      </c>
    </row>
    <row r="299" spans="1:6" ht="19.5" customHeight="1" thickTop="1" thickBot="1" x14ac:dyDescent="0.25">
      <c r="A299" s="33" t="str">
        <f>مهن[[#This Row],[الدرجة]]&amp;مهن[[#This Row],[المهنة]]</f>
        <v>5كاتب</v>
      </c>
      <c r="B299" s="24">
        <v>5</v>
      </c>
      <c r="C299" s="24" t="s">
        <v>500</v>
      </c>
      <c r="D299" s="24">
        <v>41</v>
      </c>
      <c r="E299" s="34" t="s">
        <v>713</v>
      </c>
      <c r="F299" s="35" t="s">
        <v>717</v>
      </c>
    </row>
    <row r="300" spans="1:6" ht="19.5" customHeight="1" thickTop="1" thickBot="1" x14ac:dyDescent="0.25">
      <c r="A300" s="33" t="str">
        <f>مهن[[#This Row],[الدرجة]]&amp;مهن[[#This Row],[المهنة]]</f>
        <v>6كاتب</v>
      </c>
      <c r="B300" s="24">
        <v>6</v>
      </c>
      <c r="C300" s="24" t="s">
        <v>502</v>
      </c>
      <c r="D300" s="24">
        <v>41</v>
      </c>
      <c r="E300" s="34" t="s">
        <v>713</v>
      </c>
      <c r="F300" s="35" t="s">
        <v>718</v>
      </c>
    </row>
    <row r="301" spans="1:6" ht="19.5" customHeight="1" thickTop="1" thickBot="1" x14ac:dyDescent="0.25">
      <c r="A301" s="33" t="str">
        <f>مهن[[#This Row],[الدرجة]]&amp;مهن[[#This Row],[المهنة]]</f>
        <v>7كاتب</v>
      </c>
      <c r="B301" s="24">
        <v>7</v>
      </c>
      <c r="C301" s="24" t="s">
        <v>504</v>
      </c>
      <c r="D301" s="24">
        <v>41</v>
      </c>
      <c r="E301" s="34" t="s">
        <v>713</v>
      </c>
      <c r="F301" s="35" t="s">
        <v>719</v>
      </c>
    </row>
    <row r="302" spans="1:6" ht="19.5" customHeight="1" thickTop="1" thickBot="1" x14ac:dyDescent="0.25">
      <c r="A302" s="33" t="str">
        <f>مهن[[#This Row],[الدرجة]]&amp;مهن[[#This Row],[المهنة]]</f>
        <v>8كاتب</v>
      </c>
      <c r="B302" s="24">
        <v>8</v>
      </c>
      <c r="C302" s="24" t="s">
        <v>506</v>
      </c>
      <c r="D302" s="24">
        <v>41</v>
      </c>
      <c r="E302" s="34" t="s">
        <v>713</v>
      </c>
      <c r="F302" s="35" t="s">
        <v>713</v>
      </c>
    </row>
    <row r="303" spans="1:6" ht="19.5" customHeight="1" thickTop="1" thickBot="1" x14ac:dyDescent="0.25">
      <c r="A303" s="33" t="str">
        <f>مهن[[#This Row],[الدرجة]]&amp;مهن[[#This Row],[المهنة]]</f>
        <v>2كاتبة الة كاتبة</v>
      </c>
      <c r="B303" s="24">
        <v>2</v>
      </c>
      <c r="C303" s="24" t="s">
        <v>493</v>
      </c>
      <c r="D303" s="24">
        <v>42</v>
      </c>
      <c r="E303" s="34" t="s">
        <v>720</v>
      </c>
      <c r="F303" s="35" t="s">
        <v>714</v>
      </c>
    </row>
    <row r="304" spans="1:6" ht="19.5" customHeight="1" thickTop="1" thickBot="1" x14ac:dyDescent="0.25">
      <c r="A304" s="33" t="str">
        <f>مهن[[#This Row],[الدرجة]]&amp;مهن[[#This Row],[المهنة]]</f>
        <v>3كاتبة الة كاتبة</v>
      </c>
      <c r="B304" s="24">
        <v>3</v>
      </c>
      <c r="C304" s="24" t="s">
        <v>496</v>
      </c>
      <c r="D304" s="24">
        <v>42</v>
      </c>
      <c r="E304" s="34" t="s">
        <v>720</v>
      </c>
      <c r="F304" s="35" t="s">
        <v>715</v>
      </c>
    </row>
    <row r="305" spans="1:6" ht="19.5" customHeight="1" thickTop="1" thickBot="1" x14ac:dyDescent="0.25">
      <c r="A305" s="33" t="str">
        <f>مهن[[#This Row],[الدرجة]]&amp;مهن[[#This Row],[المهنة]]</f>
        <v>4كاتبة الة كاتبة</v>
      </c>
      <c r="B305" s="24">
        <v>4</v>
      </c>
      <c r="C305" s="24" t="s">
        <v>498</v>
      </c>
      <c r="D305" s="24">
        <v>42</v>
      </c>
      <c r="E305" s="34" t="s">
        <v>720</v>
      </c>
      <c r="F305" s="35" t="s">
        <v>716</v>
      </c>
    </row>
    <row r="306" spans="1:6" ht="19.5" customHeight="1" thickTop="1" thickBot="1" x14ac:dyDescent="0.25">
      <c r="A306" s="33" t="str">
        <f>مهن[[#This Row],[الدرجة]]&amp;مهن[[#This Row],[المهنة]]</f>
        <v>5كاتبة الة كاتبة</v>
      </c>
      <c r="B306" s="24">
        <v>5</v>
      </c>
      <c r="C306" s="24" t="s">
        <v>500</v>
      </c>
      <c r="D306" s="24">
        <v>42</v>
      </c>
      <c r="E306" s="34" t="s">
        <v>720</v>
      </c>
      <c r="F306" s="35" t="s">
        <v>721</v>
      </c>
    </row>
    <row r="307" spans="1:6" ht="19.5" customHeight="1" thickTop="1" thickBot="1" x14ac:dyDescent="0.25">
      <c r="A307" s="33" t="str">
        <f>مهن[[#This Row],[الدرجة]]&amp;مهن[[#This Row],[المهنة]]</f>
        <v>6كاتبة الة كاتبة</v>
      </c>
      <c r="B307" s="24">
        <v>6</v>
      </c>
      <c r="C307" s="24" t="s">
        <v>502</v>
      </c>
      <c r="D307" s="24">
        <v>42</v>
      </c>
      <c r="E307" s="34" t="s">
        <v>720</v>
      </c>
      <c r="F307" s="35" t="s">
        <v>722</v>
      </c>
    </row>
    <row r="308" spans="1:6" ht="19.5" customHeight="1" thickTop="1" thickBot="1" x14ac:dyDescent="0.25">
      <c r="A308" s="33" t="str">
        <f>مهن[[#This Row],[الدرجة]]&amp;مهن[[#This Row],[المهنة]]</f>
        <v>7كاتبة الة كاتبة</v>
      </c>
      <c r="B308" s="24">
        <v>7</v>
      </c>
      <c r="C308" s="24" t="s">
        <v>504</v>
      </c>
      <c r="D308" s="24">
        <v>42</v>
      </c>
      <c r="E308" s="34" t="s">
        <v>720</v>
      </c>
      <c r="F308" s="35" t="s">
        <v>723</v>
      </c>
    </row>
    <row r="309" spans="1:6" ht="19.5" customHeight="1" thickTop="1" thickBot="1" x14ac:dyDescent="0.25">
      <c r="A309" s="33" t="str">
        <f>مهن[[#This Row],[الدرجة]]&amp;مهن[[#This Row],[المهنة]]</f>
        <v>8كاتبة الة كاتبة</v>
      </c>
      <c r="B309" s="24">
        <v>8</v>
      </c>
      <c r="C309" s="24" t="s">
        <v>506</v>
      </c>
      <c r="D309" s="24">
        <v>42</v>
      </c>
      <c r="E309" s="34" t="s">
        <v>720</v>
      </c>
      <c r="F309" s="35" t="s">
        <v>720</v>
      </c>
    </row>
    <row r="310" spans="1:6" ht="19.5" customHeight="1" thickTop="1" thickBot="1" x14ac:dyDescent="0.25">
      <c r="A310" s="33" t="str">
        <f>مهن[[#This Row],[الدرجة]]&amp;مهن[[#This Row],[المهنة]]</f>
        <v>2محصل</v>
      </c>
      <c r="B310" s="24">
        <v>2</v>
      </c>
      <c r="C310" s="24" t="s">
        <v>493</v>
      </c>
      <c r="D310" s="24">
        <v>43</v>
      </c>
      <c r="E310" s="34" t="s">
        <v>724</v>
      </c>
      <c r="F310" s="35" t="s">
        <v>714</v>
      </c>
    </row>
    <row r="311" spans="1:6" ht="19.5" customHeight="1" thickTop="1" thickBot="1" x14ac:dyDescent="0.25">
      <c r="A311" s="33" t="str">
        <f>مهن[[#This Row],[الدرجة]]&amp;مهن[[#This Row],[المهنة]]</f>
        <v>3محصل</v>
      </c>
      <c r="B311" s="24">
        <v>3</v>
      </c>
      <c r="C311" s="24" t="s">
        <v>496</v>
      </c>
      <c r="D311" s="24">
        <v>43</v>
      </c>
      <c r="E311" s="34" t="s">
        <v>724</v>
      </c>
      <c r="F311" s="35" t="s">
        <v>715</v>
      </c>
    </row>
    <row r="312" spans="1:6" ht="19.5" customHeight="1" thickTop="1" thickBot="1" x14ac:dyDescent="0.25">
      <c r="A312" s="33" t="str">
        <f>مهن[[#This Row],[الدرجة]]&amp;مهن[[#This Row],[المهنة]]</f>
        <v>4محصل</v>
      </c>
      <c r="B312" s="24">
        <v>4</v>
      </c>
      <c r="C312" s="24" t="s">
        <v>498</v>
      </c>
      <c r="D312" s="24">
        <v>43</v>
      </c>
      <c r="E312" s="34" t="s">
        <v>724</v>
      </c>
      <c r="F312" s="35" t="s">
        <v>716</v>
      </c>
    </row>
    <row r="313" spans="1:6" ht="19.5" customHeight="1" thickTop="1" thickBot="1" x14ac:dyDescent="0.25">
      <c r="A313" s="33" t="str">
        <f>مهن[[#This Row],[الدرجة]]&amp;مهن[[#This Row],[المهنة]]</f>
        <v>5محصل</v>
      </c>
      <c r="B313" s="24">
        <v>5</v>
      </c>
      <c r="C313" s="24" t="s">
        <v>500</v>
      </c>
      <c r="D313" s="24">
        <v>43</v>
      </c>
      <c r="E313" s="34" t="s">
        <v>724</v>
      </c>
      <c r="F313" s="35" t="s">
        <v>725</v>
      </c>
    </row>
    <row r="314" spans="1:6" ht="19.5" customHeight="1" thickTop="1" thickBot="1" x14ac:dyDescent="0.25">
      <c r="A314" s="33" t="str">
        <f>مهن[[#This Row],[الدرجة]]&amp;مهن[[#This Row],[المهنة]]</f>
        <v>6محصل</v>
      </c>
      <c r="B314" s="24">
        <v>6</v>
      </c>
      <c r="C314" s="24" t="s">
        <v>502</v>
      </c>
      <c r="D314" s="24">
        <v>43</v>
      </c>
      <c r="E314" s="34" t="s">
        <v>724</v>
      </c>
      <c r="F314" s="35" t="s">
        <v>726</v>
      </c>
    </row>
    <row r="315" spans="1:6" ht="19.5" customHeight="1" thickTop="1" thickBot="1" x14ac:dyDescent="0.25">
      <c r="A315" s="33" t="str">
        <f>مهن[[#This Row],[الدرجة]]&amp;مهن[[#This Row],[المهنة]]</f>
        <v>7محصل</v>
      </c>
      <c r="B315" s="24">
        <v>7</v>
      </c>
      <c r="C315" s="24" t="s">
        <v>504</v>
      </c>
      <c r="D315" s="24">
        <v>43</v>
      </c>
      <c r="E315" s="34" t="s">
        <v>724</v>
      </c>
      <c r="F315" s="35" t="s">
        <v>727</v>
      </c>
    </row>
    <row r="316" spans="1:6" ht="19.5" customHeight="1" thickTop="1" thickBot="1" x14ac:dyDescent="0.25">
      <c r="A316" s="33" t="str">
        <f>مهن[[#This Row],[الدرجة]]&amp;مهن[[#This Row],[المهنة]]</f>
        <v>8محصل</v>
      </c>
      <c r="B316" s="24">
        <v>8</v>
      </c>
      <c r="C316" s="24" t="s">
        <v>506</v>
      </c>
      <c r="D316" s="24">
        <v>43</v>
      </c>
      <c r="E316" s="34" t="s">
        <v>724</v>
      </c>
      <c r="F316" s="35" t="s">
        <v>724</v>
      </c>
    </row>
    <row r="317" spans="1:6" ht="19.5" customHeight="1" thickTop="1" thickBot="1" x14ac:dyDescent="0.25">
      <c r="A317" s="33" t="str">
        <f>مهن[[#This Row],[الدرجة]]&amp;مهن[[#This Row],[المهنة]]</f>
        <v>2فنى كهربائى بوبينات</v>
      </c>
      <c r="B317" s="24">
        <v>2</v>
      </c>
      <c r="C317" s="24" t="s">
        <v>493</v>
      </c>
      <c r="D317" s="24">
        <v>51</v>
      </c>
      <c r="E317" s="34" t="s">
        <v>728</v>
      </c>
      <c r="F317" s="35" t="s">
        <v>729</v>
      </c>
    </row>
    <row r="318" spans="1:6" ht="19.5" customHeight="1" thickTop="1" thickBot="1" x14ac:dyDescent="0.25">
      <c r="A318" s="33" t="str">
        <f>مهن[[#This Row],[الدرجة]]&amp;مهن[[#This Row],[المهنة]]</f>
        <v>3فنى كهربائى بوبينات</v>
      </c>
      <c r="B318" s="24">
        <v>3</v>
      </c>
      <c r="C318" s="24" t="s">
        <v>496</v>
      </c>
      <c r="D318" s="24">
        <v>51</v>
      </c>
      <c r="E318" s="34" t="s">
        <v>728</v>
      </c>
      <c r="F318" s="35" t="s">
        <v>730</v>
      </c>
    </row>
    <row r="319" spans="1:6" ht="19.5" customHeight="1" thickTop="1" thickBot="1" x14ac:dyDescent="0.25">
      <c r="A319" s="33" t="str">
        <f>مهن[[#This Row],[الدرجة]]&amp;مهن[[#This Row],[المهنة]]</f>
        <v>4فنى كهربائى بوبينات</v>
      </c>
      <c r="B319" s="24">
        <v>4</v>
      </c>
      <c r="C319" s="24" t="s">
        <v>498</v>
      </c>
      <c r="D319" s="24">
        <v>51</v>
      </c>
      <c r="E319" s="34" t="s">
        <v>728</v>
      </c>
      <c r="F319" s="35" t="s">
        <v>731</v>
      </c>
    </row>
    <row r="320" spans="1:6" ht="19.5" customHeight="1" thickTop="1" thickBot="1" x14ac:dyDescent="0.25">
      <c r="A320" s="33" t="str">
        <f>مهن[[#This Row],[الدرجة]]&amp;مهن[[#This Row],[المهنة]]</f>
        <v>5فنى كهربائى بوبينات</v>
      </c>
      <c r="B320" s="24">
        <v>5</v>
      </c>
      <c r="C320" s="24" t="s">
        <v>500</v>
      </c>
      <c r="D320" s="24">
        <v>51</v>
      </c>
      <c r="E320" s="34" t="s">
        <v>728</v>
      </c>
      <c r="F320" s="35" t="s">
        <v>732</v>
      </c>
    </row>
    <row r="321" spans="1:6" ht="19.5" customHeight="1" thickTop="1" thickBot="1" x14ac:dyDescent="0.25">
      <c r="A321" s="33" t="str">
        <f>مهن[[#This Row],[الدرجة]]&amp;مهن[[#This Row],[المهنة]]</f>
        <v>6فنى كهربائى بوبينات</v>
      </c>
      <c r="B321" s="24">
        <v>6</v>
      </c>
      <c r="C321" s="24" t="s">
        <v>502</v>
      </c>
      <c r="D321" s="24">
        <v>51</v>
      </c>
      <c r="E321" s="34" t="s">
        <v>728</v>
      </c>
      <c r="F321" s="35" t="s">
        <v>733</v>
      </c>
    </row>
    <row r="322" spans="1:6" ht="19.5" customHeight="1" thickTop="1" thickBot="1" x14ac:dyDescent="0.25">
      <c r="A322" s="33" t="str">
        <f>مهن[[#This Row],[الدرجة]]&amp;مهن[[#This Row],[المهنة]]</f>
        <v>7فنى كهربائى بوبينات</v>
      </c>
      <c r="B322" s="24">
        <v>7</v>
      </c>
      <c r="C322" s="24" t="s">
        <v>504</v>
      </c>
      <c r="D322" s="24">
        <v>51</v>
      </c>
      <c r="E322" s="34" t="s">
        <v>728</v>
      </c>
      <c r="F322" s="35" t="s">
        <v>734</v>
      </c>
    </row>
    <row r="323" spans="1:6" ht="19.5" customHeight="1" thickTop="1" thickBot="1" x14ac:dyDescent="0.25">
      <c r="A323" s="33" t="str">
        <f>مهن[[#This Row],[الدرجة]]&amp;مهن[[#This Row],[المهنة]]</f>
        <v>8فنى كهربائى بوبينات</v>
      </c>
      <c r="B323" s="24">
        <v>8</v>
      </c>
      <c r="C323" s="24" t="s">
        <v>506</v>
      </c>
      <c r="D323" s="24">
        <v>51</v>
      </c>
      <c r="E323" s="34" t="s">
        <v>728</v>
      </c>
      <c r="F323" s="35" t="s">
        <v>728</v>
      </c>
    </row>
    <row r="324" spans="1:6" ht="19.5" customHeight="1" thickTop="1" thickBot="1" x14ac:dyDescent="0.25">
      <c r="A324" s="33" t="str">
        <f>مهن[[#This Row],[الدرجة]]&amp;مهن[[#This Row],[المهنة]]</f>
        <v>2فنى كهربائى قوى عام</v>
      </c>
      <c r="B324" s="24">
        <v>2</v>
      </c>
      <c r="C324" s="24" t="s">
        <v>493</v>
      </c>
      <c r="D324" s="24">
        <v>52</v>
      </c>
      <c r="E324" s="34" t="s">
        <v>735</v>
      </c>
      <c r="F324" s="35" t="s">
        <v>729</v>
      </c>
    </row>
    <row r="325" spans="1:6" ht="19.5" customHeight="1" thickTop="1" thickBot="1" x14ac:dyDescent="0.25">
      <c r="A325" s="33" t="str">
        <f>مهن[[#This Row],[الدرجة]]&amp;مهن[[#This Row],[المهنة]]</f>
        <v>3فنى كهربائى قوى عام</v>
      </c>
      <c r="B325" s="24">
        <v>3</v>
      </c>
      <c r="C325" s="24" t="s">
        <v>496</v>
      </c>
      <c r="D325" s="24">
        <v>52</v>
      </c>
      <c r="E325" s="34" t="s">
        <v>735</v>
      </c>
      <c r="F325" s="35" t="s">
        <v>730</v>
      </c>
    </row>
    <row r="326" spans="1:6" ht="19.5" customHeight="1" thickTop="1" thickBot="1" x14ac:dyDescent="0.25">
      <c r="A326" s="33" t="str">
        <f>مهن[[#This Row],[الدرجة]]&amp;مهن[[#This Row],[المهنة]]</f>
        <v>4فنى كهربائى قوى عام</v>
      </c>
      <c r="B326" s="24">
        <v>4</v>
      </c>
      <c r="C326" s="24" t="s">
        <v>498</v>
      </c>
      <c r="D326" s="24">
        <v>52</v>
      </c>
      <c r="E326" s="34" t="s">
        <v>735</v>
      </c>
      <c r="F326" s="35" t="s">
        <v>736</v>
      </c>
    </row>
    <row r="327" spans="1:6" ht="19.5" customHeight="1" thickTop="1" thickBot="1" x14ac:dyDescent="0.25">
      <c r="A327" s="33" t="str">
        <f>مهن[[#This Row],[الدرجة]]&amp;مهن[[#This Row],[المهنة]]</f>
        <v>5فنى كهربائى قوى عام</v>
      </c>
      <c r="B327" s="24">
        <v>5</v>
      </c>
      <c r="C327" s="24" t="s">
        <v>500</v>
      </c>
      <c r="D327" s="24">
        <v>52</v>
      </c>
      <c r="E327" s="34" t="s">
        <v>735</v>
      </c>
      <c r="F327" s="35" t="s">
        <v>737</v>
      </c>
    </row>
    <row r="328" spans="1:6" ht="19.5" customHeight="1" thickTop="1" thickBot="1" x14ac:dyDescent="0.25">
      <c r="A328" s="33" t="str">
        <f>مهن[[#This Row],[الدرجة]]&amp;مهن[[#This Row],[المهنة]]</f>
        <v>6فنى كهربائى قوى عام</v>
      </c>
      <c r="B328" s="24">
        <v>6</v>
      </c>
      <c r="C328" s="24" t="s">
        <v>502</v>
      </c>
      <c r="D328" s="24">
        <v>52</v>
      </c>
      <c r="E328" s="34" t="s">
        <v>735</v>
      </c>
      <c r="F328" s="35" t="s">
        <v>738</v>
      </c>
    </row>
    <row r="329" spans="1:6" ht="19.5" customHeight="1" thickTop="1" thickBot="1" x14ac:dyDescent="0.25">
      <c r="A329" s="33" t="str">
        <f>مهن[[#This Row],[الدرجة]]&amp;مهن[[#This Row],[المهنة]]</f>
        <v>7فنى كهربائى قوى عام</v>
      </c>
      <c r="B329" s="24">
        <v>7</v>
      </c>
      <c r="C329" s="24" t="s">
        <v>504</v>
      </c>
      <c r="D329" s="24">
        <v>52</v>
      </c>
      <c r="E329" s="34" t="s">
        <v>735</v>
      </c>
      <c r="F329" s="35" t="s">
        <v>739</v>
      </c>
    </row>
    <row r="330" spans="1:6" ht="19.5" customHeight="1" thickTop="1" thickBot="1" x14ac:dyDescent="0.25">
      <c r="A330" s="33" t="str">
        <f>مهن[[#This Row],[الدرجة]]&amp;مهن[[#This Row],[المهنة]]</f>
        <v>8فنى كهربائى قوى عام</v>
      </c>
      <c r="B330" s="24">
        <v>8</v>
      </c>
      <c r="C330" s="24" t="s">
        <v>506</v>
      </c>
      <c r="D330" s="24">
        <v>52</v>
      </c>
      <c r="E330" s="34" t="s">
        <v>735</v>
      </c>
      <c r="F330" s="35" t="s">
        <v>735</v>
      </c>
    </row>
    <row r="331" spans="1:6" ht="19.5" customHeight="1" thickTop="1" thickBot="1" x14ac:dyDescent="0.25">
      <c r="A331" s="33" t="str">
        <f>مهن[[#This Row],[الدرجة]]&amp;مهن[[#This Row],[المهنة]]</f>
        <v>2فنى كهربائى تركيبات سفن</v>
      </c>
      <c r="B331" s="24">
        <v>2</v>
      </c>
      <c r="C331" s="24" t="s">
        <v>493</v>
      </c>
      <c r="D331" s="24">
        <v>53</v>
      </c>
      <c r="E331" s="34" t="s">
        <v>740</v>
      </c>
      <c r="F331" s="35" t="s">
        <v>729</v>
      </c>
    </row>
    <row r="332" spans="1:6" ht="19.5" customHeight="1" thickTop="1" thickBot="1" x14ac:dyDescent="0.25">
      <c r="A332" s="33" t="str">
        <f>مهن[[#This Row],[الدرجة]]&amp;مهن[[#This Row],[المهنة]]</f>
        <v>3فنى كهربائى تركيبات سفن</v>
      </c>
      <c r="B332" s="24">
        <v>3</v>
      </c>
      <c r="C332" s="24" t="s">
        <v>496</v>
      </c>
      <c r="D332" s="24">
        <v>53</v>
      </c>
      <c r="E332" s="34" t="s">
        <v>740</v>
      </c>
      <c r="F332" s="35" t="s">
        <v>730</v>
      </c>
    </row>
    <row r="333" spans="1:6" ht="19.5" customHeight="1" thickTop="1" thickBot="1" x14ac:dyDescent="0.25">
      <c r="A333" s="33" t="str">
        <f>مهن[[#This Row],[الدرجة]]&amp;مهن[[#This Row],[المهنة]]</f>
        <v>4فنى كهربائى تركيبات سفن</v>
      </c>
      <c r="B333" s="24">
        <v>4</v>
      </c>
      <c r="C333" s="24" t="s">
        <v>498</v>
      </c>
      <c r="D333" s="24">
        <v>53</v>
      </c>
      <c r="E333" s="34" t="s">
        <v>740</v>
      </c>
      <c r="F333" s="35" t="s">
        <v>741</v>
      </c>
    </row>
    <row r="334" spans="1:6" ht="19.5" customHeight="1" thickTop="1" thickBot="1" x14ac:dyDescent="0.25">
      <c r="A334" s="33" t="str">
        <f>مهن[[#This Row],[الدرجة]]&amp;مهن[[#This Row],[المهنة]]</f>
        <v>5فنى كهربائى تركيبات سفن</v>
      </c>
      <c r="B334" s="24">
        <v>5</v>
      </c>
      <c r="C334" s="24" t="s">
        <v>500</v>
      </c>
      <c r="D334" s="24">
        <v>53</v>
      </c>
      <c r="E334" s="34" t="s">
        <v>740</v>
      </c>
      <c r="F334" s="35" t="s">
        <v>742</v>
      </c>
    </row>
    <row r="335" spans="1:6" ht="19.5" customHeight="1" thickTop="1" thickBot="1" x14ac:dyDescent="0.25">
      <c r="A335" s="33" t="str">
        <f>مهن[[#This Row],[الدرجة]]&amp;مهن[[#This Row],[المهنة]]</f>
        <v>6فنى كهربائى تركيبات سفن</v>
      </c>
      <c r="B335" s="24">
        <v>6</v>
      </c>
      <c r="C335" s="24" t="s">
        <v>502</v>
      </c>
      <c r="D335" s="24">
        <v>53</v>
      </c>
      <c r="E335" s="34" t="s">
        <v>740</v>
      </c>
      <c r="F335" s="35" t="s">
        <v>743</v>
      </c>
    </row>
    <row r="336" spans="1:6" ht="19.5" customHeight="1" thickTop="1" thickBot="1" x14ac:dyDescent="0.25">
      <c r="A336" s="33" t="str">
        <f>مهن[[#This Row],[الدرجة]]&amp;مهن[[#This Row],[المهنة]]</f>
        <v>7فنى كهربائى تركيبات سفن</v>
      </c>
      <c r="B336" s="24">
        <v>7</v>
      </c>
      <c r="C336" s="24" t="s">
        <v>504</v>
      </c>
      <c r="D336" s="24">
        <v>53</v>
      </c>
      <c r="E336" s="34" t="s">
        <v>740</v>
      </c>
      <c r="F336" s="35" t="s">
        <v>744</v>
      </c>
    </row>
    <row r="337" spans="1:6" ht="19.5" customHeight="1" thickTop="1" thickBot="1" x14ac:dyDescent="0.25">
      <c r="A337" s="33" t="str">
        <f>مهن[[#This Row],[الدرجة]]&amp;مهن[[#This Row],[المهنة]]</f>
        <v>8فنى كهربائى تركيبات سفن</v>
      </c>
      <c r="B337" s="24">
        <v>8</v>
      </c>
      <c r="C337" s="24" t="s">
        <v>506</v>
      </c>
      <c r="D337" s="24">
        <v>53</v>
      </c>
      <c r="E337" s="34" t="s">
        <v>740</v>
      </c>
      <c r="F337" s="35" t="s">
        <v>740</v>
      </c>
    </row>
    <row r="338" spans="1:6" ht="19.5" customHeight="1" thickTop="1" thickBot="1" x14ac:dyDescent="0.25">
      <c r="A338" s="33" t="str">
        <f>مهن[[#This Row],[الدرجة]]&amp;مهن[[#This Row],[المهنة]]</f>
        <v>2فنى كهربائى تبريد وتكييف</v>
      </c>
      <c r="B338" s="24">
        <v>2</v>
      </c>
      <c r="C338" s="24" t="s">
        <v>493</v>
      </c>
      <c r="D338" s="24">
        <v>54</v>
      </c>
      <c r="E338" s="34" t="s">
        <v>745</v>
      </c>
      <c r="F338" s="35" t="s">
        <v>729</v>
      </c>
    </row>
    <row r="339" spans="1:6" ht="19.5" customHeight="1" thickTop="1" thickBot="1" x14ac:dyDescent="0.25">
      <c r="A339" s="33" t="str">
        <f>مهن[[#This Row],[الدرجة]]&amp;مهن[[#This Row],[المهنة]]</f>
        <v>3فنى كهربائى تبريد وتكييف</v>
      </c>
      <c r="B339" s="24">
        <v>3</v>
      </c>
      <c r="C339" s="24" t="s">
        <v>496</v>
      </c>
      <c r="D339" s="24">
        <v>54</v>
      </c>
      <c r="E339" s="34" t="s">
        <v>745</v>
      </c>
      <c r="F339" s="35" t="s">
        <v>730</v>
      </c>
    </row>
    <row r="340" spans="1:6" ht="19.5" customHeight="1" thickTop="1" thickBot="1" x14ac:dyDescent="0.25">
      <c r="A340" s="33" t="str">
        <f>مهن[[#This Row],[الدرجة]]&amp;مهن[[#This Row],[المهنة]]</f>
        <v>4فنى كهربائى تبريد وتكييف</v>
      </c>
      <c r="B340" s="24">
        <v>4</v>
      </c>
      <c r="C340" s="24" t="s">
        <v>498</v>
      </c>
      <c r="D340" s="24">
        <v>54</v>
      </c>
      <c r="E340" s="34" t="s">
        <v>745</v>
      </c>
      <c r="F340" s="35" t="s">
        <v>746</v>
      </c>
    </row>
    <row r="341" spans="1:6" ht="19.5" customHeight="1" thickTop="1" thickBot="1" x14ac:dyDescent="0.25">
      <c r="A341" s="33" t="str">
        <f>مهن[[#This Row],[الدرجة]]&amp;مهن[[#This Row],[المهنة]]</f>
        <v>5فنى كهربائى تبريد وتكييف</v>
      </c>
      <c r="B341" s="24">
        <v>5</v>
      </c>
      <c r="C341" s="24" t="s">
        <v>500</v>
      </c>
      <c r="D341" s="24">
        <v>54</v>
      </c>
      <c r="E341" s="34" t="s">
        <v>745</v>
      </c>
      <c r="F341" s="35" t="s">
        <v>747</v>
      </c>
    </row>
    <row r="342" spans="1:6" ht="19.5" customHeight="1" thickTop="1" thickBot="1" x14ac:dyDescent="0.25">
      <c r="A342" s="33" t="str">
        <f>مهن[[#This Row],[الدرجة]]&amp;مهن[[#This Row],[المهنة]]</f>
        <v>6فنى كهربائى تبريد وتكييف</v>
      </c>
      <c r="B342" s="24">
        <v>6</v>
      </c>
      <c r="C342" s="24" t="s">
        <v>502</v>
      </c>
      <c r="D342" s="24">
        <v>54</v>
      </c>
      <c r="E342" s="34" t="s">
        <v>745</v>
      </c>
      <c r="F342" s="35" t="s">
        <v>748</v>
      </c>
    </row>
    <row r="343" spans="1:6" ht="19.5" customHeight="1" thickTop="1" thickBot="1" x14ac:dyDescent="0.25">
      <c r="A343" s="33" t="str">
        <f>مهن[[#This Row],[الدرجة]]&amp;مهن[[#This Row],[المهنة]]</f>
        <v>7فنى كهربائى تبريد وتكييف</v>
      </c>
      <c r="B343" s="24">
        <v>7</v>
      </c>
      <c r="C343" s="24" t="s">
        <v>504</v>
      </c>
      <c r="D343" s="24">
        <v>54</v>
      </c>
      <c r="E343" s="34" t="s">
        <v>745</v>
      </c>
      <c r="F343" s="35" t="s">
        <v>749</v>
      </c>
    </row>
    <row r="344" spans="1:6" ht="19.5" customHeight="1" thickTop="1" thickBot="1" x14ac:dyDescent="0.25">
      <c r="A344" s="33" t="str">
        <f>مهن[[#This Row],[الدرجة]]&amp;مهن[[#This Row],[المهنة]]</f>
        <v>8فنى كهربائى تبريد وتكييف</v>
      </c>
      <c r="B344" s="24">
        <v>8</v>
      </c>
      <c r="C344" s="24" t="s">
        <v>506</v>
      </c>
      <c r="D344" s="24">
        <v>54</v>
      </c>
      <c r="E344" s="34" t="s">
        <v>745</v>
      </c>
      <c r="F344" s="35" t="s">
        <v>745</v>
      </c>
    </row>
    <row r="345" spans="1:6" ht="19.5" customHeight="1" thickTop="1" thickBot="1" x14ac:dyDescent="0.25">
      <c r="A345" s="33" t="str">
        <f>مهن[[#This Row],[الدرجة]]&amp;مهن[[#This Row],[المهنة]]</f>
        <v>2فنى كهربائى اجهزة دقيقة</v>
      </c>
      <c r="B345" s="24">
        <v>2</v>
      </c>
      <c r="C345" s="24" t="s">
        <v>493</v>
      </c>
      <c r="D345" s="24">
        <v>55</v>
      </c>
      <c r="E345" s="34" t="s">
        <v>750</v>
      </c>
      <c r="F345" s="35" t="s">
        <v>729</v>
      </c>
    </row>
    <row r="346" spans="1:6" ht="19.5" customHeight="1" thickTop="1" thickBot="1" x14ac:dyDescent="0.25">
      <c r="A346" s="33" t="str">
        <f>مهن[[#This Row],[الدرجة]]&amp;مهن[[#This Row],[المهنة]]</f>
        <v>3فنى كهربائى اجهزة دقيقة</v>
      </c>
      <c r="B346" s="24">
        <v>3</v>
      </c>
      <c r="C346" s="24" t="s">
        <v>496</v>
      </c>
      <c r="D346" s="24">
        <v>55</v>
      </c>
      <c r="E346" s="34" t="s">
        <v>750</v>
      </c>
      <c r="F346" s="35" t="s">
        <v>730</v>
      </c>
    </row>
    <row r="347" spans="1:6" ht="19.5" customHeight="1" thickTop="1" thickBot="1" x14ac:dyDescent="0.25">
      <c r="A347" s="33" t="str">
        <f>مهن[[#This Row],[الدرجة]]&amp;مهن[[#This Row],[المهنة]]</f>
        <v>4فنى كهربائى اجهزة دقيقة</v>
      </c>
      <c r="B347" s="24">
        <v>4</v>
      </c>
      <c r="C347" s="24" t="s">
        <v>498</v>
      </c>
      <c r="D347" s="24">
        <v>55</v>
      </c>
      <c r="E347" s="34" t="s">
        <v>750</v>
      </c>
      <c r="F347" s="35" t="s">
        <v>751</v>
      </c>
    </row>
    <row r="348" spans="1:6" ht="19.5" customHeight="1" thickTop="1" thickBot="1" x14ac:dyDescent="0.25">
      <c r="A348" s="33" t="str">
        <f>مهن[[#This Row],[الدرجة]]&amp;مهن[[#This Row],[المهنة]]</f>
        <v>5فنى كهربائى اجهزة دقيقة</v>
      </c>
      <c r="B348" s="24">
        <v>5</v>
      </c>
      <c r="C348" s="24" t="s">
        <v>500</v>
      </c>
      <c r="D348" s="24">
        <v>55</v>
      </c>
      <c r="E348" s="34" t="s">
        <v>750</v>
      </c>
      <c r="F348" s="35" t="s">
        <v>752</v>
      </c>
    </row>
    <row r="349" spans="1:6" ht="19.5" customHeight="1" thickTop="1" thickBot="1" x14ac:dyDescent="0.25">
      <c r="A349" s="33" t="str">
        <f>مهن[[#This Row],[الدرجة]]&amp;مهن[[#This Row],[المهنة]]</f>
        <v>6فنى كهربائى اجهزة دقيقة</v>
      </c>
      <c r="B349" s="24">
        <v>6</v>
      </c>
      <c r="C349" s="24" t="s">
        <v>502</v>
      </c>
      <c r="D349" s="24">
        <v>55</v>
      </c>
      <c r="E349" s="34" t="s">
        <v>750</v>
      </c>
      <c r="F349" s="35" t="s">
        <v>753</v>
      </c>
    </row>
    <row r="350" spans="1:6" ht="19.5" customHeight="1" thickTop="1" thickBot="1" x14ac:dyDescent="0.25">
      <c r="A350" s="33" t="str">
        <f>مهن[[#This Row],[الدرجة]]&amp;مهن[[#This Row],[المهنة]]</f>
        <v>7فنى كهربائى اجهزة دقيقة</v>
      </c>
      <c r="B350" s="24">
        <v>7</v>
      </c>
      <c r="C350" s="24" t="s">
        <v>504</v>
      </c>
      <c r="D350" s="24">
        <v>55</v>
      </c>
      <c r="E350" s="34" t="s">
        <v>750</v>
      </c>
      <c r="F350" s="35" t="s">
        <v>754</v>
      </c>
    </row>
    <row r="351" spans="1:6" ht="19.5" customHeight="1" thickTop="1" thickBot="1" x14ac:dyDescent="0.25">
      <c r="A351" s="33" t="str">
        <f>مهن[[#This Row],[الدرجة]]&amp;مهن[[#This Row],[المهنة]]</f>
        <v>8فنى كهربائى اجهزة دقيقة</v>
      </c>
      <c r="B351" s="24">
        <v>8</v>
      </c>
      <c r="C351" s="24" t="s">
        <v>506</v>
      </c>
      <c r="D351" s="24">
        <v>55</v>
      </c>
      <c r="E351" s="34" t="s">
        <v>750</v>
      </c>
      <c r="F351" s="35" t="s">
        <v>750</v>
      </c>
    </row>
    <row r="352" spans="1:6" ht="19.5" customHeight="1" thickTop="1" thickBot="1" x14ac:dyDescent="0.25">
      <c r="A352" s="33" t="str">
        <f>مهن[[#This Row],[الدرجة]]&amp;مهن[[#This Row],[المهنة]]</f>
        <v>2فنى كهربائى سيارات</v>
      </c>
      <c r="B352" s="24">
        <v>2</v>
      </c>
      <c r="C352" s="24" t="s">
        <v>493</v>
      </c>
      <c r="D352" s="24">
        <v>56</v>
      </c>
      <c r="E352" s="34" t="s">
        <v>755</v>
      </c>
      <c r="F352" s="35" t="s">
        <v>729</v>
      </c>
    </row>
    <row r="353" spans="1:6" ht="19.5" customHeight="1" thickTop="1" thickBot="1" x14ac:dyDescent="0.25">
      <c r="A353" s="33" t="str">
        <f>مهن[[#This Row],[الدرجة]]&amp;مهن[[#This Row],[المهنة]]</f>
        <v>3فنى كهربائى سيارات</v>
      </c>
      <c r="B353" s="24">
        <v>3</v>
      </c>
      <c r="C353" s="24" t="s">
        <v>496</v>
      </c>
      <c r="D353" s="24">
        <v>56</v>
      </c>
      <c r="E353" s="34" t="s">
        <v>755</v>
      </c>
      <c r="F353" s="35" t="s">
        <v>730</v>
      </c>
    </row>
    <row r="354" spans="1:6" ht="19.5" customHeight="1" thickTop="1" thickBot="1" x14ac:dyDescent="0.25">
      <c r="A354" s="33" t="str">
        <f>مهن[[#This Row],[الدرجة]]&amp;مهن[[#This Row],[المهنة]]</f>
        <v>4فنى كهربائى سيارات</v>
      </c>
      <c r="B354" s="24">
        <v>4</v>
      </c>
      <c r="C354" s="24" t="s">
        <v>498</v>
      </c>
      <c r="D354" s="24">
        <v>56</v>
      </c>
      <c r="E354" s="34" t="s">
        <v>755</v>
      </c>
      <c r="F354" s="35" t="s">
        <v>756</v>
      </c>
    </row>
    <row r="355" spans="1:6" ht="19.5" customHeight="1" thickTop="1" thickBot="1" x14ac:dyDescent="0.25">
      <c r="A355" s="33" t="str">
        <f>مهن[[#This Row],[الدرجة]]&amp;مهن[[#This Row],[المهنة]]</f>
        <v>5فنى كهربائى سيارات</v>
      </c>
      <c r="B355" s="24">
        <v>5</v>
      </c>
      <c r="C355" s="24" t="s">
        <v>500</v>
      </c>
      <c r="D355" s="24">
        <v>56</v>
      </c>
      <c r="E355" s="34" t="s">
        <v>755</v>
      </c>
      <c r="F355" s="35" t="s">
        <v>757</v>
      </c>
    </row>
    <row r="356" spans="1:6" ht="19.5" customHeight="1" thickTop="1" thickBot="1" x14ac:dyDescent="0.25">
      <c r="A356" s="33" t="str">
        <f>مهن[[#This Row],[الدرجة]]&amp;مهن[[#This Row],[المهنة]]</f>
        <v>6فنى كهربائى سيارات</v>
      </c>
      <c r="B356" s="24">
        <v>6</v>
      </c>
      <c r="C356" s="24" t="s">
        <v>502</v>
      </c>
      <c r="D356" s="24">
        <v>56</v>
      </c>
      <c r="E356" s="34" t="s">
        <v>755</v>
      </c>
      <c r="F356" s="35" t="s">
        <v>758</v>
      </c>
    </row>
    <row r="357" spans="1:6" ht="19.5" customHeight="1" thickTop="1" thickBot="1" x14ac:dyDescent="0.25">
      <c r="A357" s="33" t="str">
        <f>مهن[[#This Row],[الدرجة]]&amp;مهن[[#This Row],[المهنة]]</f>
        <v>7فنى كهربائى سيارات</v>
      </c>
      <c r="B357" s="24">
        <v>7</v>
      </c>
      <c r="C357" s="24" t="s">
        <v>504</v>
      </c>
      <c r="D357" s="24">
        <v>56</v>
      </c>
      <c r="E357" s="34" t="s">
        <v>755</v>
      </c>
      <c r="F357" s="35" t="s">
        <v>759</v>
      </c>
    </row>
    <row r="358" spans="1:6" ht="19.5" customHeight="1" thickTop="1" thickBot="1" x14ac:dyDescent="0.25">
      <c r="A358" s="33" t="str">
        <f>مهن[[#This Row],[الدرجة]]&amp;مهن[[#This Row],[المهنة]]</f>
        <v>8فنى كهربائى سيارات</v>
      </c>
      <c r="B358" s="24">
        <v>8</v>
      </c>
      <c r="C358" s="24" t="s">
        <v>506</v>
      </c>
      <c r="D358" s="24">
        <v>56</v>
      </c>
      <c r="E358" s="34" t="s">
        <v>755</v>
      </c>
      <c r="F358" s="35" t="s">
        <v>755</v>
      </c>
    </row>
    <row r="359" spans="1:6" ht="19.5" customHeight="1" thickTop="1" thickBot="1" x14ac:dyDescent="0.25">
      <c r="A359" s="33" t="str">
        <f>مهن[[#This Row],[الدرجة]]&amp;مهن[[#This Row],[المهنة]]</f>
        <v>2فنى كهربائى شبكات ومحطات قوى</v>
      </c>
      <c r="B359" s="24">
        <v>2</v>
      </c>
      <c r="C359" s="24" t="s">
        <v>493</v>
      </c>
      <c r="D359" s="24">
        <v>57</v>
      </c>
      <c r="E359" s="34" t="s">
        <v>760</v>
      </c>
      <c r="F359" s="35" t="s">
        <v>761</v>
      </c>
    </row>
    <row r="360" spans="1:6" ht="19.5" customHeight="1" thickTop="1" thickBot="1" x14ac:dyDescent="0.25">
      <c r="A360" s="33" t="str">
        <f>مهن[[#This Row],[الدرجة]]&amp;مهن[[#This Row],[المهنة]]</f>
        <v>3فنى كهربائى شبكات ومحطات قوى</v>
      </c>
      <c r="B360" s="24">
        <v>3</v>
      </c>
      <c r="C360" s="24" t="s">
        <v>496</v>
      </c>
      <c r="D360" s="24">
        <v>57</v>
      </c>
      <c r="E360" s="34" t="s">
        <v>760</v>
      </c>
      <c r="F360" s="35" t="s">
        <v>762</v>
      </c>
    </row>
    <row r="361" spans="1:6" ht="19.5" customHeight="1" thickTop="1" thickBot="1" x14ac:dyDescent="0.25">
      <c r="A361" s="33" t="str">
        <f>مهن[[#This Row],[الدرجة]]&amp;مهن[[#This Row],[المهنة]]</f>
        <v>4فنى كهربائى شبكات ومحطات قوى</v>
      </c>
      <c r="B361" s="24">
        <v>4</v>
      </c>
      <c r="C361" s="24" t="s">
        <v>498</v>
      </c>
      <c r="D361" s="24">
        <v>57</v>
      </c>
      <c r="E361" s="34" t="s">
        <v>760</v>
      </c>
      <c r="F361" s="35" t="s">
        <v>763</v>
      </c>
    </row>
    <row r="362" spans="1:6" ht="19.5" customHeight="1" thickTop="1" thickBot="1" x14ac:dyDescent="0.25">
      <c r="A362" s="33" t="str">
        <f>مهن[[#This Row],[الدرجة]]&amp;مهن[[#This Row],[المهنة]]</f>
        <v>5فنى كهربائى شبكات ومحطات قوى</v>
      </c>
      <c r="B362" s="24">
        <v>5</v>
      </c>
      <c r="C362" s="24" t="s">
        <v>500</v>
      </c>
      <c r="D362" s="24">
        <v>57</v>
      </c>
      <c r="E362" s="34" t="s">
        <v>760</v>
      </c>
      <c r="F362" s="35" t="s">
        <v>764</v>
      </c>
    </row>
    <row r="363" spans="1:6" ht="19.5" customHeight="1" thickTop="1" thickBot="1" x14ac:dyDescent="0.25">
      <c r="A363" s="33" t="str">
        <f>مهن[[#This Row],[الدرجة]]&amp;مهن[[#This Row],[المهنة]]</f>
        <v>6فنى كهربائى شبكات ومحطات قوى</v>
      </c>
      <c r="B363" s="24">
        <v>6</v>
      </c>
      <c r="C363" s="24" t="s">
        <v>502</v>
      </c>
      <c r="D363" s="24">
        <v>57</v>
      </c>
      <c r="E363" s="34" t="s">
        <v>760</v>
      </c>
      <c r="F363" s="35" t="s">
        <v>765</v>
      </c>
    </row>
    <row r="364" spans="1:6" ht="19.5" customHeight="1" thickTop="1" thickBot="1" x14ac:dyDescent="0.25">
      <c r="A364" s="33" t="str">
        <f>مهن[[#This Row],[الدرجة]]&amp;مهن[[#This Row],[المهنة]]</f>
        <v>7فنى كهربائى شبكات ومحطات قوى</v>
      </c>
      <c r="B364" s="24">
        <v>7</v>
      </c>
      <c r="C364" s="24" t="s">
        <v>504</v>
      </c>
      <c r="D364" s="24">
        <v>57</v>
      </c>
      <c r="E364" s="34" t="s">
        <v>760</v>
      </c>
      <c r="F364" s="35" t="s">
        <v>766</v>
      </c>
    </row>
    <row r="365" spans="1:6" ht="19.5" customHeight="1" thickTop="1" thickBot="1" x14ac:dyDescent="0.25">
      <c r="A365" s="33" t="str">
        <f>مهن[[#This Row],[الدرجة]]&amp;مهن[[#This Row],[المهنة]]</f>
        <v>8فنى كهربائى شبكات ومحطات قوى</v>
      </c>
      <c r="B365" s="24">
        <v>8</v>
      </c>
      <c r="C365" s="24" t="s">
        <v>506</v>
      </c>
      <c r="D365" s="24">
        <v>57</v>
      </c>
      <c r="E365" s="34" t="s">
        <v>760</v>
      </c>
      <c r="F365" s="35" t="s">
        <v>760</v>
      </c>
    </row>
    <row r="366" spans="1:6" ht="19.5" customHeight="1" thickTop="1" thickBot="1" x14ac:dyDescent="0.25">
      <c r="A366" s="33" t="str">
        <f>مهن[[#This Row],[الدرجة]]&amp;مهن[[#This Row],[المهنة]]</f>
        <v>2فنى كهربائى مواصلات</v>
      </c>
      <c r="B366" s="24">
        <v>2</v>
      </c>
      <c r="C366" s="24" t="s">
        <v>493</v>
      </c>
      <c r="D366" s="24">
        <v>58</v>
      </c>
      <c r="E366" s="34" t="s">
        <v>767</v>
      </c>
      <c r="F366" s="35" t="s">
        <v>768</v>
      </c>
    </row>
    <row r="367" spans="1:6" ht="19.5" customHeight="1" thickTop="1" thickBot="1" x14ac:dyDescent="0.25">
      <c r="A367" s="33" t="str">
        <f>مهن[[#This Row],[الدرجة]]&amp;مهن[[#This Row],[المهنة]]</f>
        <v>3فنى كهربائى مواصلات</v>
      </c>
      <c r="B367" s="24">
        <v>3</v>
      </c>
      <c r="C367" s="24" t="s">
        <v>496</v>
      </c>
      <c r="D367" s="24">
        <v>58</v>
      </c>
      <c r="E367" s="34" t="s">
        <v>767</v>
      </c>
      <c r="F367" s="35" t="s">
        <v>769</v>
      </c>
    </row>
    <row r="368" spans="1:6" ht="19.5" customHeight="1" thickTop="1" thickBot="1" x14ac:dyDescent="0.25">
      <c r="A368" s="33" t="str">
        <f>مهن[[#This Row],[الدرجة]]&amp;مهن[[#This Row],[المهنة]]</f>
        <v>4فنى كهربائى مواصلات</v>
      </c>
      <c r="B368" s="24">
        <v>4</v>
      </c>
      <c r="C368" s="24" t="s">
        <v>498</v>
      </c>
      <c r="D368" s="24">
        <v>58</v>
      </c>
      <c r="E368" s="34" t="s">
        <v>767</v>
      </c>
      <c r="F368" s="35" t="s">
        <v>770</v>
      </c>
    </row>
    <row r="369" spans="1:6" ht="19.5" customHeight="1" thickTop="1" thickBot="1" x14ac:dyDescent="0.25">
      <c r="A369" s="33" t="str">
        <f>مهن[[#This Row],[الدرجة]]&amp;مهن[[#This Row],[المهنة]]</f>
        <v>5فنى كهربائى مواصلات</v>
      </c>
      <c r="B369" s="24">
        <v>5</v>
      </c>
      <c r="C369" s="24" t="s">
        <v>500</v>
      </c>
      <c r="D369" s="24">
        <v>58</v>
      </c>
      <c r="E369" s="34" t="s">
        <v>767</v>
      </c>
      <c r="F369" s="35" t="s">
        <v>771</v>
      </c>
    </row>
    <row r="370" spans="1:6" ht="19.5" customHeight="1" thickTop="1" thickBot="1" x14ac:dyDescent="0.25">
      <c r="A370" s="33" t="str">
        <f>مهن[[#This Row],[الدرجة]]&amp;مهن[[#This Row],[المهنة]]</f>
        <v>6فنى كهربائى مواصلات</v>
      </c>
      <c r="B370" s="24">
        <v>6</v>
      </c>
      <c r="C370" s="24" t="s">
        <v>502</v>
      </c>
      <c r="D370" s="24">
        <v>58</v>
      </c>
      <c r="E370" s="34" t="s">
        <v>767</v>
      </c>
      <c r="F370" s="35" t="s">
        <v>772</v>
      </c>
    </row>
    <row r="371" spans="1:6" ht="19.5" customHeight="1" thickTop="1" thickBot="1" x14ac:dyDescent="0.25">
      <c r="A371" s="33" t="str">
        <f>مهن[[#This Row],[الدرجة]]&amp;مهن[[#This Row],[المهنة]]</f>
        <v>7فنى كهربائى مواصلات</v>
      </c>
      <c r="B371" s="24">
        <v>7</v>
      </c>
      <c r="C371" s="24" t="s">
        <v>504</v>
      </c>
      <c r="D371" s="24">
        <v>58</v>
      </c>
      <c r="E371" s="34" t="s">
        <v>767</v>
      </c>
      <c r="F371" s="35" t="s">
        <v>773</v>
      </c>
    </row>
    <row r="372" spans="1:6" ht="19.5" customHeight="1" thickTop="1" thickBot="1" x14ac:dyDescent="0.25">
      <c r="A372" s="33" t="str">
        <f>مهن[[#This Row],[الدرجة]]&amp;مهن[[#This Row],[المهنة]]</f>
        <v>8فنى كهربائى مواصلات</v>
      </c>
      <c r="B372" s="24">
        <v>8</v>
      </c>
      <c r="C372" s="24" t="s">
        <v>506</v>
      </c>
      <c r="D372" s="24">
        <v>58</v>
      </c>
      <c r="E372" s="34" t="s">
        <v>767</v>
      </c>
      <c r="F372" s="35" t="s">
        <v>774</v>
      </c>
    </row>
    <row r="373" spans="1:6" ht="19.5" customHeight="1" thickTop="1" thickBot="1" x14ac:dyDescent="0.25">
      <c r="A373" s="33" t="str">
        <f>مهن[[#This Row],[الدرجة]]&amp;مهن[[#This Row],[المهنة]]</f>
        <v>2فنى ميكانيكى معدات</v>
      </c>
      <c r="B373" s="24">
        <v>2</v>
      </c>
      <c r="C373" s="24" t="s">
        <v>493</v>
      </c>
      <c r="D373" s="24">
        <v>59</v>
      </c>
      <c r="E373" s="34" t="s">
        <v>775</v>
      </c>
      <c r="F373" s="35" t="s">
        <v>776</v>
      </c>
    </row>
    <row r="374" spans="1:6" ht="19.5" customHeight="1" thickTop="1" thickBot="1" x14ac:dyDescent="0.25">
      <c r="A374" s="33" t="str">
        <f>مهن[[#This Row],[الدرجة]]&amp;مهن[[#This Row],[المهنة]]</f>
        <v>3فنى ميكانيكى معدات</v>
      </c>
      <c r="B374" s="24">
        <v>3</v>
      </c>
      <c r="C374" s="24" t="s">
        <v>496</v>
      </c>
      <c r="D374" s="24">
        <v>59</v>
      </c>
      <c r="E374" s="34" t="s">
        <v>775</v>
      </c>
      <c r="F374" s="35" t="s">
        <v>777</v>
      </c>
    </row>
    <row r="375" spans="1:6" ht="19.5" customHeight="1" thickTop="1" thickBot="1" x14ac:dyDescent="0.25">
      <c r="A375" s="33" t="str">
        <f>مهن[[#This Row],[الدرجة]]&amp;مهن[[#This Row],[المهنة]]</f>
        <v>4فنى ميكانيكى معدات</v>
      </c>
      <c r="B375" s="24">
        <v>4</v>
      </c>
      <c r="C375" s="24" t="s">
        <v>498</v>
      </c>
      <c r="D375" s="24">
        <v>59</v>
      </c>
      <c r="E375" s="34" t="s">
        <v>775</v>
      </c>
      <c r="F375" s="35" t="s">
        <v>778</v>
      </c>
    </row>
    <row r="376" spans="1:6" ht="19.5" customHeight="1" thickTop="1" thickBot="1" x14ac:dyDescent="0.25">
      <c r="A376" s="33" t="str">
        <f>مهن[[#This Row],[الدرجة]]&amp;مهن[[#This Row],[المهنة]]</f>
        <v>5فنى ميكانيكى معدات</v>
      </c>
      <c r="B376" s="24">
        <v>5</v>
      </c>
      <c r="C376" s="24" t="s">
        <v>500</v>
      </c>
      <c r="D376" s="24">
        <v>59</v>
      </c>
      <c r="E376" s="34" t="s">
        <v>775</v>
      </c>
      <c r="F376" s="35" t="s">
        <v>779</v>
      </c>
    </row>
    <row r="377" spans="1:6" ht="19.5" customHeight="1" thickTop="1" thickBot="1" x14ac:dyDescent="0.25">
      <c r="A377" s="33" t="str">
        <f>مهن[[#This Row],[الدرجة]]&amp;مهن[[#This Row],[المهنة]]</f>
        <v>6فنى ميكانيكى معدات</v>
      </c>
      <c r="B377" s="24">
        <v>6</v>
      </c>
      <c r="C377" s="24" t="s">
        <v>502</v>
      </c>
      <c r="D377" s="24">
        <v>59</v>
      </c>
      <c r="E377" s="34" t="s">
        <v>775</v>
      </c>
      <c r="F377" s="35" t="s">
        <v>780</v>
      </c>
    </row>
    <row r="378" spans="1:6" ht="19.5" customHeight="1" thickTop="1" thickBot="1" x14ac:dyDescent="0.25">
      <c r="A378" s="33" t="str">
        <f>مهن[[#This Row],[الدرجة]]&amp;مهن[[#This Row],[المهنة]]</f>
        <v>7فنى ميكانيكى معدات</v>
      </c>
      <c r="B378" s="24">
        <v>7</v>
      </c>
      <c r="C378" s="24" t="s">
        <v>504</v>
      </c>
      <c r="D378" s="24">
        <v>59</v>
      </c>
      <c r="E378" s="34" t="s">
        <v>775</v>
      </c>
      <c r="F378" s="35" t="s">
        <v>781</v>
      </c>
    </row>
    <row r="379" spans="1:6" ht="19.5" customHeight="1" thickTop="1" thickBot="1" x14ac:dyDescent="0.25">
      <c r="A379" s="33" t="str">
        <f>مهن[[#This Row],[الدرجة]]&amp;مهن[[#This Row],[المهنة]]</f>
        <v>8فنى ميكانيكى معدات</v>
      </c>
      <c r="B379" s="24">
        <v>8</v>
      </c>
      <c r="C379" s="24" t="s">
        <v>506</v>
      </c>
      <c r="D379" s="24">
        <v>59</v>
      </c>
      <c r="E379" s="34" t="s">
        <v>775</v>
      </c>
      <c r="F379" s="35" t="s">
        <v>775</v>
      </c>
    </row>
    <row r="380" spans="1:6" ht="19.5" customHeight="1" thickTop="1" thickBot="1" x14ac:dyDescent="0.25">
      <c r="A380" s="33" t="str">
        <f>مهن[[#This Row],[الدرجة]]&amp;مهن[[#This Row],[المهنة]]</f>
        <v>2فنى ميكانيكى ديزل</v>
      </c>
      <c r="B380" s="24">
        <v>2</v>
      </c>
      <c r="C380" s="24" t="s">
        <v>493</v>
      </c>
      <c r="D380" s="24">
        <v>60</v>
      </c>
      <c r="E380" s="34" t="s">
        <v>782</v>
      </c>
      <c r="F380" s="35" t="s">
        <v>776</v>
      </c>
    </row>
    <row r="381" spans="1:6" ht="19.5" customHeight="1" thickTop="1" thickBot="1" x14ac:dyDescent="0.25">
      <c r="A381" s="33" t="str">
        <f>مهن[[#This Row],[الدرجة]]&amp;مهن[[#This Row],[المهنة]]</f>
        <v>3فنى ميكانيكى ديزل</v>
      </c>
      <c r="B381" s="24">
        <v>3</v>
      </c>
      <c r="C381" s="24" t="s">
        <v>496</v>
      </c>
      <c r="D381" s="24">
        <v>60</v>
      </c>
      <c r="E381" s="34" t="s">
        <v>782</v>
      </c>
      <c r="F381" s="35" t="s">
        <v>777</v>
      </c>
    </row>
    <row r="382" spans="1:6" ht="19.5" customHeight="1" thickTop="1" thickBot="1" x14ac:dyDescent="0.25">
      <c r="A382" s="33" t="str">
        <f>مهن[[#This Row],[الدرجة]]&amp;مهن[[#This Row],[المهنة]]</f>
        <v>4فنى ميكانيكى ديزل</v>
      </c>
      <c r="B382" s="24">
        <v>4</v>
      </c>
      <c r="C382" s="24" t="s">
        <v>498</v>
      </c>
      <c r="D382" s="24">
        <v>60</v>
      </c>
      <c r="E382" s="34" t="s">
        <v>782</v>
      </c>
      <c r="F382" s="35" t="s">
        <v>783</v>
      </c>
    </row>
    <row r="383" spans="1:6" ht="19.5" customHeight="1" thickTop="1" thickBot="1" x14ac:dyDescent="0.25">
      <c r="A383" s="33" t="str">
        <f>مهن[[#This Row],[الدرجة]]&amp;مهن[[#This Row],[المهنة]]</f>
        <v>5فنى ميكانيكى ديزل</v>
      </c>
      <c r="B383" s="24">
        <v>5</v>
      </c>
      <c r="C383" s="24" t="s">
        <v>500</v>
      </c>
      <c r="D383" s="24">
        <v>60</v>
      </c>
      <c r="E383" s="34" t="s">
        <v>782</v>
      </c>
      <c r="F383" s="35" t="s">
        <v>784</v>
      </c>
    </row>
    <row r="384" spans="1:6" ht="19.5" customHeight="1" thickTop="1" thickBot="1" x14ac:dyDescent="0.25">
      <c r="A384" s="33" t="str">
        <f>مهن[[#This Row],[الدرجة]]&amp;مهن[[#This Row],[المهنة]]</f>
        <v>6فنى ميكانيكى ديزل</v>
      </c>
      <c r="B384" s="24">
        <v>6</v>
      </c>
      <c r="C384" s="24" t="s">
        <v>502</v>
      </c>
      <c r="D384" s="24">
        <v>60</v>
      </c>
      <c r="E384" s="34" t="s">
        <v>782</v>
      </c>
      <c r="F384" s="35" t="s">
        <v>785</v>
      </c>
    </row>
    <row r="385" spans="1:6" ht="19.5" customHeight="1" thickTop="1" thickBot="1" x14ac:dyDescent="0.25">
      <c r="A385" s="33" t="str">
        <f>مهن[[#This Row],[الدرجة]]&amp;مهن[[#This Row],[المهنة]]</f>
        <v>7فنى ميكانيكى ديزل</v>
      </c>
      <c r="B385" s="24">
        <v>7</v>
      </c>
      <c r="C385" s="24" t="s">
        <v>504</v>
      </c>
      <c r="D385" s="24">
        <v>60</v>
      </c>
      <c r="E385" s="34" t="s">
        <v>782</v>
      </c>
      <c r="F385" s="35" t="s">
        <v>786</v>
      </c>
    </row>
    <row r="386" spans="1:6" ht="19.5" customHeight="1" thickTop="1" thickBot="1" x14ac:dyDescent="0.25">
      <c r="A386" s="33" t="str">
        <f>مهن[[#This Row],[الدرجة]]&amp;مهن[[#This Row],[المهنة]]</f>
        <v>8فنى ميكانيكى ديزل</v>
      </c>
      <c r="B386" s="24">
        <v>8</v>
      </c>
      <c r="C386" s="24" t="s">
        <v>506</v>
      </c>
      <c r="D386" s="24">
        <v>60</v>
      </c>
      <c r="E386" s="34" t="s">
        <v>782</v>
      </c>
      <c r="F386" s="35" t="s">
        <v>782</v>
      </c>
    </row>
    <row r="387" spans="1:6" ht="19.5" customHeight="1" thickTop="1" thickBot="1" x14ac:dyDescent="0.25">
      <c r="A387" s="33" t="str">
        <f>مهن[[#This Row],[الدرجة]]&amp;مهن[[#This Row],[المهنة]]</f>
        <v>2فنى ميكانيكى تركيبات</v>
      </c>
      <c r="B387" s="24">
        <v>2</v>
      </c>
      <c r="C387" s="24" t="s">
        <v>493</v>
      </c>
      <c r="D387" s="24">
        <v>61</v>
      </c>
      <c r="E387" s="34" t="s">
        <v>787</v>
      </c>
      <c r="F387" s="35" t="s">
        <v>776</v>
      </c>
    </row>
    <row r="388" spans="1:6" ht="19.5" customHeight="1" thickTop="1" thickBot="1" x14ac:dyDescent="0.25">
      <c r="A388" s="33" t="str">
        <f>مهن[[#This Row],[الدرجة]]&amp;مهن[[#This Row],[المهنة]]</f>
        <v>3فنى ميكانيكى تركيبات</v>
      </c>
      <c r="B388" s="24">
        <v>3</v>
      </c>
      <c r="C388" s="24" t="s">
        <v>496</v>
      </c>
      <c r="D388" s="24">
        <v>61</v>
      </c>
      <c r="E388" s="34" t="s">
        <v>787</v>
      </c>
      <c r="F388" s="35" t="s">
        <v>777</v>
      </c>
    </row>
    <row r="389" spans="1:6" ht="19.5" customHeight="1" thickTop="1" thickBot="1" x14ac:dyDescent="0.25">
      <c r="A389" s="33" t="str">
        <f>مهن[[#This Row],[الدرجة]]&amp;مهن[[#This Row],[المهنة]]</f>
        <v>4فنى ميكانيكى تركيبات</v>
      </c>
      <c r="B389" s="24">
        <v>4</v>
      </c>
      <c r="C389" s="24" t="s">
        <v>498</v>
      </c>
      <c r="D389" s="24">
        <v>61</v>
      </c>
      <c r="E389" s="34" t="s">
        <v>787</v>
      </c>
      <c r="F389" s="35" t="s">
        <v>788</v>
      </c>
    </row>
    <row r="390" spans="1:6" ht="19.5" customHeight="1" thickTop="1" thickBot="1" x14ac:dyDescent="0.25">
      <c r="A390" s="33" t="str">
        <f>مهن[[#This Row],[الدرجة]]&amp;مهن[[#This Row],[المهنة]]</f>
        <v>5فنى ميكانيكى تركيبات</v>
      </c>
      <c r="B390" s="24">
        <v>5</v>
      </c>
      <c r="C390" s="24" t="s">
        <v>500</v>
      </c>
      <c r="D390" s="24">
        <v>61</v>
      </c>
      <c r="E390" s="34" t="s">
        <v>787</v>
      </c>
      <c r="F390" s="35" t="s">
        <v>789</v>
      </c>
    </row>
    <row r="391" spans="1:6" ht="19.5" customHeight="1" thickTop="1" thickBot="1" x14ac:dyDescent="0.25">
      <c r="A391" s="33" t="str">
        <f>مهن[[#This Row],[الدرجة]]&amp;مهن[[#This Row],[المهنة]]</f>
        <v>6فنى ميكانيكى تركيبات</v>
      </c>
      <c r="B391" s="24">
        <v>6</v>
      </c>
      <c r="C391" s="24" t="s">
        <v>502</v>
      </c>
      <c r="D391" s="24">
        <v>61</v>
      </c>
      <c r="E391" s="34" t="s">
        <v>787</v>
      </c>
      <c r="F391" s="35" t="s">
        <v>790</v>
      </c>
    </row>
    <row r="392" spans="1:6" ht="19.5" customHeight="1" thickTop="1" thickBot="1" x14ac:dyDescent="0.25">
      <c r="A392" s="33" t="str">
        <f>مهن[[#This Row],[الدرجة]]&amp;مهن[[#This Row],[المهنة]]</f>
        <v>7فنى ميكانيكى تركيبات</v>
      </c>
      <c r="B392" s="24">
        <v>7</v>
      </c>
      <c r="C392" s="24" t="s">
        <v>504</v>
      </c>
      <c r="D392" s="24">
        <v>61</v>
      </c>
      <c r="E392" s="34" t="s">
        <v>787</v>
      </c>
      <c r="F392" s="35" t="s">
        <v>791</v>
      </c>
    </row>
    <row r="393" spans="1:6" ht="19.5" customHeight="1" thickTop="1" thickBot="1" x14ac:dyDescent="0.25">
      <c r="A393" s="33" t="str">
        <f>مهن[[#This Row],[الدرجة]]&amp;مهن[[#This Row],[المهنة]]</f>
        <v>8فنى ميكانيكى تركيبات</v>
      </c>
      <c r="B393" s="24">
        <v>8</v>
      </c>
      <c r="C393" s="24" t="s">
        <v>506</v>
      </c>
      <c r="D393" s="24">
        <v>61</v>
      </c>
      <c r="E393" s="34" t="s">
        <v>787</v>
      </c>
      <c r="F393" s="35" t="s">
        <v>787</v>
      </c>
    </row>
    <row r="394" spans="1:6" ht="19.5" customHeight="1" thickTop="1" thickBot="1" x14ac:dyDescent="0.25">
      <c r="A394" s="33" t="str">
        <f>مهن[[#This Row],[الدرجة]]&amp;مهن[[#This Row],[المهنة]]</f>
        <v>2فنى ميكانيكى بخار</v>
      </c>
      <c r="B394" s="24">
        <v>2</v>
      </c>
      <c r="C394" s="24" t="s">
        <v>493</v>
      </c>
      <c r="D394" s="24">
        <v>62</v>
      </c>
      <c r="E394" s="34" t="s">
        <v>792</v>
      </c>
      <c r="F394" s="35" t="s">
        <v>776</v>
      </c>
    </row>
    <row r="395" spans="1:6" ht="19.5" customHeight="1" thickTop="1" thickBot="1" x14ac:dyDescent="0.25">
      <c r="A395" s="33" t="str">
        <f>مهن[[#This Row],[الدرجة]]&amp;مهن[[#This Row],[المهنة]]</f>
        <v>3فنى ميكانيكى بخار</v>
      </c>
      <c r="B395" s="24">
        <v>3</v>
      </c>
      <c r="C395" s="24" t="s">
        <v>496</v>
      </c>
      <c r="D395" s="24">
        <v>62</v>
      </c>
      <c r="E395" s="34" t="s">
        <v>792</v>
      </c>
      <c r="F395" s="35" t="s">
        <v>777</v>
      </c>
    </row>
    <row r="396" spans="1:6" ht="19.5" customHeight="1" thickTop="1" thickBot="1" x14ac:dyDescent="0.25">
      <c r="A396" s="33" t="str">
        <f>مهن[[#This Row],[الدرجة]]&amp;مهن[[#This Row],[المهنة]]</f>
        <v>4فنى ميكانيكى بخار</v>
      </c>
      <c r="B396" s="24">
        <v>4</v>
      </c>
      <c r="C396" s="24" t="s">
        <v>498</v>
      </c>
      <c r="D396" s="24">
        <v>62</v>
      </c>
      <c r="E396" s="34" t="s">
        <v>792</v>
      </c>
      <c r="F396" s="35" t="s">
        <v>793</v>
      </c>
    </row>
    <row r="397" spans="1:6" ht="19.5" customHeight="1" thickTop="1" thickBot="1" x14ac:dyDescent="0.25">
      <c r="A397" s="33" t="str">
        <f>مهن[[#This Row],[الدرجة]]&amp;مهن[[#This Row],[المهنة]]</f>
        <v>5فنى ميكانيكى بخار</v>
      </c>
      <c r="B397" s="24">
        <v>5</v>
      </c>
      <c r="C397" s="24" t="s">
        <v>500</v>
      </c>
      <c r="D397" s="24">
        <v>62</v>
      </c>
      <c r="E397" s="34" t="s">
        <v>792</v>
      </c>
      <c r="F397" s="35" t="s">
        <v>794</v>
      </c>
    </row>
    <row r="398" spans="1:6" ht="19.5" customHeight="1" thickTop="1" thickBot="1" x14ac:dyDescent="0.25">
      <c r="A398" s="33" t="str">
        <f>مهن[[#This Row],[الدرجة]]&amp;مهن[[#This Row],[المهنة]]</f>
        <v>6فنى ميكانيكى بخار</v>
      </c>
      <c r="B398" s="24">
        <v>6</v>
      </c>
      <c r="C398" s="24" t="s">
        <v>502</v>
      </c>
      <c r="D398" s="24">
        <v>62</v>
      </c>
      <c r="E398" s="34" t="s">
        <v>792</v>
      </c>
      <c r="F398" s="35" t="s">
        <v>795</v>
      </c>
    </row>
    <row r="399" spans="1:6" ht="19.5" customHeight="1" thickTop="1" thickBot="1" x14ac:dyDescent="0.25">
      <c r="A399" s="33" t="str">
        <f>مهن[[#This Row],[الدرجة]]&amp;مهن[[#This Row],[المهنة]]</f>
        <v>7فنى ميكانيكى بخار</v>
      </c>
      <c r="B399" s="24">
        <v>7</v>
      </c>
      <c r="C399" s="24" t="s">
        <v>504</v>
      </c>
      <c r="D399" s="24">
        <v>62</v>
      </c>
      <c r="E399" s="34" t="s">
        <v>792</v>
      </c>
      <c r="F399" s="35" t="s">
        <v>796</v>
      </c>
    </row>
    <row r="400" spans="1:6" ht="19.5" customHeight="1" thickTop="1" thickBot="1" x14ac:dyDescent="0.25">
      <c r="A400" s="33" t="str">
        <f>مهن[[#This Row],[الدرجة]]&amp;مهن[[#This Row],[المهنة]]</f>
        <v>8فنى ميكانيكى بخار</v>
      </c>
      <c r="B400" s="24">
        <v>8</v>
      </c>
      <c r="C400" s="24" t="s">
        <v>506</v>
      </c>
      <c r="D400" s="24">
        <v>62</v>
      </c>
      <c r="E400" s="34" t="s">
        <v>792</v>
      </c>
      <c r="F400" s="35" t="s">
        <v>792</v>
      </c>
    </row>
    <row r="401" spans="1:6" ht="19.5" customHeight="1" thickTop="1" thickBot="1" x14ac:dyDescent="0.25">
      <c r="A401" s="33" t="str">
        <f>مهن[[#This Row],[الدرجة]]&amp;مهن[[#This Row],[المهنة]]</f>
        <v>2فنى ميكانيكى سيارات</v>
      </c>
      <c r="B401" s="24">
        <v>2</v>
      </c>
      <c r="C401" s="24" t="s">
        <v>493</v>
      </c>
      <c r="D401" s="24">
        <v>63</v>
      </c>
      <c r="E401" s="34" t="s">
        <v>797</v>
      </c>
      <c r="F401" s="35" t="s">
        <v>776</v>
      </c>
    </row>
    <row r="402" spans="1:6" ht="19.5" customHeight="1" thickTop="1" thickBot="1" x14ac:dyDescent="0.25">
      <c r="A402" s="33" t="str">
        <f>مهن[[#This Row],[الدرجة]]&amp;مهن[[#This Row],[المهنة]]</f>
        <v>3فنى ميكانيكى سيارات</v>
      </c>
      <c r="B402" s="24">
        <v>3</v>
      </c>
      <c r="C402" s="24" t="s">
        <v>496</v>
      </c>
      <c r="D402" s="24">
        <v>63</v>
      </c>
      <c r="E402" s="34" t="s">
        <v>797</v>
      </c>
      <c r="F402" s="35" t="s">
        <v>777</v>
      </c>
    </row>
    <row r="403" spans="1:6" ht="19.5" customHeight="1" thickTop="1" thickBot="1" x14ac:dyDescent="0.25">
      <c r="A403" s="33" t="str">
        <f>مهن[[#This Row],[الدرجة]]&amp;مهن[[#This Row],[المهنة]]</f>
        <v>4فنى ميكانيكى سيارات</v>
      </c>
      <c r="B403" s="24">
        <v>4</v>
      </c>
      <c r="C403" s="24" t="s">
        <v>498</v>
      </c>
      <c r="D403" s="24">
        <v>63</v>
      </c>
      <c r="E403" s="34" t="s">
        <v>797</v>
      </c>
      <c r="F403" s="35" t="s">
        <v>798</v>
      </c>
    </row>
    <row r="404" spans="1:6" ht="19.5" customHeight="1" thickTop="1" thickBot="1" x14ac:dyDescent="0.25">
      <c r="A404" s="33" t="str">
        <f>مهن[[#This Row],[الدرجة]]&amp;مهن[[#This Row],[المهنة]]</f>
        <v>5فنى ميكانيكى سيارات</v>
      </c>
      <c r="B404" s="24">
        <v>5</v>
      </c>
      <c r="C404" s="24" t="s">
        <v>500</v>
      </c>
      <c r="D404" s="24">
        <v>63</v>
      </c>
      <c r="E404" s="34" t="s">
        <v>797</v>
      </c>
      <c r="F404" s="35" t="s">
        <v>799</v>
      </c>
    </row>
    <row r="405" spans="1:6" ht="19.5" customHeight="1" thickTop="1" thickBot="1" x14ac:dyDescent="0.25">
      <c r="A405" s="33" t="str">
        <f>مهن[[#This Row],[الدرجة]]&amp;مهن[[#This Row],[المهنة]]</f>
        <v>6فنى ميكانيكى سيارات</v>
      </c>
      <c r="B405" s="24">
        <v>6</v>
      </c>
      <c r="C405" s="24" t="s">
        <v>502</v>
      </c>
      <c r="D405" s="24">
        <v>63</v>
      </c>
      <c r="E405" s="34" t="s">
        <v>797</v>
      </c>
      <c r="F405" s="35" t="s">
        <v>800</v>
      </c>
    </row>
    <row r="406" spans="1:6" ht="19.5" customHeight="1" thickTop="1" thickBot="1" x14ac:dyDescent="0.25">
      <c r="A406" s="33" t="str">
        <f>مهن[[#This Row],[الدرجة]]&amp;مهن[[#This Row],[المهنة]]</f>
        <v>7فنى ميكانيكى سيارات</v>
      </c>
      <c r="B406" s="24">
        <v>7</v>
      </c>
      <c r="C406" s="24" t="s">
        <v>504</v>
      </c>
      <c r="D406" s="24">
        <v>63</v>
      </c>
      <c r="E406" s="34" t="s">
        <v>797</v>
      </c>
      <c r="F406" s="35" t="s">
        <v>801</v>
      </c>
    </row>
    <row r="407" spans="1:6" ht="19.5" customHeight="1" thickTop="1" thickBot="1" x14ac:dyDescent="0.25">
      <c r="A407" s="33" t="str">
        <f>مهن[[#This Row],[الدرجة]]&amp;مهن[[#This Row],[المهنة]]</f>
        <v>8فنى ميكانيكى سيارات</v>
      </c>
      <c r="B407" s="24">
        <v>8</v>
      </c>
      <c r="C407" s="24" t="s">
        <v>506</v>
      </c>
      <c r="D407" s="24">
        <v>63</v>
      </c>
      <c r="E407" s="34" t="s">
        <v>797</v>
      </c>
      <c r="F407" s="35" t="s">
        <v>797</v>
      </c>
    </row>
    <row r="408" spans="1:6" ht="19.5" customHeight="1" thickTop="1" thickBot="1" x14ac:dyDescent="0.25">
      <c r="A408" s="33" t="str">
        <f>مهن[[#This Row],[الدرجة]]&amp;مهن[[#This Row],[المهنة]]</f>
        <v>2فنى براد مواسير</v>
      </c>
      <c r="B408" s="24">
        <v>2</v>
      </c>
      <c r="C408" s="24" t="s">
        <v>493</v>
      </c>
      <c r="D408" s="24">
        <v>64</v>
      </c>
      <c r="E408" s="34" t="s">
        <v>802</v>
      </c>
      <c r="F408" s="35" t="s">
        <v>803</v>
      </c>
    </row>
    <row r="409" spans="1:6" ht="19.5" customHeight="1" thickTop="1" thickBot="1" x14ac:dyDescent="0.25">
      <c r="A409" s="33" t="str">
        <f>مهن[[#This Row],[الدرجة]]&amp;مهن[[#This Row],[المهنة]]</f>
        <v>3فنى براد مواسير</v>
      </c>
      <c r="B409" s="24">
        <v>3</v>
      </c>
      <c r="C409" s="24" t="s">
        <v>496</v>
      </c>
      <c r="D409" s="24">
        <v>64</v>
      </c>
      <c r="E409" s="34" t="s">
        <v>802</v>
      </c>
      <c r="F409" s="35" t="s">
        <v>804</v>
      </c>
    </row>
    <row r="410" spans="1:6" ht="19.5" customHeight="1" thickTop="1" thickBot="1" x14ac:dyDescent="0.25">
      <c r="A410" s="33" t="str">
        <f>مهن[[#This Row],[الدرجة]]&amp;مهن[[#This Row],[المهنة]]</f>
        <v>4فنى براد مواسير</v>
      </c>
      <c r="B410" s="24">
        <v>4</v>
      </c>
      <c r="C410" s="24" t="s">
        <v>498</v>
      </c>
      <c r="D410" s="24">
        <v>64</v>
      </c>
      <c r="E410" s="34" t="s">
        <v>802</v>
      </c>
      <c r="F410" s="35" t="s">
        <v>805</v>
      </c>
    </row>
    <row r="411" spans="1:6" ht="19.5" customHeight="1" thickTop="1" thickBot="1" x14ac:dyDescent="0.25">
      <c r="A411" s="33" t="str">
        <f>مهن[[#This Row],[الدرجة]]&amp;مهن[[#This Row],[المهنة]]</f>
        <v>5فنى براد مواسير</v>
      </c>
      <c r="B411" s="24">
        <v>5</v>
      </c>
      <c r="C411" s="24" t="s">
        <v>500</v>
      </c>
      <c r="D411" s="24">
        <v>64</v>
      </c>
      <c r="E411" s="34" t="s">
        <v>802</v>
      </c>
      <c r="F411" s="35" t="s">
        <v>806</v>
      </c>
    </row>
    <row r="412" spans="1:6" ht="19.5" customHeight="1" thickTop="1" thickBot="1" x14ac:dyDescent="0.25">
      <c r="A412" s="33" t="str">
        <f>مهن[[#This Row],[الدرجة]]&amp;مهن[[#This Row],[المهنة]]</f>
        <v>6فنى براد مواسير</v>
      </c>
      <c r="B412" s="24">
        <v>6</v>
      </c>
      <c r="C412" s="24" t="s">
        <v>502</v>
      </c>
      <c r="D412" s="24">
        <v>64</v>
      </c>
      <c r="E412" s="34" t="s">
        <v>802</v>
      </c>
      <c r="F412" s="35" t="s">
        <v>807</v>
      </c>
    </row>
    <row r="413" spans="1:6" ht="19.5" customHeight="1" thickTop="1" thickBot="1" x14ac:dyDescent="0.25">
      <c r="A413" s="33" t="str">
        <f>مهن[[#This Row],[الدرجة]]&amp;مهن[[#This Row],[المهنة]]</f>
        <v>7فنى براد مواسير</v>
      </c>
      <c r="B413" s="24">
        <v>7</v>
      </c>
      <c r="C413" s="24" t="s">
        <v>504</v>
      </c>
      <c r="D413" s="24">
        <v>64</v>
      </c>
      <c r="E413" s="34" t="s">
        <v>802</v>
      </c>
      <c r="F413" s="35" t="s">
        <v>808</v>
      </c>
    </row>
    <row r="414" spans="1:6" ht="19.5" customHeight="1" thickTop="1" thickBot="1" x14ac:dyDescent="0.25">
      <c r="A414" s="33" t="str">
        <f>مهن[[#This Row],[الدرجة]]&amp;مهن[[#This Row],[المهنة]]</f>
        <v>8فنى براد مواسير</v>
      </c>
      <c r="B414" s="24">
        <v>8</v>
      </c>
      <c r="C414" s="24" t="s">
        <v>506</v>
      </c>
      <c r="D414" s="24">
        <v>64</v>
      </c>
      <c r="E414" s="34" t="s">
        <v>802</v>
      </c>
      <c r="F414" s="35" t="s">
        <v>809</v>
      </c>
    </row>
    <row r="415" spans="1:6" ht="19.5" customHeight="1" thickTop="1" thickBot="1" x14ac:dyDescent="0.25">
      <c r="A415" s="33" t="str">
        <f>مهن[[#This Row],[الدرجة]]&amp;مهن[[#This Row],[المهنة]]</f>
        <v>2فنى براد نجار</v>
      </c>
      <c r="B415" s="24">
        <v>2</v>
      </c>
      <c r="C415" s="24" t="s">
        <v>493</v>
      </c>
      <c r="D415" s="24">
        <v>65</v>
      </c>
      <c r="E415" s="34" t="s">
        <v>810</v>
      </c>
      <c r="F415" s="35" t="s">
        <v>811</v>
      </c>
    </row>
    <row r="416" spans="1:6" ht="19.5" customHeight="1" thickTop="1" thickBot="1" x14ac:dyDescent="0.25">
      <c r="A416" s="33" t="str">
        <f>مهن[[#This Row],[الدرجة]]&amp;مهن[[#This Row],[المهنة]]</f>
        <v>3فنى براد نجار</v>
      </c>
      <c r="B416" s="24">
        <v>3</v>
      </c>
      <c r="C416" s="24" t="s">
        <v>496</v>
      </c>
      <c r="D416" s="24">
        <v>65</v>
      </c>
      <c r="E416" s="34" t="s">
        <v>810</v>
      </c>
      <c r="F416" s="35" t="s">
        <v>812</v>
      </c>
    </row>
    <row r="417" spans="1:6" ht="19.5" customHeight="1" thickTop="1" thickBot="1" x14ac:dyDescent="0.25">
      <c r="A417" s="33" t="str">
        <f>مهن[[#This Row],[الدرجة]]&amp;مهن[[#This Row],[المهنة]]</f>
        <v>4فنى براد نجار</v>
      </c>
      <c r="B417" s="24">
        <v>4</v>
      </c>
      <c r="C417" s="24" t="s">
        <v>498</v>
      </c>
      <c r="D417" s="24">
        <v>65</v>
      </c>
      <c r="E417" s="34" t="s">
        <v>810</v>
      </c>
      <c r="F417" s="35" t="s">
        <v>813</v>
      </c>
    </row>
    <row r="418" spans="1:6" ht="19.5" customHeight="1" thickTop="1" thickBot="1" x14ac:dyDescent="0.25">
      <c r="A418" s="33" t="str">
        <f>مهن[[#This Row],[الدرجة]]&amp;مهن[[#This Row],[المهنة]]</f>
        <v>5فنى براد نجار</v>
      </c>
      <c r="B418" s="24">
        <v>5</v>
      </c>
      <c r="C418" s="24" t="s">
        <v>500</v>
      </c>
      <c r="D418" s="24">
        <v>65</v>
      </c>
      <c r="E418" s="34" t="s">
        <v>810</v>
      </c>
      <c r="F418" s="35" t="s">
        <v>814</v>
      </c>
    </row>
    <row r="419" spans="1:6" ht="19.5" customHeight="1" thickTop="1" thickBot="1" x14ac:dyDescent="0.25">
      <c r="A419" s="33" t="str">
        <f>مهن[[#This Row],[الدرجة]]&amp;مهن[[#This Row],[المهنة]]</f>
        <v>6فنى براد نجار</v>
      </c>
      <c r="B419" s="24">
        <v>6</v>
      </c>
      <c r="C419" s="24" t="s">
        <v>502</v>
      </c>
      <c r="D419" s="24">
        <v>65</v>
      </c>
      <c r="E419" s="34" t="s">
        <v>810</v>
      </c>
      <c r="F419" s="35" t="s">
        <v>815</v>
      </c>
    </row>
    <row r="420" spans="1:6" ht="19.5" customHeight="1" thickTop="1" thickBot="1" x14ac:dyDescent="0.25">
      <c r="A420" s="33" t="str">
        <f>مهن[[#This Row],[الدرجة]]&amp;مهن[[#This Row],[المهنة]]</f>
        <v>7فنى براد نجار</v>
      </c>
      <c r="B420" s="24">
        <v>7</v>
      </c>
      <c r="C420" s="24" t="s">
        <v>504</v>
      </c>
      <c r="D420" s="24">
        <v>65</v>
      </c>
      <c r="E420" s="34" t="s">
        <v>810</v>
      </c>
      <c r="F420" s="35" t="s">
        <v>816</v>
      </c>
    </row>
    <row r="421" spans="1:6" ht="19.5" customHeight="1" thickTop="1" thickBot="1" x14ac:dyDescent="0.25">
      <c r="A421" s="33" t="str">
        <f>مهن[[#This Row],[الدرجة]]&amp;مهن[[#This Row],[المهنة]]</f>
        <v>8فنى براد نجار</v>
      </c>
      <c r="B421" s="24">
        <v>8</v>
      </c>
      <c r="C421" s="24" t="s">
        <v>506</v>
      </c>
      <c r="D421" s="24">
        <v>65</v>
      </c>
      <c r="E421" s="34" t="s">
        <v>810</v>
      </c>
      <c r="F421" s="35" t="s">
        <v>817</v>
      </c>
    </row>
    <row r="422" spans="1:6" ht="19.5" customHeight="1" thickTop="1" thickBot="1" x14ac:dyDescent="0.25">
      <c r="A422" s="33" t="str">
        <f>مهن[[#This Row],[الدرجة]]&amp;مهن[[#This Row],[المهنة]]</f>
        <v>2فنى براد تزجة</v>
      </c>
      <c r="B422" s="24">
        <v>2</v>
      </c>
      <c r="C422" s="24" t="s">
        <v>493</v>
      </c>
      <c r="D422" s="24">
        <v>66</v>
      </c>
      <c r="E422" s="34" t="s">
        <v>818</v>
      </c>
      <c r="F422" s="35" t="s">
        <v>811</v>
      </c>
    </row>
    <row r="423" spans="1:6" ht="19.5" customHeight="1" thickTop="1" thickBot="1" x14ac:dyDescent="0.25">
      <c r="A423" s="33" t="str">
        <f>مهن[[#This Row],[الدرجة]]&amp;مهن[[#This Row],[المهنة]]</f>
        <v>3فنى براد تزجة</v>
      </c>
      <c r="B423" s="24">
        <v>3</v>
      </c>
      <c r="C423" s="24" t="s">
        <v>496</v>
      </c>
      <c r="D423" s="24">
        <v>66</v>
      </c>
      <c r="E423" s="34" t="s">
        <v>818</v>
      </c>
      <c r="F423" s="35" t="s">
        <v>812</v>
      </c>
    </row>
    <row r="424" spans="1:6" ht="19.5" customHeight="1" thickTop="1" thickBot="1" x14ac:dyDescent="0.25">
      <c r="A424" s="33" t="str">
        <f>مهن[[#This Row],[الدرجة]]&amp;مهن[[#This Row],[المهنة]]</f>
        <v>4فنى براد تزجة</v>
      </c>
      <c r="B424" s="24">
        <v>4</v>
      </c>
      <c r="C424" s="24" t="s">
        <v>498</v>
      </c>
      <c r="D424" s="24">
        <v>66</v>
      </c>
      <c r="E424" s="34" t="s">
        <v>818</v>
      </c>
      <c r="F424" s="35" t="s">
        <v>819</v>
      </c>
    </row>
    <row r="425" spans="1:6" ht="19.5" customHeight="1" thickTop="1" thickBot="1" x14ac:dyDescent="0.25">
      <c r="A425" s="33" t="str">
        <f>مهن[[#This Row],[الدرجة]]&amp;مهن[[#This Row],[المهنة]]</f>
        <v>5فنى براد تزجة</v>
      </c>
      <c r="B425" s="24">
        <v>5</v>
      </c>
      <c r="C425" s="24" t="s">
        <v>500</v>
      </c>
      <c r="D425" s="24">
        <v>66</v>
      </c>
      <c r="E425" s="34" t="s">
        <v>818</v>
      </c>
      <c r="F425" s="35" t="s">
        <v>820</v>
      </c>
    </row>
    <row r="426" spans="1:6" ht="19.5" customHeight="1" thickTop="1" thickBot="1" x14ac:dyDescent="0.25">
      <c r="A426" s="33" t="str">
        <f>مهن[[#This Row],[الدرجة]]&amp;مهن[[#This Row],[المهنة]]</f>
        <v>6فنى براد تزجة</v>
      </c>
      <c r="B426" s="24">
        <v>6</v>
      </c>
      <c r="C426" s="24" t="s">
        <v>502</v>
      </c>
      <c r="D426" s="24">
        <v>66</v>
      </c>
      <c r="E426" s="34" t="s">
        <v>818</v>
      </c>
      <c r="F426" s="35" t="s">
        <v>821</v>
      </c>
    </row>
    <row r="427" spans="1:6" ht="19.5" customHeight="1" thickTop="1" thickBot="1" x14ac:dyDescent="0.25">
      <c r="A427" s="33" t="str">
        <f>مهن[[#This Row],[الدرجة]]&amp;مهن[[#This Row],[المهنة]]</f>
        <v>7فنى براد تزجة</v>
      </c>
      <c r="B427" s="24">
        <v>7</v>
      </c>
      <c r="C427" s="24" t="s">
        <v>504</v>
      </c>
      <c r="D427" s="24">
        <v>66</v>
      </c>
      <c r="E427" s="34" t="s">
        <v>818</v>
      </c>
      <c r="F427" s="35" t="s">
        <v>822</v>
      </c>
    </row>
    <row r="428" spans="1:6" ht="19.5" customHeight="1" thickTop="1" thickBot="1" x14ac:dyDescent="0.25">
      <c r="A428" s="33" t="str">
        <f>مهن[[#This Row],[الدرجة]]&amp;مهن[[#This Row],[المهنة]]</f>
        <v>8فنى براد تزجة</v>
      </c>
      <c r="B428" s="24">
        <v>8</v>
      </c>
      <c r="C428" s="24" t="s">
        <v>506</v>
      </c>
      <c r="D428" s="24">
        <v>66</v>
      </c>
      <c r="E428" s="34" t="s">
        <v>818</v>
      </c>
      <c r="F428" s="35" t="s">
        <v>818</v>
      </c>
    </row>
    <row r="429" spans="1:6" ht="19.5" customHeight="1" thickTop="1" thickBot="1" x14ac:dyDescent="0.25">
      <c r="A429" s="33" t="str">
        <f>مهن[[#This Row],[الدرجة]]&amp;مهن[[#This Row],[المهنة]]</f>
        <v>2فنى براد عدة</v>
      </c>
      <c r="B429" s="24">
        <v>2</v>
      </c>
      <c r="C429" s="24" t="s">
        <v>493</v>
      </c>
      <c r="D429" s="24">
        <v>67</v>
      </c>
      <c r="E429" s="34" t="s">
        <v>823</v>
      </c>
      <c r="F429" s="35" t="s">
        <v>811</v>
      </c>
    </row>
    <row r="430" spans="1:6" ht="19.5" customHeight="1" thickTop="1" thickBot="1" x14ac:dyDescent="0.25">
      <c r="A430" s="33" t="str">
        <f>مهن[[#This Row],[الدرجة]]&amp;مهن[[#This Row],[المهنة]]</f>
        <v>3فنى براد عدة</v>
      </c>
      <c r="B430" s="24">
        <v>3</v>
      </c>
      <c r="C430" s="24" t="s">
        <v>496</v>
      </c>
      <c r="D430" s="24">
        <v>67</v>
      </c>
      <c r="E430" s="34" t="s">
        <v>823</v>
      </c>
      <c r="F430" s="35" t="s">
        <v>812</v>
      </c>
    </row>
    <row r="431" spans="1:6" ht="19.5" customHeight="1" thickTop="1" thickBot="1" x14ac:dyDescent="0.25">
      <c r="A431" s="33" t="str">
        <f>مهن[[#This Row],[الدرجة]]&amp;مهن[[#This Row],[المهنة]]</f>
        <v>4فنى براد عدة</v>
      </c>
      <c r="B431" s="24">
        <v>4</v>
      </c>
      <c r="C431" s="24" t="s">
        <v>498</v>
      </c>
      <c r="D431" s="24">
        <v>67</v>
      </c>
      <c r="E431" s="34" t="s">
        <v>823</v>
      </c>
      <c r="F431" s="35" t="s">
        <v>824</v>
      </c>
    </row>
    <row r="432" spans="1:6" ht="19.5" customHeight="1" thickTop="1" thickBot="1" x14ac:dyDescent="0.25">
      <c r="A432" s="33" t="str">
        <f>مهن[[#This Row],[الدرجة]]&amp;مهن[[#This Row],[المهنة]]</f>
        <v>5فنى براد عدة</v>
      </c>
      <c r="B432" s="24">
        <v>5</v>
      </c>
      <c r="C432" s="24" t="s">
        <v>500</v>
      </c>
      <c r="D432" s="24">
        <v>67</v>
      </c>
      <c r="E432" s="34" t="s">
        <v>823</v>
      </c>
      <c r="F432" s="35" t="s">
        <v>825</v>
      </c>
    </row>
    <row r="433" spans="1:6" ht="19.5" customHeight="1" thickTop="1" thickBot="1" x14ac:dyDescent="0.25">
      <c r="A433" s="33" t="str">
        <f>مهن[[#This Row],[الدرجة]]&amp;مهن[[#This Row],[المهنة]]</f>
        <v>6فنى براد عدة</v>
      </c>
      <c r="B433" s="24">
        <v>6</v>
      </c>
      <c r="C433" s="24" t="s">
        <v>502</v>
      </c>
      <c r="D433" s="24">
        <v>67</v>
      </c>
      <c r="E433" s="34" t="s">
        <v>823</v>
      </c>
      <c r="F433" s="35" t="s">
        <v>826</v>
      </c>
    </row>
    <row r="434" spans="1:6" ht="19.5" customHeight="1" thickTop="1" thickBot="1" x14ac:dyDescent="0.25">
      <c r="A434" s="33" t="str">
        <f>مهن[[#This Row],[الدرجة]]&amp;مهن[[#This Row],[المهنة]]</f>
        <v>7فنى براد عدة</v>
      </c>
      <c r="B434" s="24">
        <v>7</v>
      </c>
      <c r="C434" s="24" t="s">
        <v>504</v>
      </c>
      <c r="D434" s="24">
        <v>67</v>
      </c>
      <c r="E434" s="34" t="s">
        <v>823</v>
      </c>
      <c r="F434" s="35" t="s">
        <v>827</v>
      </c>
    </row>
    <row r="435" spans="1:6" ht="19.5" customHeight="1" thickTop="1" thickBot="1" x14ac:dyDescent="0.25">
      <c r="A435" s="33" t="str">
        <f>مهن[[#This Row],[الدرجة]]&amp;مهن[[#This Row],[المهنة]]</f>
        <v>8فنى براد عدة</v>
      </c>
      <c r="B435" s="24">
        <v>8</v>
      </c>
      <c r="C435" s="24" t="s">
        <v>506</v>
      </c>
      <c r="D435" s="24">
        <v>67</v>
      </c>
      <c r="E435" s="34" t="s">
        <v>823</v>
      </c>
      <c r="F435" s="35" t="s">
        <v>823</v>
      </c>
    </row>
    <row r="436" spans="1:6" ht="19.5" customHeight="1" thickTop="1" thickBot="1" x14ac:dyDescent="0.25">
      <c r="A436" s="33" t="str">
        <f>مهن[[#This Row],[الدرجة]]&amp;مهن[[#This Row],[المهنة]]</f>
        <v>2فنى حدادة</v>
      </c>
      <c r="B436" s="24">
        <v>2</v>
      </c>
      <c r="C436" s="24" t="s">
        <v>493</v>
      </c>
      <c r="D436" s="24">
        <v>68</v>
      </c>
      <c r="E436" s="34" t="s">
        <v>828</v>
      </c>
      <c r="F436" s="35" t="s">
        <v>829</v>
      </c>
    </row>
    <row r="437" spans="1:6" ht="19.5" customHeight="1" thickTop="1" thickBot="1" x14ac:dyDescent="0.25">
      <c r="A437" s="33" t="str">
        <f>مهن[[#This Row],[الدرجة]]&amp;مهن[[#This Row],[المهنة]]</f>
        <v>3فنى حدادة</v>
      </c>
      <c r="B437" s="24">
        <v>3</v>
      </c>
      <c r="C437" s="24" t="s">
        <v>496</v>
      </c>
      <c r="D437" s="24">
        <v>68</v>
      </c>
      <c r="E437" s="34" t="s">
        <v>828</v>
      </c>
      <c r="F437" s="35" t="s">
        <v>830</v>
      </c>
    </row>
    <row r="438" spans="1:6" ht="19.5" customHeight="1" thickTop="1" thickBot="1" x14ac:dyDescent="0.25">
      <c r="A438" s="33" t="str">
        <f>مهن[[#This Row],[الدرجة]]&amp;مهن[[#This Row],[المهنة]]</f>
        <v>4فنى حدادة</v>
      </c>
      <c r="B438" s="24">
        <v>4</v>
      </c>
      <c r="C438" s="24" t="s">
        <v>498</v>
      </c>
      <c r="D438" s="24">
        <v>68</v>
      </c>
      <c r="E438" s="34" t="s">
        <v>828</v>
      </c>
      <c r="F438" s="35" t="s">
        <v>831</v>
      </c>
    </row>
    <row r="439" spans="1:6" ht="19.5" customHeight="1" thickTop="1" thickBot="1" x14ac:dyDescent="0.25">
      <c r="A439" s="33" t="str">
        <f>مهن[[#This Row],[الدرجة]]&amp;مهن[[#This Row],[المهنة]]</f>
        <v>5فنى حدادة</v>
      </c>
      <c r="B439" s="24">
        <v>5</v>
      </c>
      <c r="C439" s="24" t="s">
        <v>500</v>
      </c>
      <c r="D439" s="24">
        <v>68</v>
      </c>
      <c r="E439" s="34" t="s">
        <v>828</v>
      </c>
      <c r="F439" s="35" t="s">
        <v>832</v>
      </c>
    </row>
    <row r="440" spans="1:6" ht="19.5" customHeight="1" thickTop="1" thickBot="1" x14ac:dyDescent="0.25">
      <c r="A440" s="33" t="str">
        <f>مهن[[#This Row],[الدرجة]]&amp;مهن[[#This Row],[المهنة]]</f>
        <v>6فنى حدادة</v>
      </c>
      <c r="B440" s="24">
        <v>6</v>
      </c>
      <c r="C440" s="24" t="s">
        <v>502</v>
      </c>
      <c r="D440" s="24">
        <v>68</v>
      </c>
      <c r="E440" s="34" t="s">
        <v>828</v>
      </c>
      <c r="F440" s="35" t="s">
        <v>833</v>
      </c>
    </row>
    <row r="441" spans="1:6" ht="19.5" customHeight="1" thickTop="1" thickBot="1" x14ac:dyDescent="0.25">
      <c r="A441" s="33" t="str">
        <f>مهن[[#This Row],[الدرجة]]&amp;مهن[[#This Row],[المهنة]]</f>
        <v>7فنى حدادة</v>
      </c>
      <c r="B441" s="24">
        <v>7</v>
      </c>
      <c r="C441" s="24" t="s">
        <v>504</v>
      </c>
      <c r="D441" s="24">
        <v>68</v>
      </c>
      <c r="E441" s="34" t="s">
        <v>828</v>
      </c>
      <c r="F441" s="35" t="s">
        <v>834</v>
      </c>
    </row>
    <row r="442" spans="1:6" ht="19.5" customHeight="1" thickTop="1" thickBot="1" x14ac:dyDescent="0.25">
      <c r="A442" s="33" t="str">
        <f>مهن[[#This Row],[الدرجة]]&amp;مهن[[#This Row],[المهنة]]</f>
        <v>8فنى حدادة</v>
      </c>
      <c r="B442" s="24">
        <v>8</v>
      </c>
      <c r="C442" s="24" t="s">
        <v>506</v>
      </c>
      <c r="D442" s="24">
        <v>68</v>
      </c>
      <c r="E442" s="34" t="s">
        <v>828</v>
      </c>
      <c r="F442" s="35" t="s">
        <v>828</v>
      </c>
    </row>
    <row r="443" spans="1:6" ht="19.5" customHeight="1" thickTop="1" thickBot="1" x14ac:dyDescent="0.25">
      <c r="A443" s="33" t="str">
        <f>مهن[[#This Row],[الدرجة]]&amp;مهن[[#This Row],[المهنة]]</f>
        <v>2فنى سباكة معادن</v>
      </c>
      <c r="B443" s="24">
        <v>2</v>
      </c>
      <c r="C443" s="24" t="s">
        <v>493</v>
      </c>
      <c r="D443" s="24">
        <v>69</v>
      </c>
      <c r="E443" s="34" t="s">
        <v>835</v>
      </c>
      <c r="F443" s="35" t="s">
        <v>836</v>
      </c>
    </row>
    <row r="444" spans="1:6" ht="19.5" customHeight="1" thickTop="1" thickBot="1" x14ac:dyDescent="0.25">
      <c r="A444" s="33" t="str">
        <f>مهن[[#This Row],[الدرجة]]&amp;مهن[[#This Row],[المهنة]]</f>
        <v>3فنى سباكة معادن</v>
      </c>
      <c r="B444" s="24">
        <v>3</v>
      </c>
      <c r="C444" s="24" t="s">
        <v>496</v>
      </c>
      <c r="D444" s="24">
        <v>69</v>
      </c>
      <c r="E444" s="34" t="s">
        <v>835</v>
      </c>
      <c r="F444" s="35" t="s">
        <v>837</v>
      </c>
    </row>
    <row r="445" spans="1:6" ht="19.5" customHeight="1" thickTop="1" thickBot="1" x14ac:dyDescent="0.25">
      <c r="A445" s="33" t="str">
        <f>مهن[[#This Row],[الدرجة]]&amp;مهن[[#This Row],[المهنة]]</f>
        <v>4فنى سباكة معادن</v>
      </c>
      <c r="B445" s="24">
        <v>4</v>
      </c>
      <c r="C445" s="24" t="s">
        <v>498</v>
      </c>
      <c r="D445" s="24">
        <v>69</v>
      </c>
      <c r="E445" s="34" t="s">
        <v>835</v>
      </c>
      <c r="F445" s="35" t="s">
        <v>838</v>
      </c>
    </row>
    <row r="446" spans="1:6" ht="19.5" customHeight="1" thickTop="1" thickBot="1" x14ac:dyDescent="0.25">
      <c r="A446" s="33" t="str">
        <f>مهن[[#This Row],[الدرجة]]&amp;مهن[[#This Row],[المهنة]]</f>
        <v>5فنى سباكة معادن</v>
      </c>
      <c r="B446" s="24">
        <v>5</v>
      </c>
      <c r="C446" s="24" t="s">
        <v>500</v>
      </c>
      <c r="D446" s="24">
        <v>69</v>
      </c>
      <c r="E446" s="34" t="s">
        <v>835</v>
      </c>
      <c r="F446" s="35" t="s">
        <v>839</v>
      </c>
    </row>
    <row r="447" spans="1:6" ht="19.5" customHeight="1" thickTop="1" thickBot="1" x14ac:dyDescent="0.25">
      <c r="A447" s="33" t="str">
        <f>مهن[[#This Row],[الدرجة]]&amp;مهن[[#This Row],[المهنة]]</f>
        <v>6فنى سباكة معادن</v>
      </c>
      <c r="B447" s="24">
        <v>6</v>
      </c>
      <c r="C447" s="24" t="s">
        <v>502</v>
      </c>
      <c r="D447" s="24">
        <v>69</v>
      </c>
      <c r="E447" s="34" t="s">
        <v>835</v>
      </c>
      <c r="F447" s="35" t="s">
        <v>840</v>
      </c>
    </row>
    <row r="448" spans="1:6" ht="19.5" customHeight="1" thickTop="1" thickBot="1" x14ac:dyDescent="0.25">
      <c r="A448" s="33" t="str">
        <f>مهن[[#This Row],[الدرجة]]&amp;مهن[[#This Row],[المهنة]]</f>
        <v>7فنى سباكة معادن</v>
      </c>
      <c r="B448" s="24">
        <v>7</v>
      </c>
      <c r="C448" s="24" t="s">
        <v>504</v>
      </c>
      <c r="D448" s="24">
        <v>69</v>
      </c>
      <c r="E448" s="34" t="s">
        <v>835</v>
      </c>
      <c r="F448" s="35" t="s">
        <v>841</v>
      </c>
    </row>
    <row r="449" spans="1:6" ht="19.5" customHeight="1" thickTop="1" thickBot="1" x14ac:dyDescent="0.25">
      <c r="A449" s="33" t="str">
        <f>مهن[[#This Row],[الدرجة]]&amp;مهن[[#This Row],[المهنة]]</f>
        <v>8فنى سباكة معادن</v>
      </c>
      <c r="B449" s="24">
        <v>8</v>
      </c>
      <c r="C449" s="24" t="s">
        <v>506</v>
      </c>
      <c r="D449" s="24">
        <v>69</v>
      </c>
      <c r="E449" s="34" t="s">
        <v>835</v>
      </c>
      <c r="F449" s="35" t="s">
        <v>835</v>
      </c>
    </row>
    <row r="450" spans="1:6" ht="19.5" customHeight="1" thickTop="1" thickBot="1" x14ac:dyDescent="0.25">
      <c r="A450" s="33" t="str">
        <f>مهن[[#This Row],[الدرجة]]&amp;مهن[[#This Row],[المهنة]]</f>
        <v>2فنى نجار سفن</v>
      </c>
      <c r="B450" s="24">
        <v>2</v>
      </c>
      <c r="C450" s="24" t="s">
        <v>493</v>
      </c>
      <c r="D450" s="24">
        <v>70</v>
      </c>
      <c r="E450" s="34" t="s">
        <v>842</v>
      </c>
      <c r="F450" s="35" t="s">
        <v>843</v>
      </c>
    </row>
    <row r="451" spans="1:6" ht="19.5" customHeight="1" thickTop="1" thickBot="1" x14ac:dyDescent="0.25">
      <c r="A451" s="33" t="str">
        <f>مهن[[#This Row],[الدرجة]]&amp;مهن[[#This Row],[المهنة]]</f>
        <v>3فنى نجار سفن</v>
      </c>
      <c r="B451" s="24">
        <v>3</v>
      </c>
      <c r="C451" s="24" t="s">
        <v>496</v>
      </c>
      <c r="D451" s="24">
        <v>70</v>
      </c>
      <c r="E451" s="34" t="s">
        <v>842</v>
      </c>
      <c r="F451" s="35" t="s">
        <v>844</v>
      </c>
    </row>
    <row r="452" spans="1:6" ht="19.5" customHeight="1" thickTop="1" thickBot="1" x14ac:dyDescent="0.25">
      <c r="A452" s="33" t="str">
        <f>مهن[[#This Row],[الدرجة]]&amp;مهن[[#This Row],[المهنة]]</f>
        <v>4فنى نجار سفن</v>
      </c>
      <c r="B452" s="24">
        <v>4</v>
      </c>
      <c r="C452" s="24" t="s">
        <v>498</v>
      </c>
      <c r="D452" s="24">
        <v>70</v>
      </c>
      <c r="E452" s="34" t="s">
        <v>842</v>
      </c>
      <c r="F452" s="35" t="s">
        <v>845</v>
      </c>
    </row>
    <row r="453" spans="1:6" ht="19.5" customHeight="1" thickTop="1" thickBot="1" x14ac:dyDescent="0.25">
      <c r="A453" s="33" t="str">
        <f>مهن[[#This Row],[الدرجة]]&amp;مهن[[#This Row],[المهنة]]</f>
        <v>5فنى نجار سفن</v>
      </c>
      <c r="B453" s="24">
        <v>5</v>
      </c>
      <c r="C453" s="24" t="s">
        <v>500</v>
      </c>
      <c r="D453" s="24">
        <v>70</v>
      </c>
      <c r="E453" s="34" t="s">
        <v>842</v>
      </c>
      <c r="F453" s="35" t="s">
        <v>846</v>
      </c>
    </row>
    <row r="454" spans="1:6" ht="19.5" customHeight="1" thickTop="1" thickBot="1" x14ac:dyDescent="0.25">
      <c r="A454" s="33" t="str">
        <f>مهن[[#This Row],[الدرجة]]&amp;مهن[[#This Row],[المهنة]]</f>
        <v>6فنى نجار سفن</v>
      </c>
      <c r="B454" s="24">
        <v>6</v>
      </c>
      <c r="C454" s="24" t="s">
        <v>502</v>
      </c>
      <c r="D454" s="24">
        <v>70</v>
      </c>
      <c r="E454" s="34" t="s">
        <v>842</v>
      </c>
      <c r="F454" s="35" t="s">
        <v>847</v>
      </c>
    </row>
    <row r="455" spans="1:6" ht="19.5" customHeight="1" thickTop="1" thickBot="1" x14ac:dyDescent="0.25">
      <c r="A455" s="33" t="str">
        <f>مهن[[#This Row],[الدرجة]]&amp;مهن[[#This Row],[المهنة]]</f>
        <v>7فنى نجار سفن</v>
      </c>
      <c r="B455" s="24">
        <v>7</v>
      </c>
      <c r="C455" s="24" t="s">
        <v>504</v>
      </c>
      <c r="D455" s="24">
        <v>70</v>
      </c>
      <c r="E455" s="34" t="s">
        <v>842</v>
      </c>
      <c r="F455" s="35" t="s">
        <v>848</v>
      </c>
    </row>
    <row r="456" spans="1:6" ht="19.5" customHeight="1" thickTop="1" thickBot="1" x14ac:dyDescent="0.25">
      <c r="A456" s="33" t="str">
        <f>مهن[[#This Row],[الدرجة]]&amp;مهن[[#This Row],[المهنة]]</f>
        <v>8فنى نجار سفن</v>
      </c>
      <c r="B456" s="24">
        <v>8</v>
      </c>
      <c r="C456" s="24" t="s">
        <v>506</v>
      </c>
      <c r="D456" s="24">
        <v>70</v>
      </c>
      <c r="E456" s="34" t="s">
        <v>842</v>
      </c>
      <c r="F456" s="35" t="s">
        <v>842</v>
      </c>
    </row>
    <row r="457" spans="1:6" ht="19.5" customHeight="1" thickTop="1" thickBot="1" x14ac:dyDescent="0.25">
      <c r="A457" s="33" t="str">
        <f>مهن[[#This Row],[الدرجة]]&amp;مهن[[#This Row],[المهنة]]</f>
        <v>2فنى نجار أثاث</v>
      </c>
      <c r="B457" s="24">
        <v>2</v>
      </c>
      <c r="C457" s="24" t="s">
        <v>493</v>
      </c>
      <c r="D457" s="24">
        <v>71</v>
      </c>
      <c r="E457" s="34" t="s">
        <v>849</v>
      </c>
      <c r="F457" s="35" t="s">
        <v>843</v>
      </c>
    </row>
    <row r="458" spans="1:6" ht="19.5" customHeight="1" thickTop="1" thickBot="1" x14ac:dyDescent="0.25">
      <c r="A458" s="33" t="str">
        <f>مهن[[#This Row],[الدرجة]]&amp;مهن[[#This Row],[المهنة]]</f>
        <v>3فنى نجار أثاث</v>
      </c>
      <c r="B458" s="24">
        <v>3</v>
      </c>
      <c r="C458" s="24" t="s">
        <v>496</v>
      </c>
      <c r="D458" s="24">
        <v>71</v>
      </c>
      <c r="E458" s="34" t="s">
        <v>849</v>
      </c>
      <c r="F458" s="35" t="s">
        <v>844</v>
      </c>
    </row>
    <row r="459" spans="1:6" ht="19.5" customHeight="1" thickTop="1" thickBot="1" x14ac:dyDescent="0.25">
      <c r="A459" s="33" t="str">
        <f>مهن[[#This Row],[الدرجة]]&amp;مهن[[#This Row],[المهنة]]</f>
        <v>4فنى نجار أثاث</v>
      </c>
      <c r="B459" s="24">
        <v>4</v>
      </c>
      <c r="C459" s="24" t="s">
        <v>498</v>
      </c>
      <c r="D459" s="24">
        <v>71</v>
      </c>
      <c r="E459" s="34" t="s">
        <v>849</v>
      </c>
      <c r="F459" s="35" t="s">
        <v>850</v>
      </c>
    </row>
    <row r="460" spans="1:6" ht="19.5" customHeight="1" thickTop="1" thickBot="1" x14ac:dyDescent="0.25">
      <c r="A460" s="33" t="str">
        <f>مهن[[#This Row],[الدرجة]]&amp;مهن[[#This Row],[المهنة]]</f>
        <v>5فنى نجار أثاث</v>
      </c>
      <c r="B460" s="24">
        <v>5</v>
      </c>
      <c r="C460" s="24" t="s">
        <v>500</v>
      </c>
      <c r="D460" s="24">
        <v>71</v>
      </c>
      <c r="E460" s="34" t="s">
        <v>849</v>
      </c>
      <c r="F460" s="35" t="s">
        <v>851</v>
      </c>
    </row>
    <row r="461" spans="1:6" ht="19.5" customHeight="1" thickTop="1" thickBot="1" x14ac:dyDescent="0.25">
      <c r="A461" s="33" t="str">
        <f>مهن[[#This Row],[الدرجة]]&amp;مهن[[#This Row],[المهنة]]</f>
        <v>6فنى نجار أثاث</v>
      </c>
      <c r="B461" s="24">
        <v>6</v>
      </c>
      <c r="C461" s="24" t="s">
        <v>502</v>
      </c>
      <c r="D461" s="24">
        <v>71</v>
      </c>
      <c r="E461" s="34" t="s">
        <v>849</v>
      </c>
      <c r="F461" s="35" t="s">
        <v>852</v>
      </c>
    </row>
    <row r="462" spans="1:6" ht="19.5" customHeight="1" thickTop="1" thickBot="1" x14ac:dyDescent="0.25">
      <c r="A462" s="33" t="str">
        <f>مهن[[#This Row],[الدرجة]]&amp;مهن[[#This Row],[المهنة]]</f>
        <v>7فنى نجار أثاث</v>
      </c>
      <c r="B462" s="24">
        <v>7</v>
      </c>
      <c r="C462" s="24" t="s">
        <v>504</v>
      </c>
      <c r="D462" s="24">
        <v>71</v>
      </c>
      <c r="E462" s="34" t="s">
        <v>849</v>
      </c>
      <c r="F462" s="35" t="s">
        <v>853</v>
      </c>
    </row>
    <row r="463" spans="1:6" ht="19.5" customHeight="1" thickTop="1" thickBot="1" x14ac:dyDescent="0.25">
      <c r="A463" s="33" t="str">
        <f>مهن[[#This Row],[الدرجة]]&amp;مهن[[#This Row],[المهنة]]</f>
        <v>8فنى نجار أثاث</v>
      </c>
      <c r="B463" s="24">
        <v>8</v>
      </c>
      <c r="C463" s="24" t="s">
        <v>506</v>
      </c>
      <c r="D463" s="24">
        <v>71</v>
      </c>
      <c r="E463" s="34" t="s">
        <v>849</v>
      </c>
      <c r="F463" s="35" t="s">
        <v>849</v>
      </c>
    </row>
    <row r="464" spans="1:6" ht="19.5" customHeight="1" thickTop="1" thickBot="1" x14ac:dyDescent="0.25">
      <c r="A464" s="33" t="str">
        <f>مهن[[#This Row],[الدرجة]]&amp;مهن[[#This Row],[المهنة]]</f>
        <v>2فنى نجار نمازج</v>
      </c>
      <c r="B464" s="24">
        <v>2</v>
      </c>
      <c r="C464" s="24" t="s">
        <v>493</v>
      </c>
      <c r="D464" s="24">
        <v>72</v>
      </c>
      <c r="E464" s="34" t="s">
        <v>854</v>
      </c>
      <c r="F464" s="35" t="s">
        <v>843</v>
      </c>
    </row>
    <row r="465" spans="1:6" ht="19.5" customHeight="1" thickTop="1" thickBot="1" x14ac:dyDescent="0.25">
      <c r="A465" s="33" t="str">
        <f>مهن[[#This Row],[الدرجة]]&amp;مهن[[#This Row],[المهنة]]</f>
        <v>3فنى نجار نمازج</v>
      </c>
      <c r="B465" s="24">
        <v>3</v>
      </c>
      <c r="C465" s="24" t="s">
        <v>496</v>
      </c>
      <c r="D465" s="24">
        <v>72</v>
      </c>
      <c r="E465" s="34" t="s">
        <v>854</v>
      </c>
      <c r="F465" s="35" t="s">
        <v>844</v>
      </c>
    </row>
    <row r="466" spans="1:6" ht="19.5" customHeight="1" thickTop="1" thickBot="1" x14ac:dyDescent="0.25">
      <c r="A466" s="33" t="str">
        <f>مهن[[#This Row],[الدرجة]]&amp;مهن[[#This Row],[المهنة]]</f>
        <v>4فنى نجار نمازج</v>
      </c>
      <c r="B466" s="24">
        <v>4</v>
      </c>
      <c r="C466" s="24" t="s">
        <v>498</v>
      </c>
      <c r="D466" s="24">
        <v>72</v>
      </c>
      <c r="E466" s="34" t="s">
        <v>854</v>
      </c>
      <c r="F466" s="35" t="s">
        <v>855</v>
      </c>
    </row>
    <row r="467" spans="1:6" ht="19.5" customHeight="1" thickTop="1" thickBot="1" x14ac:dyDescent="0.25">
      <c r="A467" s="33" t="str">
        <f>مهن[[#This Row],[الدرجة]]&amp;مهن[[#This Row],[المهنة]]</f>
        <v>5فنى نجار نمازج</v>
      </c>
      <c r="B467" s="24">
        <v>5</v>
      </c>
      <c r="C467" s="24" t="s">
        <v>500</v>
      </c>
      <c r="D467" s="24">
        <v>72</v>
      </c>
      <c r="E467" s="34" t="s">
        <v>854</v>
      </c>
      <c r="F467" s="35" t="s">
        <v>856</v>
      </c>
    </row>
    <row r="468" spans="1:6" ht="19.5" customHeight="1" thickTop="1" thickBot="1" x14ac:dyDescent="0.25">
      <c r="A468" s="33" t="str">
        <f>مهن[[#This Row],[الدرجة]]&amp;مهن[[#This Row],[المهنة]]</f>
        <v>6فنى نجار نمازج</v>
      </c>
      <c r="B468" s="24">
        <v>6</v>
      </c>
      <c r="C468" s="24" t="s">
        <v>502</v>
      </c>
      <c r="D468" s="24">
        <v>72</v>
      </c>
      <c r="E468" s="34" t="s">
        <v>854</v>
      </c>
      <c r="F468" s="35" t="s">
        <v>857</v>
      </c>
    </row>
    <row r="469" spans="1:6" ht="19.5" customHeight="1" thickTop="1" thickBot="1" x14ac:dyDescent="0.25">
      <c r="A469" s="33" t="str">
        <f>مهن[[#This Row],[الدرجة]]&amp;مهن[[#This Row],[المهنة]]</f>
        <v>7فنى نجار نمازج</v>
      </c>
      <c r="B469" s="24">
        <v>7</v>
      </c>
      <c r="C469" s="24" t="s">
        <v>504</v>
      </c>
      <c r="D469" s="24">
        <v>72</v>
      </c>
      <c r="E469" s="34" t="s">
        <v>854</v>
      </c>
      <c r="F469" s="35" t="s">
        <v>858</v>
      </c>
    </row>
    <row r="470" spans="1:6" ht="19.5" customHeight="1" thickTop="1" thickBot="1" x14ac:dyDescent="0.25">
      <c r="A470" s="33" t="str">
        <f>مهن[[#This Row],[الدرجة]]&amp;مهن[[#This Row],[المهنة]]</f>
        <v>8فنى نجار نمازج</v>
      </c>
      <c r="B470" s="24">
        <v>8</v>
      </c>
      <c r="C470" s="24" t="s">
        <v>506</v>
      </c>
      <c r="D470" s="24">
        <v>72</v>
      </c>
      <c r="E470" s="34" t="s">
        <v>854</v>
      </c>
      <c r="F470" s="35" t="s">
        <v>854</v>
      </c>
    </row>
    <row r="471" spans="1:6" ht="19.5" customHeight="1" thickTop="1" thickBot="1" x14ac:dyDescent="0.25">
      <c r="A471" s="33" t="str">
        <f>مهن[[#This Row],[الدرجة]]&amp;مهن[[#This Row],[المهنة]]</f>
        <v>2فنى نجار ماكينة</v>
      </c>
      <c r="B471" s="24">
        <v>2</v>
      </c>
      <c r="C471" s="24" t="s">
        <v>493</v>
      </c>
      <c r="D471" s="24">
        <v>73</v>
      </c>
      <c r="E471" s="34" t="s">
        <v>859</v>
      </c>
      <c r="F471" s="35" t="s">
        <v>843</v>
      </c>
    </row>
    <row r="472" spans="1:6" ht="19.5" customHeight="1" thickTop="1" thickBot="1" x14ac:dyDescent="0.25">
      <c r="A472" s="33" t="str">
        <f>مهن[[#This Row],[الدرجة]]&amp;مهن[[#This Row],[المهنة]]</f>
        <v>3فنى نجار ماكينة</v>
      </c>
      <c r="B472" s="24">
        <v>3</v>
      </c>
      <c r="C472" s="24" t="s">
        <v>496</v>
      </c>
      <c r="D472" s="24">
        <v>73</v>
      </c>
      <c r="E472" s="34" t="s">
        <v>859</v>
      </c>
      <c r="F472" s="35" t="s">
        <v>844</v>
      </c>
    </row>
    <row r="473" spans="1:6" ht="19.5" customHeight="1" thickTop="1" thickBot="1" x14ac:dyDescent="0.25">
      <c r="A473" s="33" t="str">
        <f>مهن[[#This Row],[الدرجة]]&amp;مهن[[#This Row],[المهنة]]</f>
        <v>4فنى نجار ماكينة</v>
      </c>
      <c r="B473" s="24">
        <v>4</v>
      </c>
      <c r="C473" s="24" t="s">
        <v>498</v>
      </c>
      <c r="D473" s="24">
        <v>73</v>
      </c>
      <c r="E473" s="34" t="s">
        <v>859</v>
      </c>
      <c r="F473" s="35" t="s">
        <v>860</v>
      </c>
    </row>
    <row r="474" spans="1:6" ht="19.5" customHeight="1" thickTop="1" thickBot="1" x14ac:dyDescent="0.25">
      <c r="A474" s="33" t="str">
        <f>مهن[[#This Row],[الدرجة]]&amp;مهن[[#This Row],[المهنة]]</f>
        <v>5فنى نجار ماكينة</v>
      </c>
      <c r="B474" s="24">
        <v>5</v>
      </c>
      <c r="C474" s="24" t="s">
        <v>500</v>
      </c>
      <c r="D474" s="24">
        <v>73</v>
      </c>
      <c r="E474" s="34" t="s">
        <v>859</v>
      </c>
      <c r="F474" s="35" t="s">
        <v>861</v>
      </c>
    </row>
    <row r="475" spans="1:6" ht="19.5" customHeight="1" thickTop="1" thickBot="1" x14ac:dyDescent="0.25">
      <c r="A475" s="33" t="str">
        <f>مهن[[#This Row],[الدرجة]]&amp;مهن[[#This Row],[المهنة]]</f>
        <v>6فنى نجار ماكينة</v>
      </c>
      <c r="B475" s="24">
        <v>6</v>
      </c>
      <c r="C475" s="24" t="s">
        <v>502</v>
      </c>
      <c r="D475" s="24">
        <v>73</v>
      </c>
      <c r="E475" s="34" t="s">
        <v>859</v>
      </c>
      <c r="F475" s="35" t="s">
        <v>862</v>
      </c>
    </row>
    <row r="476" spans="1:6" ht="19.5" customHeight="1" thickTop="1" thickBot="1" x14ac:dyDescent="0.25">
      <c r="A476" s="33" t="str">
        <f>مهن[[#This Row],[الدرجة]]&amp;مهن[[#This Row],[المهنة]]</f>
        <v>7فنى نجار ماكينة</v>
      </c>
      <c r="B476" s="24">
        <v>7</v>
      </c>
      <c r="C476" s="24" t="s">
        <v>504</v>
      </c>
      <c r="D476" s="24">
        <v>73</v>
      </c>
      <c r="E476" s="34" t="s">
        <v>859</v>
      </c>
      <c r="F476" s="35" t="s">
        <v>863</v>
      </c>
    </row>
    <row r="477" spans="1:6" ht="19.5" customHeight="1" thickTop="1" thickBot="1" x14ac:dyDescent="0.25">
      <c r="A477" s="33" t="str">
        <f>مهن[[#This Row],[الدرجة]]&amp;مهن[[#This Row],[المهنة]]</f>
        <v>8فنى نجار ماكينة</v>
      </c>
      <c r="B477" s="24">
        <v>8</v>
      </c>
      <c r="C477" s="24" t="s">
        <v>506</v>
      </c>
      <c r="D477" s="24">
        <v>73</v>
      </c>
      <c r="E477" s="34" t="s">
        <v>859</v>
      </c>
      <c r="F477" s="35" t="s">
        <v>859</v>
      </c>
    </row>
    <row r="478" spans="1:6" ht="19.5" customHeight="1" thickTop="1" thickBot="1" x14ac:dyDescent="0.25">
      <c r="A478" s="33" t="str">
        <f>مهن[[#This Row],[الدرجة]]&amp;مهن[[#This Row],[المهنة]]</f>
        <v>2فنى قلفاط معادن</v>
      </c>
      <c r="B478" s="24">
        <v>2</v>
      </c>
      <c r="C478" s="24" t="s">
        <v>493</v>
      </c>
      <c r="D478" s="24">
        <v>74</v>
      </c>
      <c r="E478" s="34" t="s">
        <v>864</v>
      </c>
      <c r="F478" s="35" t="s">
        <v>865</v>
      </c>
    </row>
    <row r="479" spans="1:6" ht="19.5" customHeight="1" thickTop="1" thickBot="1" x14ac:dyDescent="0.25">
      <c r="A479" s="33" t="str">
        <f>مهن[[#This Row],[الدرجة]]&amp;مهن[[#This Row],[المهنة]]</f>
        <v>3فنى قلفاط معادن</v>
      </c>
      <c r="B479" s="24">
        <v>3</v>
      </c>
      <c r="C479" s="24" t="s">
        <v>496</v>
      </c>
      <c r="D479" s="24">
        <v>74</v>
      </c>
      <c r="E479" s="34" t="s">
        <v>864</v>
      </c>
      <c r="F479" s="35" t="s">
        <v>866</v>
      </c>
    </row>
    <row r="480" spans="1:6" ht="19.5" customHeight="1" thickTop="1" thickBot="1" x14ac:dyDescent="0.25">
      <c r="A480" s="33" t="str">
        <f>مهن[[#This Row],[الدرجة]]&amp;مهن[[#This Row],[المهنة]]</f>
        <v>4فنى قلفاط معادن</v>
      </c>
      <c r="B480" s="24">
        <v>4</v>
      </c>
      <c r="C480" s="24" t="s">
        <v>498</v>
      </c>
      <c r="D480" s="24">
        <v>74</v>
      </c>
      <c r="E480" s="34" t="s">
        <v>864</v>
      </c>
      <c r="F480" s="35" t="s">
        <v>867</v>
      </c>
    </row>
    <row r="481" spans="1:6" ht="19.5" customHeight="1" thickTop="1" thickBot="1" x14ac:dyDescent="0.25">
      <c r="A481" s="33" t="str">
        <f>مهن[[#This Row],[الدرجة]]&amp;مهن[[#This Row],[المهنة]]</f>
        <v>5فنى قلفاط معادن</v>
      </c>
      <c r="B481" s="24">
        <v>5</v>
      </c>
      <c r="C481" s="24" t="s">
        <v>500</v>
      </c>
      <c r="D481" s="24">
        <v>74</v>
      </c>
      <c r="E481" s="34" t="s">
        <v>864</v>
      </c>
      <c r="F481" s="35" t="s">
        <v>868</v>
      </c>
    </row>
    <row r="482" spans="1:6" ht="19.5" customHeight="1" thickTop="1" thickBot="1" x14ac:dyDescent="0.25">
      <c r="A482" s="33" t="str">
        <f>مهن[[#This Row],[الدرجة]]&amp;مهن[[#This Row],[المهنة]]</f>
        <v>6فنى قلفاط معادن</v>
      </c>
      <c r="B482" s="24">
        <v>6</v>
      </c>
      <c r="C482" s="24" t="s">
        <v>502</v>
      </c>
      <c r="D482" s="24">
        <v>74</v>
      </c>
      <c r="E482" s="34" t="s">
        <v>864</v>
      </c>
      <c r="F482" s="35" t="s">
        <v>869</v>
      </c>
    </row>
    <row r="483" spans="1:6" ht="19.5" customHeight="1" thickTop="1" thickBot="1" x14ac:dyDescent="0.25">
      <c r="A483" s="33" t="str">
        <f>مهن[[#This Row],[الدرجة]]&amp;مهن[[#This Row],[المهنة]]</f>
        <v>7فنى قلفاط معادن</v>
      </c>
      <c r="B483" s="24">
        <v>7</v>
      </c>
      <c r="C483" s="24" t="s">
        <v>504</v>
      </c>
      <c r="D483" s="24">
        <v>74</v>
      </c>
      <c r="E483" s="34" t="s">
        <v>864</v>
      </c>
      <c r="F483" s="35" t="s">
        <v>870</v>
      </c>
    </row>
    <row r="484" spans="1:6" ht="19.5" customHeight="1" thickTop="1" thickBot="1" x14ac:dyDescent="0.25">
      <c r="A484" s="33" t="str">
        <f>مهن[[#This Row],[الدرجة]]&amp;مهن[[#This Row],[المهنة]]</f>
        <v>8فنى قلفاط معادن</v>
      </c>
      <c r="B484" s="24">
        <v>8</v>
      </c>
      <c r="C484" s="24" t="s">
        <v>506</v>
      </c>
      <c r="D484" s="24">
        <v>74</v>
      </c>
      <c r="E484" s="34" t="s">
        <v>864</v>
      </c>
      <c r="F484" s="35" t="s">
        <v>871</v>
      </c>
    </row>
    <row r="485" spans="1:6" ht="19.5" customHeight="1" thickTop="1" thickBot="1" x14ac:dyDescent="0.25">
      <c r="A485" s="33" t="str">
        <f>مهن[[#This Row],[الدرجة]]&amp;مهن[[#This Row],[المهنة]]</f>
        <v>2فنى برشامجى معادن</v>
      </c>
      <c r="B485" s="24">
        <v>2</v>
      </c>
      <c r="C485" s="24" t="s">
        <v>493</v>
      </c>
      <c r="D485" s="24">
        <v>75</v>
      </c>
      <c r="E485" s="34" t="s">
        <v>872</v>
      </c>
      <c r="F485" s="35" t="s">
        <v>873</v>
      </c>
    </row>
    <row r="486" spans="1:6" ht="19.5" customHeight="1" thickTop="1" thickBot="1" x14ac:dyDescent="0.25">
      <c r="A486" s="33" t="str">
        <f>مهن[[#This Row],[الدرجة]]&amp;مهن[[#This Row],[المهنة]]</f>
        <v>3فنى برشامجى معادن</v>
      </c>
      <c r="B486" s="24">
        <v>3</v>
      </c>
      <c r="C486" s="24" t="s">
        <v>496</v>
      </c>
      <c r="D486" s="24">
        <v>75</v>
      </c>
      <c r="E486" s="34" t="s">
        <v>872</v>
      </c>
      <c r="F486" s="35" t="s">
        <v>874</v>
      </c>
    </row>
    <row r="487" spans="1:6" ht="19.5" customHeight="1" thickTop="1" thickBot="1" x14ac:dyDescent="0.25">
      <c r="A487" s="33" t="str">
        <f>مهن[[#This Row],[الدرجة]]&amp;مهن[[#This Row],[المهنة]]</f>
        <v>4فنى برشامجى معادن</v>
      </c>
      <c r="B487" s="24">
        <v>4</v>
      </c>
      <c r="C487" s="24" t="s">
        <v>498</v>
      </c>
      <c r="D487" s="24">
        <v>75</v>
      </c>
      <c r="E487" s="34" t="s">
        <v>872</v>
      </c>
      <c r="F487" s="35" t="s">
        <v>875</v>
      </c>
    </row>
    <row r="488" spans="1:6" ht="19.5" customHeight="1" thickTop="1" thickBot="1" x14ac:dyDescent="0.25">
      <c r="A488" s="33" t="str">
        <f>مهن[[#This Row],[الدرجة]]&amp;مهن[[#This Row],[المهنة]]</f>
        <v>5فنى برشامجى معادن</v>
      </c>
      <c r="B488" s="24">
        <v>5</v>
      </c>
      <c r="C488" s="24" t="s">
        <v>500</v>
      </c>
      <c r="D488" s="24">
        <v>75</v>
      </c>
      <c r="E488" s="34" t="s">
        <v>872</v>
      </c>
      <c r="F488" s="35" t="s">
        <v>876</v>
      </c>
    </row>
    <row r="489" spans="1:6" ht="19.5" customHeight="1" thickTop="1" thickBot="1" x14ac:dyDescent="0.25">
      <c r="A489" s="33" t="str">
        <f>مهن[[#This Row],[الدرجة]]&amp;مهن[[#This Row],[المهنة]]</f>
        <v>6فنى برشامجى معادن</v>
      </c>
      <c r="B489" s="24">
        <v>6</v>
      </c>
      <c r="C489" s="24" t="s">
        <v>502</v>
      </c>
      <c r="D489" s="24">
        <v>75</v>
      </c>
      <c r="E489" s="34" t="s">
        <v>872</v>
      </c>
      <c r="F489" s="35" t="s">
        <v>877</v>
      </c>
    </row>
    <row r="490" spans="1:6" ht="19.5" customHeight="1" thickTop="1" thickBot="1" x14ac:dyDescent="0.25">
      <c r="A490" s="33" t="str">
        <f>مهن[[#This Row],[الدرجة]]&amp;مهن[[#This Row],[المهنة]]</f>
        <v>7فنى برشامجى معادن</v>
      </c>
      <c r="B490" s="24">
        <v>7</v>
      </c>
      <c r="C490" s="24" t="s">
        <v>504</v>
      </c>
      <c r="D490" s="24">
        <v>75</v>
      </c>
      <c r="E490" s="34" t="s">
        <v>872</v>
      </c>
      <c r="F490" s="35" t="s">
        <v>878</v>
      </c>
    </row>
    <row r="491" spans="1:6" ht="19.5" customHeight="1" thickTop="1" thickBot="1" x14ac:dyDescent="0.25">
      <c r="A491" s="33" t="str">
        <f>مهن[[#This Row],[الدرجة]]&amp;مهن[[#This Row],[المهنة]]</f>
        <v>8فنى برشامجى معادن</v>
      </c>
      <c r="B491" s="24">
        <v>8</v>
      </c>
      <c r="C491" s="24" t="s">
        <v>506</v>
      </c>
      <c r="D491" s="24">
        <v>75</v>
      </c>
      <c r="E491" s="34" t="s">
        <v>872</v>
      </c>
      <c r="F491" s="35" t="s">
        <v>879</v>
      </c>
    </row>
    <row r="492" spans="1:6" ht="19.5" customHeight="1" thickTop="1" thickBot="1" x14ac:dyDescent="0.25">
      <c r="A492" s="33" t="str">
        <f>مهن[[#This Row],[الدرجة]]&amp;مهن[[#This Row],[المهنة]]</f>
        <v>2فنى مكابس تشكيل</v>
      </c>
      <c r="B492" s="24">
        <v>2</v>
      </c>
      <c r="C492" s="24" t="s">
        <v>493</v>
      </c>
      <c r="D492" s="24">
        <v>76</v>
      </c>
      <c r="E492" s="34" t="s">
        <v>880</v>
      </c>
      <c r="F492" s="35" t="s">
        <v>881</v>
      </c>
    </row>
    <row r="493" spans="1:6" ht="19.5" customHeight="1" thickTop="1" thickBot="1" x14ac:dyDescent="0.25">
      <c r="A493" s="33" t="str">
        <f>مهن[[#This Row],[الدرجة]]&amp;مهن[[#This Row],[المهنة]]</f>
        <v>3فنى مكابس تشكيل</v>
      </c>
      <c r="B493" s="24">
        <v>3</v>
      </c>
      <c r="C493" s="24" t="s">
        <v>496</v>
      </c>
      <c r="D493" s="24">
        <v>76</v>
      </c>
      <c r="E493" s="34" t="s">
        <v>880</v>
      </c>
      <c r="F493" s="35" t="s">
        <v>882</v>
      </c>
    </row>
    <row r="494" spans="1:6" ht="19.5" customHeight="1" thickTop="1" thickBot="1" x14ac:dyDescent="0.25">
      <c r="A494" s="33" t="str">
        <f>مهن[[#This Row],[الدرجة]]&amp;مهن[[#This Row],[المهنة]]</f>
        <v>4فنى مكابس تشكيل</v>
      </c>
      <c r="B494" s="24">
        <v>4</v>
      </c>
      <c r="C494" s="24" t="s">
        <v>498</v>
      </c>
      <c r="D494" s="24">
        <v>76</v>
      </c>
      <c r="E494" s="34" t="s">
        <v>880</v>
      </c>
      <c r="F494" s="35" t="s">
        <v>883</v>
      </c>
    </row>
    <row r="495" spans="1:6" ht="19.5" customHeight="1" thickTop="1" thickBot="1" x14ac:dyDescent="0.25">
      <c r="A495" s="33" t="str">
        <f>مهن[[#This Row],[الدرجة]]&amp;مهن[[#This Row],[المهنة]]</f>
        <v>5فنى مكابس تشكيل</v>
      </c>
      <c r="B495" s="24">
        <v>5</v>
      </c>
      <c r="C495" s="24" t="s">
        <v>500</v>
      </c>
      <c r="D495" s="24">
        <v>76</v>
      </c>
      <c r="E495" s="34" t="s">
        <v>880</v>
      </c>
      <c r="F495" s="35" t="s">
        <v>884</v>
      </c>
    </row>
    <row r="496" spans="1:6" ht="19.5" customHeight="1" thickTop="1" thickBot="1" x14ac:dyDescent="0.25">
      <c r="A496" s="33" t="str">
        <f>مهن[[#This Row],[الدرجة]]&amp;مهن[[#This Row],[المهنة]]</f>
        <v>6فنى مكابس تشكيل</v>
      </c>
      <c r="B496" s="24">
        <v>6</v>
      </c>
      <c r="C496" s="24" t="s">
        <v>502</v>
      </c>
      <c r="D496" s="24">
        <v>76</v>
      </c>
      <c r="E496" s="34" t="s">
        <v>880</v>
      </c>
      <c r="F496" s="35" t="s">
        <v>885</v>
      </c>
    </row>
    <row r="497" spans="1:6" ht="19.5" customHeight="1" thickTop="1" thickBot="1" x14ac:dyDescent="0.25">
      <c r="A497" s="33" t="str">
        <f>مهن[[#This Row],[الدرجة]]&amp;مهن[[#This Row],[المهنة]]</f>
        <v>7فنى مكابس تشكيل</v>
      </c>
      <c r="B497" s="24">
        <v>7</v>
      </c>
      <c r="C497" s="24" t="s">
        <v>504</v>
      </c>
      <c r="D497" s="24">
        <v>76</v>
      </c>
      <c r="E497" s="34" t="s">
        <v>880</v>
      </c>
      <c r="F497" s="35" t="s">
        <v>886</v>
      </c>
    </row>
    <row r="498" spans="1:6" ht="19.5" customHeight="1" thickTop="1" thickBot="1" x14ac:dyDescent="0.25">
      <c r="A498" s="33" t="str">
        <f>مهن[[#This Row],[الدرجة]]&amp;مهن[[#This Row],[المهنة]]</f>
        <v>8فنى مكابس تشكيل</v>
      </c>
      <c r="B498" s="24">
        <v>8</v>
      </c>
      <c r="C498" s="24" t="s">
        <v>506</v>
      </c>
      <c r="D498" s="24">
        <v>76</v>
      </c>
      <c r="E498" s="34" t="s">
        <v>880</v>
      </c>
      <c r="F498" s="35" t="s">
        <v>887</v>
      </c>
    </row>
    <row r="499" spans="1:6" ht="19.5" customHeight="1" thickTop="1" thickBot="1" x14ac:dyDescent="0.25">
      <c r="A499" s="33" t="str">
        <f>مهن[[#This Row],[الدرجة]]&amp;مهن[[#This Row],[المهنة]]</f>
        <v>2فنى خراطة معادن</v>
      </c>
      <c r="B499" s="24">
        <v>2</v>
      </c>
      <c r="C499" s="24" t="s">
        <v>493</v>
      </c>
      <c r="D499" s="24">
        <v>77</v>
      </c>
      <c r="E499" s="34" t="s">
        <v>888</v>
      </c>
      <c r="F499" s="35" t="s">
        <v>889</v>
      </c>
    </row>
    <row r="500" spans="1:6" ht="19.5" customHeight="1" thickTop="1" thickBot="1" x14ac:dyDescent="0.25">
      <c r="A500" s="33" t="str">
        <f>مهن[[#This Row],[الدرجة]]&amp;مهن[[#This Row],[المهنة]]</f>
        <v>3فنى خراطة معادن</v>
      </c>
      <c r="B500" s="24">
        <v>3</v>
      </c>
      <c r="C500" s="24" t="s">
        <v>496</v>
      </c>
      <c r="D500" s="24">
        <v>77</v>
      </c>
      <c r="E500" s="34" t="s">
        <v>888</v>
      </c>
      <c r="F500" s="35" t="s">
        <v>890</v>
      </c>
    </row>
    <row r="501" spans="1:6" ht="19.5" customHeight="1" thickTop="1" thickBot="1" x14ac:dyDescent="0.25">
      <c r="A501" s="33" t="str">
        <f>مهن[[#This Row],[الدرجة]]&amp;مهن[[#This Row],[المهنة]]</f>
        <v>4فنى خراطة معادن</v>
      </c>
      <c r="B501" s="24">
        <v>4</v>
      </c>
      <c r="C501" s="24" t="s">
        <v>498</v>
      </c>
      <c r="D501" s="24">
        <v>77</v>
      </c>
      <c r="E501" s="34" t="s">
        <v>888</v>
      </c>
      <c r="F501" s="35" t="s">
        <v>891</v>
      </c>
    </row>
    <row r="502" spans="1:6" ht="19.5" customHeight="1" thickTop="1" thickBot="1" x14ac:dyDescent="0.25">
      <c r="A502" s="33" t="str">
        <f>مهن[[#This Row],[الدرجة]]&amp;مهن[[#This Row],[المهنة]]</f>
        <v>5فنى خراطة معادن</v>
      </c>
      <c r="B502" s="24">
        <v>5</v>
      </c>
      <c r="C502" s="24" t="s">
        <v>500</v>
      </c>
      <c r="D502" s="24">
        <v>77</v>
      </c>
      <c r="E502" s="34" t="s">
        <v>888</v>
      </c>
      <c r="F502" s="35" t="s">
        <v>892</v>
      </c>
    </row>
    <row r="503" spans="1:6" ht="19.5" customHeight="1" thickTop="1" thickBot="1" x14ac:dyDescent="0.25">
      <c r="A503" s="33" t="str">
        <f>مهن[[#This Row],[الدرجة]]&amp;مهن[[#This Row],[المهنة]]</f>
        <v>6فنى خراطة معادن</v>
      </c>
      <c r="B503" s="24">
        <v>6</v>
      </c>
      <c r="C503" s="24" t="s">
        <v>502</v>
      </c>
      <c r="D503" s="24">
        <v>77</v>
      </c>
      <c r="E503" s="34" t="s">
        <v>888</v>
      </c>
      <c r="F503" s="35" t="s">
        <v>893</v>
      </c>
    </row>
    <row r="504" spans="1:6" ht="19.5" customHeight="1" thickTop="1" thickBot="1" x14ac:dyDescent="0.25">
      <c r="A504" s="33" t="str">
        <f>مهن[[#This Row],[الدرجة]]&amp;مهن[[#This Row],[المهنة]]</f>
        <v>7فنى خراطة معادن</v>
      </c>
      <c r="B504" s="24">
        <v>7</v>
      </c>
      <c r="C504" s="24" t="s">
        <v>504</v>
      </c>
      <c r="D504" s="24">
        <v>77</v>
      </c>
      <c r="E504" s="34" t="s">
        <v>888</v>
      </c>
      <c r="F504" s="35" t="s">
        <v>894</v>
      </c>
    </row>
    <row r="505" spans="1:6" ht="19.5" customHeight="1" thickTop="1" thickBot="1" x14ac:dyDescent="0.25">
      <c r="A505" s="33" t="str">
        <f>مهن[[#This Row],[الدرجة]]&amp;مهن[[#This Row],[المهنة]]</f>
        <v>8فنى خراطة معادن</v>
      </c>
      <c r="B505" s="24">
        <v>8</v>
      </c>
      <c r="C505" s="24" t="s">
        <v>506</v>
      </c>
      <c r="D505" s="24">
        <v>77</v>
      </c>
      <c r="E505" s="34" t="s">
        <v>888</v>
      </c>
      <c r="F505" s="35" t="s">
        <v>895</v>
      </c>
    </row>
    <row r="506" spans="1:6" ht="19.5" customHeight="1" thickTop="1" thickBot="1" x14ac:dyDescent="0.25">
      <c r="A506" s="33" t="str">
        <f>مهن[[#This Row],[الدرجة]]&amp;مهن[[#This Row],[المهنة]]</f>
        <v>2فنى تجليخ</v>
      </c>
      <c r="B506" s="24">
        <v>2</v>
      </c>
      <c r="C506" s="24" t="s">
        <v>493</v>
      </c>
      <c r="D506" s="24">
        <v>78</v>
      </c>
      <c r="E506" s="34" t="s">
        <v>896</v>
      </c>
      <c r="F506" s="35" t="s">
        <v>889</v>
      </c>
    </row>
    <row r="507" spans="1:6" ht="19.5" customHeight="1" thickTop="1" thickBot="1" x14ac:dyDescent="0.25">
      <c r="A507" s="33" t="str">
        <f>مهن[[#This Row],[الدرجة]]&amp;مهن[[#This Row],[المهنة]]</f>
        <v>3فنى تجليخ</v>
      </c>
      <c r="B507" s="24">
        <v>3</v>
      </c>
      <c r="C507" s="24" t="s">
        <v>496</v>
      </c>
      <c r="D507" s="24">
        <v>78</v>
      </c>
      <c r="E507" s="34" t="s">
        <v>896</v>
      </c>
      <c r="F507" s="35" t="s">
        <v>890</v>
      </c>
    </row>
    <row r="508" spans="1:6" ht="19.5" customHeight="1" thickTop="1" thickBot="1" x14ac:dyDescent="0.25">
      <c r="A508" s="33" t="str">
        <f>مهن[[#This Row],[الدرجة]]&amp;مهن[[#This Row],[المهنة]]</f>
        <v>4فنى تجليخ</v>
      </c>
      <c r="B508" s="24">
        <v>4</v>
      </c>
      <c r="C508" s="24" t="s">
        <v>498</v>
      </c>
      <c r="D508" s="24">
        <v>78</v>
      </c>
      <c r="E508" s="34" t="s">
        <v>896</v>
      </c>
      <c r="F508" s="35" t="s">
        <v>897</v>
      </c>
    </row>
    <row r="509" spans="1:6" ht="19.5" customHeight="1" thickTop="1" thickBot="1" x14ac:dyDescent="0.25">
      <c r="A509" s="33" t="str">
        <f>مهن[[#This Row],[الدرجة]]&amp;مهن[[#This Row],[المهنة]]</f>
        <v>5فنى تجليخ</v>
      </c>
      <c r="B509" s="24">
        <v>5</v>
      </c>
      <c r="C509" s="24" t="s">
        <v>500</v>
      </c>
      <c r="D509" s="24">
        <v>78</v>
      </c>
      <c r="E509" s="34" t="s">
        <v>896</v>
      </c>
      <c r="F509" s="35" t="s">
        <v>898</v>
      </c>
    </row>
    <row r="510" spans="1:6" ht="19.5" customHeight="1" thickTop="1" thickBot="1" x14ac:dyDescent="0.25">
      <c r="A510" s="33" t="str">
        <f>مهن[[#This Row],[الدرجة]]&amp;مهن[[#This Row],[المهنة]]</f>
        <v>6فنى تجليخ</v>
      </c>
      <c r="B510" s="24">
        <v>6</v>
      </c>
      <c r="C510" s="24" t="s">
        <v>502</v>
      </c>
      <c r="D510" s="24">
        <v>78</v>
      </c>
      <c r="E510" s="34" t="s">
        <v>896</v>
      </c>
      <c r="F510" s="35" t="s">
        <v>899</v>
      </c>
    </row>
    <row r="511" spans="1:6" ht="19.5" customHeight="1" thickTop="1" thickBot="1" x14ac:dyDescent="0.25">
      <c r="A511" s="33" t="str">
        <f>مهن[[#This Row],[الدرجة]]&amp;مهن[[#This Row],[المهنة]]</f>
        <v>7فنى تجليخ</v>
      </c>
      <c r="B511" s="24">
        <v>7</v>
      </c>
      <c r="C511" s="24" t="s">
        <v>504</v>
      </c>
      <c r="D511" s="24">
        <v>78</v>
      </c>
      <c r="E511" s="34" t="s">
        <v>896</v>
      </c>
      <c r="F511" s="35" t="s">
        <v>900</v>
      </c>
    </row>
    <row r="512" spans="1:6" ht="19.5" customHeight="1" thickTop="1" thickBot="1" x14ac:dyDescent="0.25">
      <c r="A512" s="33" t="str">
        <f>مهن[[#This Row],[الدرجة]]&amp;مهن[[#This Row],[المهنة]]</f>
        <v>8فنى تجليخ</v>
      </c>
      <c r="B512" s="24">
        <v>8</v>
      </c>
      <c r="C512" s="24" t="s">
        <v>506</v>
      </c>
      <c r="D512" s="24">
        <v>78</v>
      </c>
      <c r="E512" s="34" t="s">
        <v>896</v>
      </c>
      <c r="F512" s="35" t="s">
        <v>901</v>
      </c>
    </row>
    <row r="513" spans="1:6" ht="19.5" customHeight="1" thickTop="1" thickBot="1" x14ac:dyDescent="0.25">
      <c r="A513" s="33" t="str">
        <f>مهن[[#This Row],[الدرجة]]&amp;مهن[[#This Row],[المهنة]]</f>
        <v>2فنى فريزه</v>
      </c>
      <c r="B513" s="24">
        <v>2</v>
      </c>
      <c r="C513" s="24" t="s">
        <v>493</v>
      </c>
      <c r="D513" s="24">
        <v>79</v>
      </c>
      <c r="E513" s="34" t="s">
        <v>902</v>
      </c>
      <c r="F513" s="35" t="s">
        <v>903</v>
      </c>
    </row>
    <row r="514" spans="1:6" ht="19.5" customHeight="1" thickTop="1" thickBot="1" x14ac:dyDescent="0.25">
      <c r="A514" s="33" t="str">
        <f>مهن[[#This Row],[الدرجة]]&amp;مهن[[#This Row],[المهنة]]</f>
        <v>3فنى فريزه</v>
      </c>
      <c r="B514" s="24">
        <v>3</v>
      </c>
      <c r="C514" s="24" t="s">
        <v>496</v>
      </c>
      <c r="D514" s="24">
        <v>79</v>
      </c>
      <c r="E514" s="34" t="s">
        <v>902</v>
      </c>
      <c r="F514" s="35" t="s">
        <v>904</v>
      </c>
    </row>
    <row r="515" spans="1:6" ht="19.5" customHeight="1" thickTop="1" thickBot="1" x14ac:dyDescent="0.25">
      <c r="A515" s="33" t="str">
        <f>مهن[[#This Row],[الدرجة]]&amp;مهن[[#This Row],[المهنة]]</f>
        <v>4فنى فريزه</v>
      </c>
      <c r="B515" s="24">
        <v>4</v>
      </c>
      <c r="C515" s="24" t="s">
        <v>498</v>
      </c>
      <c r="D515" s="24">
        <v>79</v>
      </c>
      <c r="E515" s="34" t="s">
        <v>902</v>
      </c>
      <c r="F515" s="35" t="s">
        <v>905</v>
      </c>
    </row>
    <row r="516" spans="1:6" ht="19.5" customHeight="1" thickTop="1" thickBot="1" x14ac:dyDescent="0.25">
      <c r="A516" s="33" t="str">
        <f>مهن[[#This Row],[الدرجة]]&amp;مهن[[#This Row],[المهنة]]</f>
        <v>5فنى فريزه</v>
      </c>
      <c r="B516" s="24">
        <v>5</v>
      </c>
      <c r="C516" s="24" t="s">
        <v>500</v>
      </c>
      <c r="D516" s="24">
        <v>79</v>
      </c>
      <c r="E516" s="34" t="s">
        <v>902</v>
      </c>
      <c r="F516" s="35" t="s">
        <v>906</v>
      </c>
    </row>
    <row r="517" spans="1:6" ht="19.5" customHeight="1" thickTop="1" thickBot="1" x14ac:dyDescent="0.25">
      <c r="A517" s="33" t="str">
        <f>مهن[[#This Row],[الدرجة]]&amp;مهن[[#This Row],[المهنة]]</f>
        <v>6فنى فريزه</v>
      </c>
      <c r="B517" s="24">
        <v>6</v>
      </c>
      <c r="C517" s="24" t="s">
        <v>502</v>
      </c>
      <c r="D517" s="24">
        <v>79</v>
      </c>
      <c r="E517" s="34" t="s">
        <v>902</v>
      </c>
      <c r="F517" s="35" t="s">
        <v>907</v>
      </c>
    </row>
    <row r="518" spans="1:6" ht="19.5" customHeight="1" thickTop="1" thickBot="1" x14ac:dyDescent="0.25">
      <c r="A518" s="33" t="str">
        <f>مهن[[#This Row],[الدرجة]]&amp;مهن[[#This Row],[المهنة]]</f>
        <v>7فنى فريزه</v>
      </c>
      <c r="B518" s="24">
        <v>7</v>
      </c>
      <c r="C518" s="24" t="s">
        <v>504</v>
      </c>
      <c r="D518" s="24">
        <v>79</v>
      </c>
      <c r="E518" s="34" t="s">
        <v>902</v>
      </c>
      <c r="F518" s="35" t="s">
        <v>908</v>
      </c>
    </row>
    <row r="519" spans="1:6" ht="19.5" customHeight="1" thickTop="1" thickBot="1" x14ac:dyDescent="0.25">
      <c r="A519" s="33" t="str">
        <f>مهن[[#This Row],[الدرجة]]&amp;مهن[[#This Row],[المهنة]]</f>
        <v>8فنى فريزه</v>
      </c>
      <c r="B519" s="24">
        <v>8</v>
      </c>
      <c r="C519" s="24" t="s">
        <v>506</v>
      </c>
      <c r="D519" s="24">
        <v>79</v>
      </c>
      <c r="E519" s="34" t="s">
        <v>902</v>
      </c>
      <c r="F519" s="35" t="s">
        <v>909</v>
      </c>
    </row>
    <row r="520" spans="1:6" ht="19.5" customHeight="1" thickTop="1" thickBot="1" x14ac:dyDescent="0.25">
      <c r="A520" s="33" t="str">
        <f>مهن[[#This Row],[الدرجة]]&amp;مهن[[#This Row],[المهنة]]</f>
        <v>2فنى لحام كهرباء وقطعيه</v>
      </c>
      <c r="B520" s="24">
        <v>2</v>
      </c>
      <c r="C520" s="24" t="s">
        <v>493</v>
      </c>
      <c r="D520" s="24">
        <v>80</v>
      </c>
      <c r="E520" s="34" t="s">
        <v>910</v>
      </c>
      <c r="F520" s="35" t="s">
        <v>903</v>
      </c>
    </row>
    <row r="521" spans="1:6" ht="19.5" customHeight="1" thickTop="1" thickBot="1" x14ac:dyDescent="0.25">
      <c r="A521" s="33" t="str">
        <f>مهن[[#This Row],[الدرجة]]&amp;مهن[[#This Row],[المهنة]]</f>
        <v>3فنى لحام كهرباء وقطعيه</v>
      </c>
      <c r="B521" s="24">
        <v>3</v>
      </c>
      <c r="C521" s="24" t="s">
        <v>496</v>
      </c>
      <c r="D521" s="24">
        <v>80</v>
      </c>
      <c r="E521" s="34" t="s">
        <v>910</v>
      </c>
      <c r="F521" s="35" t="s">
        <v>904</v>
      </c>
    </row>
    <row r="522" spans="1:6" ht="19.5" customHeight="1" thickTop="1" thickBot="1" x14ac:dyDescent="0.25">
      <c r="A522" s="33" t="str">
        <f>مهن[[#This Row],[الدرجة]]&amp;مهن[[#This Row],[المهنة]]</f>
        <v>4فنى لحام كهرباء وقطعيه</v>
      </c>
      <c r="B522" s="24">
        <v>4</v>
      </c>
      <c r="C522" s="24" t="s">
        <v>498</v>
      </c>
      <c r="D522" s="24">
        <v>80</v>
      </c>
      <c r="E522" s="34" t="s">
        <v>910</v>
      </c>
      <c r="F522" s="35" t="s">
        <v>911</v>
      </c>
    </row>
    <row r="523" spans="1:6" ht="19.5" customHeight="1" thickTop="1" thickBot="1" x14ac:dyDescent="0.25">
      <c r="A523" s="33" t="str">
        <f>مهن[[#This Row],[الدرجة]]&amp;مهن[[#This Row],[المهنة]]</f>
        <v>5فنى لحام كهرباء وقطعيه</v>
      </c>
      <c r="B523" s="24">
        <v>5</v>
      </c>
      <c r="C523" s="24" t="s">
        <v>500</v>
      </c>
      <c r="D523" s="24">
        <v>80</v>
      </c>
      <c r="E523" s="34" t="s">
        <v>910</v>
      </c>
      <c r="F523" s="35" t="s">
        <v>912</v>
      </c>
    </row>
    <row r="524" spans="1:6" ht="19.5" customHeight="1" thickTop="1" thickBot="1" x14ac:dyDescent="0.25">
      <c r="A524" s="33" t="str">
        <f>مهن[[#This Row],[الدرجة]]&amp;مهن[[#This Row],[المهنة]]</f>
        <v>6فنى لحام كهرباء وقطعيه</v>
      </c>
      <c r="B524" s="24">
        <v>6</v>
      </c>
      <c r="C524" s="24" t="s">
        <v>502</v>
      </c>
      <c r="D524" s="24">
        <v>80</v>
      </c>
      <c r="E524" s="34" t="s">
        <v>910</v>
      </c>
      <c r="F524" s="35" t="s">
        <v>913</v>
      </c>
    </row>
    <row r="525" spans="1:6" ht="19.5" customHeight="1" thickTop="1" thickBot="1" x14ac:dyDescent="0.25">
      <c r="A525" s="33" t="str">
        <f>مهن[[#This Row],[الدرجة]]&amp;مهن[[#This Row],[المهنة]]</f>
        <v>7فنى لحام كهرباء وقطعيه</v>
      </c>
      <c r="B525" s="24">
        <v>7</v>
      </c>
      <c r="C525" s="24" t="s">
        <v>504</v>
      </c>
      <c r="D525" s="24">
        <v>80</v>
      </c>
      <c r="E525" s="34" t="s">
        <v>910</v>
      </c>
      <c r="F525" s="35" t="s">
        <v>914</v>
      </c>
    </row>
    <row r="526" spans="1:6" ht="19.5" customHeight="1" thickTop="1" thickBot="1" x14ac:dyDescent="0.25">
      <c r="A526" s="33" t="str">
        <f>مهن[[#This Row],[الدرجة]]&amp;مهن[[#This Row],[المهنة]]</f>
        <v>8فنى لحام كهرباء وقطعيه</v>
      </c>
      <c r="B526" s="24">
        <v>8</v>
      </c>
      <c r="C526" s="24" t="s">
        <v>506</v>
      </c>
      <c r="D526" s="24">
        <v>80</v>
      </c>
      <c r="E526" s="34" t="s">
        <v>910</v>
      </c>
      <c r="F526" s="35" t="s">
        <v>915</v>
      </c>
    </row>
    <row r="527" spans="1:6" ht="19.5" customHeight="1" thickTop="1" thickBot="1" x14ac:dyDescent="0.25">
      <c r="A527" s="33" t="str">
        <f>مهن[[#This Row],[الدرجة]]&amp;مهن[[#This Row],[المهنة]]</f>
        <v>2فنى لحام أكسجين</v>
      </c>
      <c r="B527" s="24">
        <v>2</v>
      </c>
      <c r="C527" s="24" t="s">
        <v>493</v>
      </c>
      <c r="D527" s="24">
        <v>81</v>
      </c>
      <c r="E527" s="34" t="s">
        <v>916</v>
      </c>
      <c r="F527" s="35" t="s">
        <v>903</v>
      </c>
    </row>
    <row r="528" spans="1:6" ht="19.5" customHeight="1" thickTop="1" thickBot="1" x14ac:dyDescent="0.25">
      <c r="A528" s="33" t="str">
        <f>مهن[[#This Row],[الدرجة]]&amp;مهن[[#This Row],[المهنة]]</f>
        <v>3فنى لحام أكسجين</v>
      </c>
      <c r="B528" s="24">
        <v>3</v>
      </c>
      <c r="C528" s="24" t="s">
        <v>496</v>
      </c>
      <c r="D528" s="24">
        <v>81</v>
      </c>
      <c r="E528" s="34" t="s">
        <v>916</v>
      </c>
      <c r="F528" s="35" t="s">
        <v>904</v>
      </c>
    </row>
    <row r="529" spans="1:6" ht="19.5" customHeight="1" thickTop="1" thickBot="1" x14ac:dyDescent="0.25">
      <c r="A529" s="33" t="str">
        <f>مهن[[#This Row],[الدرجة]]&amp;مهن[[#This Row],[المهنة]]</f>
        <v>4فنى لحام أكسجين</v>
      </c>
      <c r="B529" s="24">
        <v>4</v>
      </c>
      <c r="C529" s="24" t="s">
        <v>498</v>
      </c>
      <c r="D529" s="24">
        <v>81</v>
      </c>
      <c r="E529" s="34" t="s">
        <v>916</v>
      </c>
      <c r="F529" s="35" t="s">
        <v>917</v>
      </c>
    </row>
    <row r="530" spans="1:6" ht="19.5" customHeight="1" thickTop="1" thickBot="1" x14ac:dyDescent="0.25">
      <c r="A530" s="33" t="str">
        <f>مهن[[#This Row],[الدرجة]]&amp;مهن[[#This Row],[المهنة]]</f>
        <v>5فنى لحام أكسجين</v>
      </c>
      <c r="B530" s="24">
        <v>5</v>
      </c>
      <c r="C530" s="24" t="s">
        <v>500</v>
      </c>
      <c r="D530" s="24">
        <v>81</v>
      </c>
      <c r="E530" s="34" t="s">
        <v>916</v>
      </c>
      <c r="F530" s="35" t="s">
        <v>918</v>
      </c>
    </row>
    <row r="531" spans="1:6" ht="19.5" customHeight="1" thickTop="1" thickBot="1" x14ac:dyDescent="0.25">
      <c r="A531" s="33" t="str">
        <f>مهن[[#This Row],[الدرجة]]&amp;مهن[[#This Row],[المهنة]]</f>
        <v>6فنى لحام أكسجين</v>
      </c>
      <c r="B531" s="24">
        <v>6</v>
      </c>
      <c r="C531" s="24" t="s">
        <v>502</v>
      </c>
      <c r="D531" s="24">
        <v>81</v>
      </c>
      <c r="E531" s="34" t="s">
        <v>916</v>
      </c>
      <c r="F531" s="35" t="s">
        <v>919</v>
      </c>
    </row>
    <row r="532" spans="1:6" ht="19.5" customHeight="1" thickTop="1" thickBot="1" x14ac:dyDescent="0.25">
      <c r="A532" s="33" t="str">
        <f>مهن[[#This Row],[الدرجة]]&amp;مهن[[#This Row],[المهنة]]</f>
        <v>7فنى لحام أكسجين</v>
      </c>
      <c r="B532" s="24">
        <v>7</v>
      </c>
      <c r="C532" s="24" t="s">
        <v>504</v>
      </c>
      <c r="D532" s="24">
        <v>81</v>
      </c>
      <c r="E532" s="34" t="s">
        <v>916</v>
      </c>
      <c r="F532" s="35" t="s">
        <v>920</v>
      </c>
    </row>
    <row r="533" spans="1:6" ht="19.5" customHeight="1" thickTop="1" thickBot="1" x14ac:dyDescent="0.25">
      <c r="A533" s="33" t="str">
        <f>مهن[[#This Row],[الدرجة]]&amp;مهن[[#This Row],[المهنة]]</f>
        <v>8فنى لحام أكسجين</v>
      </c>
      <c r="B533" s="24">
        <v>8</v>
      </c>
      <c r="C533" s="24" t="s">
        <v>506</v>
      </c>
      <c r="D533" s="24">
        <v>81</v>
      </c>
      <c r="E533" s="34" t="s">
        <v>916</v>
      </c>
      <c r="F533" s="35" t="s">
        <v>921</v>
      </c>
    </row>
    <row r="534" spans="1:6" ht="19.5" customHeight="1" thickTop="1" thickBot="1" x14ac:dyDescent="0.25">
      <c r="A534" s="33" t="str">
        <f>مهن[[#This Row],[الدرجة]]&amp;مهن[[#This Row],[المهنة]]</f>
        <v>2فنى توضيب</v>
      </c>
      <c r="B534" s="24">
        <v>2</v>
      </c>
      <c r="C534" s="24" t="s">
        <v>493</v>
      </c>
      <c r="D534" s="24">
        <v>82</v>
      </c>
      <c r="E534" s="34" t="s">
        <v>922</v>
      </c>
      <c r="F534" s="35" t="s">
        <v>923</v>
      </c>
    </row>
    <row r="535" spans="1:6" ht="19.5" customHeight="1" thickTop="1" thickBot="1" x14ac:dyDescent="0.25">
      <c r="A535" s="33" t="str">
        <f>مهن[[#This Row],[الدرجة]]&amp;مهن[[#This Row],[المهنة]]</f>
        <v>3فنى توضيب</v>
      </c>
      <c r="B535" s="24">
        <v>3</v>
      </c>
      <c r="C535" s="24" t="s">
        <v>496</v>
      </c>
      <c r="D535" s="24">
        <v>82</v>
      </c>
      <c r="E535" s="34" t="s">
        <v>922</v>
      </c>
      <c r="F535" s="35" t="s">
        <v>924</v>
      </c>
    </row>
    <row r="536" spans="1:6" ht="19.5" customHeight="1" thickTop="1" thickBot="1" x14ac:dyDescent="0.25">
      <c r="A536" s="33" t="str">
        <f>مهن[[#This Row],[الدرجة]]&amp;مهن[[#This Row],[المهنة]]</f>
        <v>4فنى توضيب</v>
      </c>
      <c r="B536" s="24">
        <v>4</v>
      </c>
      <c r="C536" s="24" t="s">
        <v>498</v>
      </c>
      <c r="D536" s="24">
        <v>82</v>
      </c>
      <c r="E536" s="34" t="s">
        <v>922</v>
      </c>
      <c r="F536" s="35" t="s">
        <v>925</v>
      </c>
    </row>
    <row r="537" spans="1:6" ht="19.5" customHeight="1" thickTop="1" thickBot="1" x14ac:dyDescent="0.25">
      <c r="A537" s="33" t="str">
        <f>مهن[[#This Row],[الدرجة]]&amp;مهن[[#This Row],[المهنة]]</f>
        <v>5فنى توضيب</v>
      </c>
      <c r="B537" s="24">
        <v>5</v>
      </c>
      <c r="C537" s="24" t="s">
        <v>500</v>
      </c>
      <c r="D537" s="24">
        <v>82</v>
      </c>
      <c r="E537" s="34" t="s">
        <v>922</v>
      </c>
      <c r="F537" s="35" t="s">
        <v>926</v>
      </c>
    </row>
    <row r="538" spans="1:6" ht="19.5" customHeight="1" thickTop="1" thickBot="1" x14ac:dyDescent="0.25">
      <c r="A538" s="33" t="str">
        <f>مهن[[#This Row],[الدرجة]]&amp;مهن[[#This Row],[المهنة]]</f>
        <v>6فنى توضيب</v>
      </c>
      <c r="B538" s="24">
        <v>6</v>
      </c>
      <c r="C538" s="24" t="s">
        <v>502</v>
      </c>
      <c r="D538" s="24">
        <v>82</v>
      </c>
      <c r="E538" s="34" t="s">
        <v>922</v>
      </c>
      <c r="F538" s="35" t="s">
        <v>927</v>
      </c>
    </row>
    <row r="539" spans="1:6" ht="19.5" customHeight="1" thickTop="1" thickBot="1" x14ac:dyDescent="0.25">
      <c r="A539" s="33" t="str">
        <f>مهن[[#This Row],[الدرجة]]&amp;مهن[[#This Row],[المهنة]]</f>
        <v>7فنى توضيب</v>
      </c>
      <c r="B539" s="24">
        <v>7</v>
      </c>
      <c r="C539" s="24" t="s">
        <v>504</v>
      </c>
      <c r="D539" s="24">
        <v>82</v>
      </c>
      <c r="E539" s="34" t="s">
        <v>922</v>
      </c>
      <c r="F539" s="35" t="s">
        <v>928</v>
      </c>
    </row>
    <row r="540" spans="1:6" ht="19.5" customHeight="1" thickTop="1" thickBot="1" x14ac:dyDescent="0.25">
      <c r="A540" s="33" t="str">
        <f>مهن[[#This Row],[الدرجة]]&amp;مهن[[#This Row],[المهنة]]</f>
        <v>8فنى توضيب</v>
      </c>
      <c r="B540" s="24">
        <v>8</v>
      </c>
      <c r="C540" s="24" t="s">
        <v>506</v>
      </c>
      <c r="D540" s="24">
        <v>82</v>
      </c>
      <c r="E540" s="34" t="s">
        <v>922</v>
      </c>
      <c r="F540" s="35" t="s">
        <v>929</v>
      </c>
    </row>
    <row r="541" spans="1:6" ht="19.5" customHeight="1" thickTop="1" thickBot="1" x14ac:dyDescent="0.25">
      <c r="A541" s="33" t="str">
        <f>مهن[[#This Row],[الدرجة]]&amp;مهن[[#This Row],[المهنة]]</f>
        <v>2فنى تخطيط سفن</v>
      </c>
      <c r="B541" s="24">
        <v>2</v>
      </c>
      <c r="C541" s="24" t="s">
        <v>493</v>
      </c>
      <c r="D541" s="24">
        <v>83</v>
      </c>
      <c r="E541" s="34" t="s">
        <v>930</v>
      </c>
      <c r="F541" s="35" t="s">
        <v>923</v>
      </c>
    </row>
    <row r="542" spans="1:6" ht="19.5" customHeight="1" thickTop="1" thickBot="1" x14ac:dyDescent="0.25">
      <c r="A542" s="33" t="str">
        <f>مهن[[#This Row],[الدرجة]]&amp;مهن[[#This Row],[المهنة]]</f>
        <v>3فنى تخطيط سفن</v>
      </c>
      <c r="B542" s="24">
        <v>3</v>
      </c>
      <c r="C542" s="24" t="s">
        <v>496</v>
      </c>
      <c r="D542" s="24">
        <v>83</v>
      </c>
      <c r="E542" s="34" t="s">
        <v>930</v>
      </c>
      <c r="F542" s="35" t="s">
        <v>924</v>
      </c>
    </row>
    <row r="543" spans="1:6" ht="19.5" customHeight="1" thickTop="1" thickBot="1" x14ac:dyDescent="0.25">
      <c r="A543" s="33" t="str">
        <f>مهن[[#This Row],[الدرجة]]&amp;مهن[[#This Row],[المهنة]]</f>
        <v>4فنى تخطيط سفن</v>
      </c>
      <c r="B543" s="24">
        <v>4</v>
      </c>
      <c r="C543" s="24" t="s">
        <v>498</v>
      </c>
      <c r="D543" s="24">
        <v>83</v>
      </c>
      <c r="E543" s="34" t="s">
        <v>930</v>
      </c>
      <c r="F543" s="35" t="s">
        <v>931</v>
      </c>
    </row>
    <row r="544" spans="1:6" ht="19.5" customHeight="1" thickTop="1" thickBot="1" x14ac:dyDescent="0.25">
      <c r="A544" s="33" t="str">
        <f>مهن[[#This Row],[الدرجة]]&amp;مهن[[#This Row],[المهنة]]</f>
        <v>5فنى تخطيط سفن</v>
      </c>
      <c r="B544" s="24">
        <v>5</v>
      </c>
      <c r="C544" s="24" t="s">
        <v>500</v>
      </c>
      <c r="D544" s="24">
        <v>83</v>
      </c>
      <c r="E544" s="34" t="s">
        <v>930</v>
      </c>
      <c r="F544" s="35" t="s">
        <v>932</v>
      </c>
    </row>
    <row r="545" spans="1:6" ht="19.5" customHeight="1" thickTop="1" thickBot="1" x14ac:dyDescent="0.25">
      <c r="A545" s="33" t="str">
        <f>مهن[[#This Row],[الدرجة]]&amp;مهن[[#This Row],[المهنة]]</f>
        <v>6فنى تخطيط سفن</v>
      </c>
      <c r="B545" s="24">
        <v>6</v>
      </c>
      <c r="C545" s="24" t="s">
        <v>502</v>
      </c>
      <c r="D545" s="24">
        <v>83</v>
      </c>
      <c r="E545" s="34" t="s">
        <v>930</v>
      </c>
      <c r="F545" s="35" t="s">
        <v>933</v>
      </c>
    </row>
    <row r="546" spans="1:6" ht="19.5" customHeight="1" thickTop="1" thickBot="1" x14ac:dyDescent="0.25">
      <c r="A546" s="33" t="str">
        <f>مهن[[#This Row],[الدرجة]]&amp;مهن[[#This Row],[المهنة]]</f>
        <v>7فنى تخطيط سفن</v>
      </c>
      <c r="B546" s="24">
        <v>7</v>
      </c>
      <c r="C546" s="24" t="s">
        <v>504</v>
      </c>
      <c r="D546" s="24">
        <v>83</v>
      </c>
      <c r="E546" s="34" t="s">
        <v>930</v>
      </c>
      <c r="F546" s="35" t="s">
        <v>934</v>
      </c>
    </row>
    <row r="547" spans="1:6" ht="19.5" customHeight="1" thickTop="1" thickBot="1" x14ac:dyDescent="0.25">
      <c r="A547" s="33" t="str">
        <f>مهن[[#This Row],[الدرجة]]&amp;مهن[[#This Row],[المهنة]]</f>
        <v>8فنى تخطيط سفن</v>
      </c>
      <c r="B547" s="24">
        <v>8</v>
      </c>
      <c r="C547" s="24" t="s">
        <v>506</v>
      </c>
      <c r="D547" s="24">
        <v>83</v>
      </c>
      <c r="E547" s="34" t="s">
        <v>930</v>
      </c>
      <c r="F547" s="35" t="s">
        <v>935</v>
      </c>
    </row>
    <row r="548" spans="1:6" ht="19.5" customHeight="1" thickTop="1" thickBot="1" x14ac:dyDescent="0.25">
      <c r="A548" s="33" t="str">
        <f>مهن[[#This Row],[الدرجة]]&amp;مهن[[#This Row],[المهنة]]</f>
        <v>2فنى مناورة تركيبات</v>
      </c>
      <c r="B548" s="24">
        <v>2</v>
      </c>
      <c r="C548" s="24" t="s">
        <v>493</v>
      </c>
      <c r="D548" s="24">
        <v>84</v>
      </c>
      <c r="E548" s="34" t="s">
        <v>936</v>
      </c>
      <c r="F548" s="35" t="s">
        <v>937</v>
      </c>
    </row>
    <row r="549" spans="1:6" ht="19.5" customHeight="1" thickTop="1" thickBot="1" x14ac:dyDescent="0.25">
      <c r="A549" s="33" t="str">
        <f>مهن[[#This Row],[الدرجة]]&amp;مهن[[#This Row],[المهنة]]</f>
        <v>3فنى مناورة تركيبات</v>
      </c>
      <c r="B549" s="24">
        <v>3</v>
      </c>
      <c r="C549" s="24" t="s">
        <v>496</v>
      </c>
      <c r="D549" s="24">
        <v>84</v>
      </c>
      <c r="E549" s="34" t="s">
        <v>936</v>
      </c>
      <c r="F549" s="35" t="s">
        <v>938</v>
      </c>
    </row>
    <row r="550" spans="1:6" ht="19.5" customHeight="1" thickTop="1" thickBot="1" x14ac:dyDescent="0.25">
      <c r="A550" s="33" t="str">
        <f>مهن[[#This Row],[الدرجة]]&amp;مهن[[#This Row],[المهنة]]</f>
        <v>4فنى مناورة تركيبات</v>
      </c>
      <c r="B550" s="24">
        <v>4</v>
      </c>
      <c r="C550" s="24" t="s">
        <v>498</v>
      </c>
      <c r="D550" s="24">
        <v>84</v>
      </c>
      <c r="E550" s="34" t="s">
        <v>936</v>
      </c>
      <c r="F550" s="35" t="s">
        <v>939</v>
      </c>
    </row>
    <row r="551" spans="1:6" ht="19.5" customHeight="1" thickTop="1" thickBot="1" x14ac:dyDescent="0.25">
      <c r="A551" s="33" t="str">
        <f>مهن[[#This Row],[الدرجة]]&amp;مهن[[#This Row],[المهنة]]</f>
        <v>5فنى مناورة تركيبات</v>
      </c>
      <c r="B551" s="24">
        <v>5</v>
      </c>
      <c r="C551" s="24" t="s">
        <v>500</v>
      </c>
      <c r="D551" s="24">
        <v>84</v>
      </c>
      <c r="E551" s="34" t="s">
        <v>936</v>
      </c>
      <c r="F551" s="35" t="s">
        <v>940</v>
      </c>
    </row>
    <row r="552" spans="1:6" ht="19.5" customHeight="1" thickTop="1" thickBot="1" x14ac:dyDescent="0.25">
      <c r="A552" s="33" t="str">
        <f>مهن[[#This Row],[الدرجة]]&amp;مهن[[#This Row],[المهنة]]</f>
        <v>6فنى مناورة تركيبات</v>
      </c>
      <c r="B552" s="24">
        <v>6</v>
      </c>
      <c r="C552" s="24" t="s">
        <v>502</v>
      </c>
      <c r="D552" s="24">
        <v>84</v>
      </c>
      <c r="E552" s="34" t="s">
        <v>936</v>
      </c>
      <c r="F552" s="35" t="s">
        <v>941</v>
      </c>
    </row>
    <row r="553" spans="1:6" ht="19.5" customHeight="1" thickTop="1" thickBot="1" x14ac:dyDescent="0.25">
      <c r="A553" s="33" t="str">
        <f>مهن[[#This Row],[الدرجة]]&amp;مهن[[#This Row],[المهنة]]</f>
        <v>7فنى مناورة تركيبات</v>
      </c>
      <c r="B553" s="24">
        <v>7</v>
      </c>
      <c r="C553" s="24" t="s">
        <v>504</v>
      </c>
      <c r="D553" s="24">
        <v>84</v>
      </c>
      <c r="E553" s="34" t="s">
        <v>936</v>
      </c>
      <c r="F553" s="35" t="s">
        <v>942</v>
      </c>
    </row>
    <row r="554" spans="1:6" ht="19.5" customHeight="1" thickTop="1" thickBot="1" x14ac:dyDescent="0.25">
      <c r="A554" s="33" t="str">
        <f>مهن[[#This Row],[الدرجة]]&amp;مهن[[#This Row],[المهنة]]</f>
        <v>8فنى مناورة تركيبات</v>
      </c>
      <c r="B554" s="24">
        <v>8</v>
      </c>
      <c r="C554" s="24" t="s">
        <v>506</v>
      </c>
      <c r="D554" s="24">
        <v>84</v>
      </c>
      <c r="E554" s="34" t="s">
        <v>936</v>
      </c>
      <c r="F554" s="35" t="s">
        <v>943</v>
      </c>
    </row>
    <row r="555" spans="1:6" ht="19.5" customHeight="1" thickTop="1" thickBot="1" x14ac:dyDescent="0.25">
      <c r="A555" s="33" t="str">
        <f>مهن[[#This Row],[الدرجة]]&amp;مهن[[#This Row],[المهنة]]</f>
        <v>2فنى مناورة احواض وقزنات</v>
      </c>
      <c r="B555" s="24">
        <v>2</v>
      </c>
      <c r="C555" s="24" t="s">
        <v>493</v>
      </c>
      <c r="D555" s="24">
        <v>85</v>
      </c>
      <c r="E555" s="34" t="s">
        <v>944</v>
      </c>
      <c r="F555" s="35" t="s">
        <v>945</v>
      </c>
    </row>
    <row r="556" spans="1:6" ht="19.5" customHeight="1" thickTop="1" thickBot="1" x14ac:dyDescent="0.25">
      <c r="A556" s="33" t="str">
        <f>مهن[[#This Row],[الدرجة]]&amp;مهن[[#This Row],[المهنة]]</f>
        <v>3فنى مناورة احواض وقزنات</v>
      </c>
      <c r="B556" s="24">
        <v>3</v>
      </c>
      <c r="C556" s="24" t="s">
        <v>496</v>
      </c>
      <c r="D556" s="24">
        <v>85</v>
      </c>
      <c r="E556" s="34" t="s">
        <v>944</v>
      </c>
      <c r="F556" s="35" t="s">
        <v>946</v>
      </c>
    </row>
    <row r="557" spans="1:6" ht="19.5" customHeight="1" thickTop="1" thickBot="1" x14ac:dyDescent="0.25">
      <c r="A557" s="33" t="str">
        <f>مهن[[#This Row],[الدرجة]]&amp;مهن[[#This Row],[المهنة]]</f>
        <v>4فنى مناورة احواض وقزنات</v>
      </c>
      <c r="B557" s="24">
        <v>4</v>
      </c>
      <c r="C557" s="24" t="s">
        <v>498</v>
      </c>
      <c r="D557" s="24">
        <v>85</v>
      </c>
      <c r="E557" s="34" t="s">
        <v>944</v>
      </c>
      <c r="F557" s="35" t="s">
        <v>947</v>
      </c>
    </row>
    <row r="558" spans="1:6" ht="19.5" customHeight="1" thickTop="1" thickBot="1" x14ac:dyDescent="0.25">
      <c r="A558" s="33" t="str">
        <f>مهن[[#This Row],[الدرجة]]&amp;مهن[[#This Row],[المهنة]]</f>
        <v>5فنى مناورة احواض وقزنات</v>
      </c>
      <c r="B558" s="24">
        <v>5</v>
      </c>
      <c r="C558" s="24" t="s">
        <v>500</v>
      </c>
      <c r="D558" s="24">
        <v>85</v>
      </c>
      <c r="E558" s="34" t="s">
        <v>944</v>
      </c>
      <c r="F558" s="35" t="s">
        <v>948</v>
      </c>
    </row>
    <row r="559" spans="1:6" ht="19.5" customHeight="1" thickTop="1" thickBot="1" x14ac:dyDescent="0.25">
      <c r="A559" s="33" t="str">
        <f>مهن[[#This Row],[الدرجة]]&amp;مهن[[#This Row],[المهنة]]</f>
        <v>6فنى مناورة احواض وقزنات</v>
      </c>
      <c r="B559" s="24">
        <v>6</v>
      </c>
      <c r="C559" s="24" t="s">
        <v>502</v>
      </c>
      <c r="D559" s="24">
        <v>85</v>
      </c>
      <c r="E559" s="34" t="s">
        <v>944</v>
      </c>
      <c r="F559" s="35" t="s">
        <v>949</v>
      </c>
    </row>
    <row r="560" spans="1:6" ht="19.5" customHeight="1" thickTop="1" thickBot="1" x14ac:dyDescent="0.25">
      <c r="A560" s="33" t="str">
        <f>مهن[[#This Row],[الدرجة]]&amp;مهن[[#This Row],[المهنة]]</f>
        <v>7فنى مناورة احواض وقزنات</v>
      </c>
      <c r="B560" s="24">
        <v>7</v>
      </c>
      <c r="C560" s="24" t="s">
        <v>504</v>
      </c>
      <c r="D560" s="24">
        <v>85</v>
      </c>
      <c r="E560" s="34" t="s">
        <v>944</v>
      </c>
      <c r="F560" s="35" t="s">
        <v>950</v>
      </c>
    </row>
    <row r="561" spans="1:6" ht="19.5" customHeight="1" thickTop="1" thickBot="1" x14ac:dyDescent="0.25">
      <c r="A561" s="33" t="str">
        <f>مهن[[#This Row],[الدرجة]]&amp;مهن[[#This Row],[المهنة]]</f>
        <v>8فنى مناورة احواض وقزنات</v>
      </c>
      <c r="B561" s="24">
        <v>8</v>
      </c>
      <c r="C561" s="24" t="s">
        <v>506</v>
      </c>
      <c r="D561" s="24">
        <v>85</v>
      </c>
      <c r="E561" s="34" t="s">
        <v>944</v>
      </c>
      <c r="F561" s="35" t="s">
        <v>951</v>
      </c>
    </row>
    <row r="562" spans="1:6" ht="19.5" customHeight="1" thickTop="1" thickBot="1" x14ac:dyDescent="0.25">
      <c r="A562" s="33" t="str">
        <f>مهن[[#This Row],[الدرجة]]&amp;مهن[[#This Row],[المهنة]]</f>
        <v>2فنى حاسب آلى</v>
      </c>
      <c r="B562" s="24">
        <v>2</v>
      </c>
      <c r="C562" s="24" t="s">
        <v>493</v>
      </c>
      <c r="D562" s="24">
        <v>86</v>
      </c>
      <c r="E562" s="34" t="s">
        <v>952</v>
      </c>
      <c r="F562" s="35" t="s">
        <v>953</v>
      </c>
    </row>
    <row r="563" spans="1:6" ht="19.5" customHeight="1" thickTop="1" thickBot="1" x14ac:dyDescent="0.25">
      <c r="A563" s="33" t="str">
        <f>مهن[[#This Row],[الدرجة]]&amp;مهن[[#This Row],[المهنة]]</f>
        <v>3فنى حاسب آلى</v>
      </c>
      <c r="B563" s="24">
        <v>3</v>
      </c>
      <c r="C563" s="24" t="s">
        <v>496</v>
      </c>
      <c r="D563" s="24">
        <v>86</v>
      </c>
      <c r="E563" s="34" t="s">
        <v>952</v>
      </c>
      <c r="F563" s="35" t="s">
        <v>954</v>
      </c>
    </row>
    <row r="564" spans="1:6" ht="19.5" customHeight="1" thickTop="1" thickBot="1" x14ac:dyDescent="0.25">
      <c r="A564" s="33" t="str">
        <f>مهن[[#This Row],[الدرجة]]&amp;مهن[[#This Row],[المهنة]]</f>
        <v>4فنى حاسب آلى</v>
      </c>
      <c r="B564" s="24">
        <v>4</v>
      </c>
      <c r="C564" s="24" t="s">
        <v>498</v>
      </c>
      <c r="D564" s="24">
        <v>86</v>
      </c>
      <c r="E564" s="34" t="s">
        <v>952</v>
      </c>
      <c r="F564" s="35" t="s">
        <v>955</v>
      </c>
    </row>
    <row r="565" spans="1:6" ht="19.5" customHeight="1" thickTop="1" thickBot="1" x14ac:dyDescent="0.25">
      <c r="A565" s="33" t="str">
        <f>مهن[[#This Row],[الدرجة]]&amp;مهن[[#This Row],[المهنة]]</f>
        <v>5فنى حاسب آلى</v>
      </c>
      <c r="B565" s="24">
        <v>5</v>
      </c>
      <c r="C565" s="24" t="s">
        <v>500</v>
      </c>
      <c r="D565" s="24">
        <v>86</v>
      </c>
      <c r="E565" s="34" t="s">
        <v>952</v>
      </c>
      <c r="F565" s="35" t="s">
        <v>956</v>
      </c>
    </row>
    <row r="566" spans="1:6" ht="19.5" customHeight="1" thickTop="1" thickBot="1" x14ac:dyDescent="0.25">
      <c r="A566" s="33" t="str">
        <f>مهن[[#This Row],[الدرجة]]&amp;مهن[[#This Row],[المهنة]]</f>
        <v>6فنى حاسب آلى</v>
      </c>
      <c r="B566" s="24">
        <v>6</v>
      </c>
      <c r="C566" s="24" t="s">
        <v>502</v>
      </c>
      <c r="D566" s="24">
        <v>86</v>
      </c>
      <c r="E566" s="34" t="s">
        <v>952</v>
      </c>
      <c r="F566" s="35" t="s">
        <v>957</v>
      </c>
    </row>
    <row r="567" spans="1:6" ht="19.5" customHeight="1" thickTop="1" thickBot="1" x14ac:dyDescent="0.25">
      <c r="A567" s="33" t="str">
        <f>مهن[[#This Row],[الدرجة]]&amp;مهن[[#This Row],[المهنة]]</f>
        <v>7فنى حاسب آلى</v>
      </c>
      <c r="B567" s="24">
        <v>7</v>
      </c>
      <c r="C567" s="24" t="s">
        <v>504</v>
      </c>
      <c r="D567" s="24">
        <v>86</v>
      </c>
      <c r="E567" s="34" t="s">
        <v>952</v>
      </c>
      <c r="F567" s="35" t="s">
        <v>958</v>
      </c>
    </row>
    <row r="568" spans="1:6" ht="19.5" customHeight="1" thickTop="1" thickBot="1" x14ac:dyDescent="0.25">
      <c r="A568" s="33" t="str">
        <f>مهن[[#This Row],[الدرجة]]&amp;مهن[[#This Row],[المهنة]]</f>
        <v>8فنى حاسب آلى</v>
      </c>
      <c r="B568" s="24">
        <v>8</v>
      </c>
      <c r="C568" s="24" t="s">
        <v>506</v>
      </c>
      <c r="D568" s="24">
        <v>86</v>
      </c>
      <c r="E568" s="34" t="s">
        <v>952</v>
      </c>
      <c r="F568" s="35" t="s">
        <v>959</v>
      </c>
    </row>
    <row r="569" spans="1:6" ht="19.5" customHeight="1" thickTop="1" thickBot="1" x14ac:dyDescent="0.25">
      <c r="A569" s="33" t="str">
        <f>مهن[[#This Row],[الدرجة]]&amp;مهن[[#This Row],[المهنة]]</f>
        <v>2فنى تصفيف آلى</v>
      </c>
      <c r="B569" s="24">
        <v>2</v>
      </c>
      <c r="C569" s="24" t="s">
        <v>493</v>
      </c>
      <c r="D569" s="24">
        <v>87</v>
      </c>
      <c r="E569" s="34" t="s">
        <v>960</v>
      </c>
      <c r="F569" s="35" t="s">
        <v>961</v>
      </c>
    </row>
    <row r="570" spans="1:6" ht="19.5" customHeight="1" thickTop="1" thickBot="1" x14ac:dyDescent="0.25">
      <c r="A570" s="33" t="str">
        <f>مهن[[#This Row],[الدرجة]]&amp;مهن[[#This Row],[المهنة]]</f>
        <v>3فنى تصفيف آلى</v>
      </c>
      <c r="B570" s="24">
        <v>3</v>
      </c>
      <c r="C570" s="24" t="s">
        <v>496</v>
      </c>
      <c r="D570" s="24">
        <v>87</v>
      </c>
      <c r="E570" s="34" t="s">
        <v>960</v>
      </c>
      <c r="F570" s="35" t="s">
        <v>962</v>
      </c>
    </row>
    <row r="571" spans="1:6" ht="19.5" customHeight="1" thickTop="1" thickBot="1" x14ac:dyDescent="0.25">
      <c r="A571" s="33" t="str">
        <f>مهن[[#This Row],[الدرجة]]&amp;مهن[[#This Row],[المهنة]]</f>
        <v>4فنى تصفيف آلى</v>
      </c>
      <c r="B571" s="24">
        <v>4</v>
      </c>
      <c r="C571" s="24" t="s">
        <v>498</v>
      </c>
      <c r="D571" s="24">
        <v>87</v>
      </c>
      <c r="E571" s="34" t="s">
        <v>960</v>
      </c>
      <c r="F571" s="35" t="s">
        <v>963</v>
      </c>
    </row>
    <row r="572" spans="1:6" ht="19.5" customHeight="1" thickTop="1" thickBot="1" x14ac:dyDescent="0.25">
      <c r="A572" s="33" t="str">
        <f>مهن[[#This Row],[الدرجة]]&amp;مهن[[#This Row],[المهنة]]</f>
        <v>5فنى تصفيف آلى</v>
      </c>
      <c r="B572" s="24">
        <v>5</v>
      </c>
      <c r="C572" s="24" t="s">
        <v>500</v>
      </c>
      <c r="D572" s="24">
        <v>87</v>
      </c>
      <c r="E572" s="34" t="s">
        <v>960</v>
      </c>
      <c r="F572" s="35" t="s">
        <v>964</v>
      </c>
    </row>
    <row r="573" spans="1:6" ht="19.5" customHeight="1" thickTop="1" thickBot="1" x14ac:dyDescent="0.25">
      <c r="A573" s="33" t="str">
        <f>مهن[[#This Row],[الدرجة]]&amp;مهن[[#This Row],[المهنة]]</f>
        <v>6فنى تصفيف آلى</v>
      </c>
      <c r="B573" s="24">
        <v>6</v>
      </c>
      <c r="C573" s="24" t="s">
        <v>502</v>
      </c>
      <c r="D573" s="24">
        <v>87</v>
      </c>
      <c r="E573" s="34" t="s">
        <v>960</v>
      </c>
      <c r="F573" s="35" t="s">
        <v>965</v>
      </c>
    </row>
    <row r="574" spans="1:6" ht="19.5" customHeight="1" thickTop="1" thickBot="1" x14ac:dyDescent="0.25">
      <c r="A574" s="33" t="str">
        <f>مهن[[#This Row],[الدرجة]]&amp;مهن[[#This Row],[المهنة]]</f>
        <v>7فنى تصفيف آلى</v>
      </c>
      <c r="B574" s="24">
        <v>7</v>
      </c>
      <c r="C574" s="24" t="s">
        <v>504</v>
      </c>
      <c r="D574" s="24">
        <v>87</v>
      </c>
      <c r="E574" s="34" t="s">
        <v>960</v>
      </c>
      <c r="F574" s="35" t="s">
        <v>966</v>
      </c>
    </row>
    <row r="575" spans="1:6" ht="19.5" customHeight="1" thickTop="1" thickBot="1" x14ac:dyDescent="0.25">
      <c r="A575" s="33" t="str">
        <f>مهن[[#This Row],[الدرجة]]&amp;مهن[[#This Row],[المهنة]]</f>
        <v>8فنى تصفيف آلى</v>
      </c>
      <c r="B575" s="24">
        <v>8</v>
      </c>
      <c r="C575" s="24" t="s">
        <v>506</v>
      </c>
      <c r="D575" s="24">
        <v>87</v>
      </c>
      <c r="E575" s="34" t="s">
        <v>960</v>
      </c>
      <c r="F575" s="35" t="s">
        <v>967</v>
      </c>
    </row>
    <row r="576" spans="1:6" ht="19.5" customHeight="1" thickTop="1" thickBot="1" x14ac:dyDescent="0.25">
      <c r="A576" s="33" t="str">
        <f>مهن[[#This Row],[الدرجة]]&amp;مهن[[#This Row],[المهنة]]</f>
        <v>2فنى تصفيف يدوى</v>
      </c>
      <c r="B576" s="24">
        <v>2</v>
      </c>
      <c r="C576" s="24" t="s">
        <v>493</v>
      </c>
      <c r="D576" s="24">
        <v>88</v>
      </c>
      <c r="E576" s="34" t="s">
        <v>968</v>
      </c>
      <c r="F576" s="35" t="s">
        <v>969</v>
      </c>
    </row>
    <row r="577" spans="1:6" ht="19.5" customHeight="1" thickTop="1" thickBot="1" x14ac:dyDescent="0.25">
      <c r="A577" s="33" t="str">
        <f>مهن[[#This Row],[الدرجة]]&amp;مهن[[#This Row],[المهنة]]</f>
        <v>3فنى تصفيف يدوى</v>
      </c>
      <c r="B577" s="24">
        <v>3</v>
      </c>
      <c r="C577" s="24" t="s">
        <v>496</v>
      </c>
      <c r="D577" s="24">
        <v>88</v>
      </c>
      <c r="E577" s="34" t="s">
        <v>968</v>
      </c>
      <c r="F577" s="35" t="s">
        <v>962</v>
      </c>
    </row>
    <row r="578" spans="1:6" ht="19.5" customHeight="1" thickTop="1" thickBot="1" x14ac:dyDescent="0.25">
      <c r="A578" s="33" t="str">
        <f>مهن[[#This Row],[الدرجة]]&amp;مهن[[#This Row],[المهنة]]</f>
        <v>4فنى تصفيف يدوى</v>
      </c>
      <c r="B578" s="24">
        <v>4</v>
      </c>
      <c r="C578" s="24" t="s">
        <v>498</v>
      </c>
      <c r="D578" s="24">
        <v>88</v>
      </c>
      <c r="E578" s="34" t="s">
        <v>968</v>
      </c>
      <c r="F578" s="35" t="s">
        <v>970</v>
      </c>
    </row>
    <row r="579" spans="1:6" ht="19.5" customHeight="1" thickTop="1" thickBot="1" x14ac:dyDescent="0.25">
      <c r="A579" s="33" t="str">
        <f>مهن[[#This Row],[الدرجة]]&amp;مهن[[#This Row],[المهنة]]</f>
        <v>5فنى تصفيف يدوى</v>
      </c>
      <c r="B579" s="24">
        <v>5</v>
      </c>
      <c r="C579" s="24" t="s">
        <v>500</v>
      </c>
      <c r="D579" s="24">
        <v>88</v>
      </c>
      <c r="E579" s="34" t="s">
        <v>968</v>
      </c>
      <c r="F579" s="35" t="s">
        <v>971</v>
      </c>
    </row>
    <row r="580" spans="1:6" ht="19.5" customHeight="1" thickTop="1" thickBot="1" x14ac:dyDescent="0.25">
      <c r="A580" s="33" t="str">
        <f>مهن[[#This Row],[الدرجة]]&amp;مهن[[#This Row],[المهنة]]</f>
        <v>6فنى تصفيف يدوى</v>
      </c>
      <c r="B580" s="24">
        <v>6</v>
      </c>
      <c r="C580" s="24" t="s">
        <v>502</v>
      </c>
      <c r="D580" s="24">
        <v>88</v>
      </c>
      <c r="E580" s="34" t="s">
        <v>968</v>
      </c>
      <c r="F580" s="35" t="s">
        <v>972</v>
      </c>
    </row>
    <row r="581" spans="1:6" ht="19.5" customHeight="1" thickTop="1" thickBot="1" x14ac:dyDescent="0.25">
      <c r="A581" s="33" t="str">
        <f>مهن[[#This Row],[الدرجة]]&amp;مهن[[#This Row],[المهنة]]</f>
        <v>7فنى تصفيف يدوى</v>
      </c>
      <c r="B581" s="24">
        <v>7</v>
      </c>
      <c r="C581" s="24" t="s">
        <v>504</v>
      </c>
      <c r="D581" s="24">
        <v>88</v>
      </c>
      <c r="E581" s="34" t="s">
        <v>968</v>
      </c>
      <c r="F581" s="35" t="s">
        <v>973</v>
      </c>
    </row>
    <row r="582" spans="1:6" ht="19.5" customHeight="1" thickTop="1" thickBot="1" x14ac:dyDescent="0.25">
      <c r="A582" s="33" t="str">
        <f>مهن[[#This Row],[الدرجة]]&amp;مهن[[#This Row],[المهنة]]</f>
        <v>8فنى تصفيف يدوى</v>
      </c>
      <c r="B582" s="24">
        <v>8</v>
      </c>
      <c r="C582" s="24" t="s">
        <v>506</v>
      </c>
      <c r="D582" s="24">
        <v>88</v>
      </c>
      <c r="E582" s="34" t="s">
        <v>968</v>
      </c>
      <c r="F582" s="35" t="s">
        <v>974</v>
      </c>
    </row>
    <row r="583" spans="1:6" ht="19.5" customHeight="1" thickTop="1" thickBot="1" x14ac:dyDescent="0.25">
      <c r="A583" s="33" t="str">
        <f>مهن[[#This Row],[الدرجة]]&amp;مهن[[#This Row],[المهنة]]</f>
        <v>2فنى طباعة</v>
      </c>
      <c r="B583" s="24">
        <v>2</v>
      </c>
      <c r="C583" s="24" t="s">
        <v>493</v>
      </c>
      <c r="D583" s="24">
        <v>89</v>
      </c>
      <c r="E583" s="34" t="s">
        <v>975</v>
      </c>
      <c r="F583" s="35" t="s">
        <v>961</v>
      </c>
    </row>
    <row r="584" spans="1:6" ht="19.5" customHeight="1" thickTop="1" thickBot="1" x14ac:dyDescent="0.25">
      <c r="A584" s="33" t="str">
        <f>مهن[[#This Row],[الدرجة]]&amp;مهن[[#This Row],[المهنة]]</f>
        <v>3فنى طباعة</v>
      </c>
      <c r="B584" s="24">
        <v>3</v>
      </c>
      <c r="C584" s="24" t="s">
        <v>496</v>
      </c>
      <c r="D584" s="24">
        <v>89</v>
      </c>
      <c r="E584" s="34" t="s">
        <v>975</v>
      </c>
      <c r="F584" s="35" t="s">
        <v>962</v>
      </c>
    </row>
    <row r="585" spans="1:6" ht="19.5" customHeight="1" thickTop="1" thickBot="1" x14ac:dyDescent="0.25">
      <c r="A585" s="33" t="str">
        <f>مهن[[#This Row],[الدرجة]]&amp;مهن[[#This Row],[المهنة]]</f>
        <v>4فنى طباعة</v>
      </c>
      <c r="B585" s="24">
        <v>4</v>
      </c>
      <c r="C585" s="24" t="s">
        <v>498</v>
      </c>
      <c r="D585" s="24">
        <v>89</v>
      </c>
      <c r="E585" s="34" t="s">
        <v>975</v>
      </c>
      <c r="F585" s="35" t="s">
        <v>976</v>
      </c>
    </row>
    <row r="586" spans="1:6" ht="19.5" customHeight="1" thickTop="1" thickBot="1" x14ac:dyDescent="0.25">
      <c r="A586" s="33" t="str">
        <f>مهن[[#This Row],[الدرجة]]&amp;مهن[[#This Row],[المهنة]]</f>
        <v>5فنى طباعة</v>
      </c>
      <c r="B586" s="24">
        <v>5</v>
      </c>
      <c r="C586" s="24" t="s">
        <v>500</v>
      </c>
      <c r="D586" s="24">
        <v>89</v>
      </c>
      <c r="E586" s="34" t="s">
        <v>975</v>
      </c>
      <c r="F586" s="35" t="s">
        <v>977</v>
      </c>
    </row>
    <row r="587" spans="1:6" ht="19.5" customHeight="1" thickTop="1" thickBot="1" x14ac:dyDescent="0.25">
      <c r="A587" s="33" t="str">
        <f>مهن[[#This Row],[الدرجة]]&amp;مهن[[#This Row],[المهنة]]</f>
        <v>6فنى طباعة</v>
      </c>
      <c r="B587" s="24">
        <v>6</v>
      </c>
      <c r="C587" s="24" t="s">
        <v>502</v>
      </c>
      <c r="D587" s="24">
        <v>89</v>
      </c>
      <c r="E587" s="34" t="s">
        <v>975</v>
      </c>
      <c r="F587" s="35" t="s">
        <v>978</v>
      </c>
    </row>
    <row r="588" spans="1:6" ht="19.5" customHeight="1" thickTop="1" thickBot="1" x14ac:dyDescent="0.25">
      <c r="A588" s="33" t="str">
        <f>مهن[[#This Row],[الدرجة]]&amp;مهن[[#This Row],[المهنة]]</f>
        <v>7فنى طباعة</v>
      </c>
      <c r="B588" s="24">
        <v>7</v>
      </c>
      <c r="C588" s="24" t="s">
        <v>504</v>
      </c>
      <c r="D588" s="24">
        <v>89</v>
      </c>
      <c r="E588" s="34" t="s">
        <v>975</v>
      </c>
      <c r="F588" s="35" t="s">
        <v>979</v>
      </c>
    </row>
    <row r="589" spans="1:6" ht="19.5" customHeight="1" thickTop="1" thickBot="1" x14ac:dyDescent="0.25">
      <c r="A589" s="33" t="str">
        <f>مهن[[#This Row],[الدرجة]]&amp;مهن[[#This Row],[المهنة]]</f>
        <v>8فنى طباعة</v>
      </c>
      <c r="B589" s="24">
        <v>8</v>
      </c>
      <c r="C589" s="24" t="s">
        <v>506</v>
      </c>
      <c r="D589" s="24">
        <v>89</v>
      </c>
      <c r="E589" s="34" t="s">
        <v>975</v>
      </c>
      <c r="F589" s="35" t="s">
        <v>980</v>
      </c>
    </row>
    <row r="590" spans="1:6" ht="19.5" customHeight="1" thickTop="1" thickBot="1" x14ac:dyDescent="0.25">
      <c r="A590" s="33" t="str">
        <f>مهن[[#This Row],[الدرجة]]&amp;مهن[[#This Row],[المهنة]]</f>
        <v>2فنى تجليد</v>
      </c>
      <c r="B590" s="24">
        <v>2</v>
      </c>
      <c r="C590" s="24" t="s">
        <v>493</v>
      </c>
      <c r="D590" s="24">
        <v>90</v>
      </c>
      <c r="E590" s="34" t="s">
        <v>981</v>
      </c>
      <c r="F590" s="35" t="s">
        <v>961</v>
      </c>
    </row>
    <row r="591" spans="1:6" ht="19.5" customHeight="1" thickTop="1" thickBot="1" x14ac:dyDescent="0.25">
      <c r="A591" s="33" t="str">
        <f>مهن[[#This Row],[الدرجة]]&amp;مهن[[#This Row],[المهنة]]</f>
        <v>3فنى تجليد</v>
      </c>
      <c r="B591" s="24">
        <v>3</v>
      </c>
      <c r="C591" s="24" t="s">
        <v>496</v>
      </c>
      <c r="D591" s="24">
        <v>90</v>
      </c>
      <c r="E591" s="34" t="s">
        <v>981</v>
      </c>
      <c r="F591" s="35" t="s">
        <v>962</v>
      </c>
    </row>
    <row r="592" spans="1:6" ht="19.5" customHeight="1" thickTop="1" thickBot="1" x14ac:dyDescent="0.25">
      <c r="A592" s="33" t="str">
        <f>مهن[[#This Row],[الدرجة]]&amp;مهن[[#This Row],[المهنة]]</f>
        <v>4فنى تجليد</v>
      </c>
      <c r="B592" s="24">
        <v>4</v>
      </c>
      <c r="C592" s="24" t="s">
        <v>498</v>
      </c>
      <c r="D592" s="24">
        <v>90</v>
      </c>
      <c r="E592" s="34" t="s">
        <v>981</v>
      </c>
      <c r="F592" s="35" t="s">
        <v>982</v>
      </c>
    </row>
    <row r="593" spans="1:6" ht="19.5" customHeight="1" thickTop="1" thickBot="1" x14ac:dyDescent="0.25">
      <c r="A593" s="33" t="str">
        <f>مهن[[#This Row],[الدرجة]]&amp;مهن[[#This Row],[المهنة]]</f>
        <v>5فنى تجليد</v>
      </c>
      <c r="B593" s="24">
        <v>5</v>
      </c>
      <c r="C593" s="24" t="s">
        <v>500</v>
      </c>
      <c r="D593" s="24">
        <v>90</v>
      </c>
      <c r="E593" s="34" t="s">
        <v>981</v>
      </c>
      <c r="F593" s="35" t="s">
        <v>983</v>
      </c>
    </row>
    <row r="594" spans="1:6" ht="19.5" customHeight="1" thickTop="1" thickBot="1" x14ac:dyDescent="0.25">
      <c r="A594" s="33" t="str">
        <f>مهن[[#This Row],[الدرجة]]&amp;مهن[[#This Row],[المهنة]]</f>
        <v>6فنى تجليد</v>
      </c>
      <c r="B594" s="24">
        <v>6</v>
      </c>
      <c r="C594" s="24" t="s">
        <v>502</v>
      </c>
      <c r="D594" s="24">
        <v>90</v>
      </c>
      <c r="E594" s="34" t="s">
        <v>981</v>
      </c>
      <c r="F594" s="35" t="s">
        <v>984</v>
      </c>
    </row>
    <row r="595" spans="1:6" ht="19.5" customHeight="1" thickTop="1" thickBot="1" x14ac:dyDescent="0.25">
      <c r="A595" s="33" t="str">
        <f>مهن[[#This Row],[الدرجة]]&amp;مهن[[#This Row],[المهنة]]</f>
        <v>7فنى تجليد</v>
      </c>
      <c r="B595" s="24">
        <v>7</v>
      </c>
      <c r="C595" s="24" t="s">
        <v>504</v>
      </c>
      <c r="D595" s="24">
        <v>90</v>
      </c>
      <c r="E595" s="34" t="s">
        <v>981</v>
      </c>
      <c r="F595" s="35" t="s">
        <v>985</v>
      </c>
    </row>
    <row r="596" spans="1:6" ht="19.5" customHeight="1" thickTop="1" thickBot="1" x14ac:dyDescent="0.25">
      <c r="A596" s="33" t="str">
        <f>مهن[[#This Row],[الدرجة]]&amp;مهن[[#This Row],[المهنة]]</f>
        <v>8فنى تجليد</v>
      </c>
      <c r="B596" s="24">
        <v>8</v>
      </c>
      <c r="C596" s="24" t="s">
        <v>506</v>
      </c>
      <c r="D596" s="24">
        <v>90</v>
      </c>
      <c r="E596" s="34" t="s">
        <v>981</v>
      </c>
      <c r="F596" s="35" t="s">
        <v>986</v>
      </c>
    </row>
    <row r="597" spans="1:6" ht="19.5" customHeight="1" thickTop="1" thickBot="1" x14ac:dyDescent="0.25">
      <c r="A597" s="33" t="str">
        <f>مهن[[#This Row],[الدرجة]]&amp;مهن[[#This Row],[المهنة]]</f>
        <v>2فنى رسم هندسى</v>
      </c>
      <c r="B597" s="24">
        <v>2</v>
      </c>
      <c r="C597" s="24" t="s">
        <v>493</v>
      </c>
      <c r="D597" s="24">
        <v>91</v>
      </c>
      <c r="E597" s="34" t="s">
        <v>987</v>
      </c>
      <c r="F597" s="35" t="s">
        <v>988</v>
      </c>
    </row>
    <row r="598" spans="1:6" ht="19.5" customHeight="1" thickTop="1" thickBot="1" x14ac:dyDescent="0.25">
      <c r="A598" s="33" t="str">
        <f>مهن[[#This Row],[الدرجة]]&amp;مهن[[#This Row],[المهنة]]</f>
        <v>3فنى رسم هندسى</v>
      </c>
      <c r="B598" s="24">
        <v>3</v>
      </c>
      <c r="C598" s="24" t="s">
        <v>496</v>
      </c>
      <c r="D598" s="24">
        <v>91</v>
      </c>
      <c r="E598" s="34" t="s">
        <v>987</v>
      </c>
      <c r="F598" s="35" t="s">
        <v>989</v>
      </c>
    </row>
    <row r="599" spans="1:6" ht="19.5" customHeight="1" thickTop="1" thickBot="1" x14ac:dyDescent="0.25">
      <c r="A599" s="33" t="str">
        <f>مهن[[#This Row],[الدرجة]]&amp;مهن[[#This Row],[المهنة]]</f>
        <v>4فنى رسم هندسى</v>
      </c>
      <c r="B599" s="24">
        <v>4</v>
      </c>
      <c r="C599" s="24" t="s">
        <v>498</v>
      </c>
      <c r="D599" s="24">
        <v>91</v>
      </c>
      <c r="E599" s="34" t="s">
        <v>987</v>
      </c>
      <c r="F599" s="35" t="s">
        <v>990</v>
      </c>
    </row>
    <row r="600" spans="1:6" ht="19.5" customHeight="1" thickTop="1" thickBot="1" x14ac:dyDescent="0.25">
      <c r="A600" s="33" t="str">
        <f>مهن[[#This Row],[الدرجة]]&amp;مهن[[#This Row],[المهنة]]</f>
        <v>5فنى رسم هندسى</v>
      </c>
      <c r="B600" s="24">
        <v>5</v>
      </c>
      <c r="C600" s="24" t="s">
        <v>500</v>
      </c>
      <c r="D600" s="24">
        <v>91</v>
      </c>
      <c r="E600" s="34" t="s">
        <v>987</v>
      </c>
      <c r="F600" s="35" t="s">
        <v>991</v>
      </c>
    </row>
    <row r="601" spans="1:6" ht="19.5" customHeight="1" thickTop="1" thickBot="1" x14ac:dyDescent="0.25">
      <c r="A601" s="33" t="str">
        <f>مهن[[#This Row],[الدرجة]]&amp;مهن[[#This Row],[المهنة]]</f>
        <v>6فنى رسم هندسى</v>
      </c>
      <c r="B601" s="24">
        <v>6</v>
      </c>
      <c r="C601" s="24" t="s">
        <v>502</v>
      </c>
      <c r="D601" s="24">
        <v>91</v>
      </c>
      <c r="E601" s="34" t="s">
        <v>987</v>
      </c>
      <c r="F601" s="35" t="s">
        <v>992</v>
      </c>
    </row>
    <row r="602" spans="1:6" ht="19.5" customHeight="1" thickTop="1" thickBot="1" x14ac:dyDescent="0.25">
      <c r="A602" s="33" t="str">
        <f>مهن[[#This Row],[الدرجة]]&amp;مهن[[#This Row],[المهنة]]</f>
        <v>7فنى رسم هندسى</v>
      </c>
      <c r="B602" s="24">
        <v>7</v>
      </c>
      <c r="C602" s="24" t="s">
        <v>504</v>
      </c>
      <c r="D602" s="24">
        <v>91</v>
      </c>
      <c r="E602" s="34" t="s">
        <v>987</v>
      </c>
      <c r="F602" s="35" t="s">
        <v>993</v>
      </c>
    </row>
    <row r="603" spans="1:6" ht="19.5" customHeight="1" thickTop="1" thickBot="1" x14ac:dyDescent="0.25">
      <c r="A603" s="33" t="str">
        <f>مهن[[#This Row],[الدرجة]]&amp;مهن[[#This Row],[المهنة]]</f>
        <v>8فنى رسم هندسى</v>
      </c>
      <c r="B603" s="24">
        <v>8</v>
      </c>
      <c r="C603" s="24" t="s">
        <v>506</v>
      </c>
      <c r="D603" s="24">
        <v>91</v>
      </c>
      <c r="E603" s="34" t="s">
        <v>987</v>
      </c>
      <c r="F603" s="35" t="s">
        <v>994</v>
      </c>
    </row>
    <row r="604" spans="1:6" ht="19.5" customHeight="1" thickTop="1" thickBot="1" x14ac:dyDescent="0.25">
      <c r="A604" s="33" t="str">
        <f>مهن[[#This Row],[الدرجة]]&amp;مهن[[#This Row],[المهنة]]</f>
        <v>2فنى انشاءات</v>
      </c>
      <c r="B604" s="24">
        <v>2</v>
      </c>
      <c r="C604" s="24" t="s">
        <v>493</v>
      </c>
      <c r="D604" s="24">
        <v>92</v>
      </c>
      <c r="E604" s="34" t="s">
        <v>995</v>
      </c>
      <c r="F604" s="35" t="s">
        <v>996</v>
      </c>
    </row>
    <row r="605" spans="1:6" ht="19.5" customHeight="1" thickTop="1" thickBot="1" x14ac:dyDescent="0.25">
      <c r="A605" s="33" t="str">
        <f>مهن[[#This Row],[الدرجة]]&amp;مهن[[#This Row],[المهنة]]</f>
        <v>3فنى انشاءات</v>
      </c>
      <c r="B605" s="24">
        <v>3</v>
      </c>
      <c r="C605" s="24" t="s">
        <v>496</v>
      </c>
      <c r="D605" s="24">
        <v>92</v>
      </c>
      <c r="E605" s="34" t="s">
        <v>995</v>
      </c>
      <c r="F605" s="35" t="s">
        <v>997</v>
      </c>
    </row>
    <row r="606" spans="1:6" ht="19.5" customHeight="1" thickTop="1" thickBot="1" x14ac:dyDescent="0.25">
      <c r="A606" s="33" t="str">
        <f>مهن[[#This Row],[الدرجة]]&amp;مهن[[#This Row],[المهنة]]</f>
        <v>4فنى انشاءات</v>
      </c>
      <c r="B606" s="24">
        <v>4</v>
      </c>
      <c r="C606" s="24" t="s">
        <v>498</v>
      </c>
      <c r="D606" s="24">
        <v>92</v>
      </c>
      <c r="E606" s="34" t="s">
        <v>995</v>
      </c>
      <c r="F606" s="35" t="s">
        <v>998</v>
      </c>
    </row>
    <row r="607" spans="1:6" ht="19.5" customHeight="1" thickTop="1" thickBot="1" x14ac:dyDescent="0.25">
      <c r="A607" s="33" t="str">
        <f>مهن[[#This Row],[الدرجة]]&amp;مهن[[#This Row],[المهنة]]</f>
        <v>5فنى انشاءات</v>
      </c>
      <c r="B607" s="24">
        <v>5</v>
      </c>
      <c r="C607" s="24" t="s">
        <v>500</v>
      </c>
      <c r="D607" s="24">
        <v>92</v>
      </c>
      <c r="E607" s="34" t="s">
        <v>995</v>
      </c>
      <c r="F607" s="35" t="s">
        <v>999</v>
      </c>
    </row>
    <row r="608" spans="1:6" ht="19.5" customHeight="1" thickTop="1" thickBot="1" x14ac:dyDescent="0.25">
      <c r="A608" s="33" t="str">
        <f>مهن[[#This Row],[الدرجة]]&amp;مهن[[#This Row],[المهنة]]</f>
        <v>6فنى انشاءات</v>
      </c>
      <c r="B608" s="24">
        <v>6</v>
      </c>
      <c r="C608" s="24" t="s">
        <v>502</v>
      </c>
      <c r="D608" s="24">
        <v>92</v>
      </c>
      <c r="E608" s="34" t="s">
        <v>995</v>
      </c>
      <c r="F608" s="35" t="s">
        <v>1000</v>
      </c>
    </row>
    <row r="609" spans="1:6" ht="19.5" customHeight="1" thickTop="1" thickBot="1" x14ac:dyDescent="0.25">
      <c r="A609" s="33" t="str">
        <f>مهن[[#This Row],[الدرجة]]&amp;مهن[[#This Row],[المهنة]]</f>
        <v>7فنى انشاءات</v>
      </c>
      <c r="B609" s="24">
        <v>7</v>
      </c>
      <c r="C609" s="24" t="s">
        <v>504</v>
      </c>
      <c r="D609" s="24">
        <v>92</v>
      </c>
      <c r="E609" s="34" t="s">
        <v>995</v>
      </c>
      <c r="F609" s="35" t="s">
        <v>1001</v>
      </c>
    </row>
    <row r="610" spans="1:6" ht="19.5" customHeight="1" thickTop="1" thickBot="1" x14ac:dyDescent="0.25">
      <c r="A610" s="33" t="str">
        <f>مهن[[#This Row],[الدرجة]]&amp;مهن[[#This Row],[المهنة]]</f>
        <v>8فنى انشاءات</v>
      </c>
      <c r="B610" s="24">
        <v>8</v>
      </c>
      <c r="C610" s="24" t="s">
        <v>506</v>
      </c>
      <c r="D610" s="24">
        <v>92</v>
      </c>
      <c r="E610" s="34" t="s">
        <v>995</v>
      </c>
      <c r="F610" s="35" t="s">
        <v>1002</v>
      </c>
    </row>
    <row r="611" spans="1:6" ht="19.5" customHeight="1" thickTop="1" thickBot="1" x14ac:dyDescent="0.25">
      <c r="A611" s="33" t="str">
        <f>مهن[[#This Row],[الدرجة]]&amp;مهن[[#This Row],[المهنة]]</f>
        <v>2جس هيدروجرافى</v>
      </c>
      <c r="B611" s="24">
        <v>2</v>
      </c>
      <c r="C611" s="24" t="s">
        <v>493</v>
      </c>
      <c r="D611" s="24">
        <v>93</v>
      </c>
      <c r="E611" s="34" t="s">
        <v>1003</v>
      </c>
      <c r="F611" s="35" t="s">
        <v>1004</v>
      </c>
    </row>
    <row r="612" spans="1:6" ht="19.5" customHeight="1" thickTop="1" thickBot="1" x14ac:dyDescent="0.25">
      <c r="A612" s="33" t="str">
        <f>مهن[[#This Row],[الدرجة]]&amp;مهن[[#This Row],[المهنة]]</f>
        <v>3جس هيدروجرافى</v>
      </c>
      <c r="B612" s="24">
        <v>3</v>
      </c>
      <c r="C612" s="24" t="s">
        <v>496</v>
      </c>
      <c r="D612" s="24">
        <v>93</v>
      </c>
      <c r="E612" s="34" t="s">
        <v>1003</v>
      </c>
      <c r="F612" s="35" t="s">
        <v>1005</v>
      </c>
    </row>
    <row r="613" spans="1:6" ht="19.5" customHeight="1" thickTop="1" thickBot="1" x14ac:dyDescent="0.25">
      <c r="A613" s="33" t="str">
        <f>مهن[[#This Row],[الدرجة]]&amp;مهن[[#This Row],[المهنة]]</f>
        <v>4جس هيدروجرافى</v>
      </c>
      <c r="B613" s="24">
        <v>4</v>
      </c>
      <c r="C613" s="24" t="s">
        <v>498</v>
      </c>
      <c r="D613" s="24">
        <v>93</v>
      </c>
      <c r="E613" s="34" t="s">
        <v>1003</v>
      </c>
      <c r="F613" s="35" t="s">
        <v>1006</v>
      </c>
    </row>
    <row r="614" spans="1:6" ht="19.5" customHeight="1" thickTop="1" thickBot="1" x14ac:dyDescent="0.25">
      <c r="A614" s="33" t="str">
        <f>مهن[[#This Row],[الدرجة]]&amp;مهن[[#This Row],[المهنة]]</f>
        <v>5جس هيدروجرافى</v>
      </c>
      <c r="B614" s="24">
        <v>5</v>
      </c>
      <c r="C614" s="24" t="s">
        <v>500</v>
      </c>
      <c r="D614" s="24">
        <v>93</v>
      </c>
      <c r="E614" s="34" t="s">
        <v>1003</v>
      </c>
      <c r="F614" s="35" t="s">
        <v>1007</v>
      </c>
    </row>
    <row r="615" spans="1:6" ht="19.5" customHeight="1" thickTop="1" thickBot="1" x14ac:dyDescent="0.25">
      <c r="A615" s="33" t="str">
        <f>مهن[[#This Row],[الدرجة]]&amp;مهن[[#This Row],[المهنة]]</f>
        <v>6جس هيدروجرافى</v>
      </c>
      <c r="B615" s="24">
        <v>6</v>
      </c>
      <c r="C615" s="24" t="s">
        <v>502</v>
      </c>
      <c r="D615" s="24">
        <v>93</v>
      </c>
      <c r="E615" s="34" t="s">
        <v>1003</v>
      </c>
      <c r="F615" s="35" t="s">
        <v>1008</v>
      </c>
    </row>
    <row r="616" spans="1:6" ht="19.5" customHeight="1" thickTop="1" thickBot="1" x14ac:dyDescent="0.25">
      <c r="A616" s="33" t="str">
        <f>مهن[[#This Row],[الدرجة]]&amp;مهن[[#This Row],[المهنة]]</f>
        <v>7جس هيدروجرافى</v>
      </c>
      <c r="B616" s="24">
        <v>7</v>
      </c>
      <c r="C616" s="24" t="s">
        <v>504</v>
      </c>
      <c r="D616" s="24">
        <v>93</v>
      </c>
      <c r="E616" s="34" t="s">
        <v>1003</v>
      </c>
      <c r="F616" s="35" t="s">
        <v>1009</v>
      </c>
    </row>
    <row r="617" spans="1:6" ht="19.5" customHeight="1" thickTop="1" thickBot="1" x14ac:dyDescent="0.25">
      <c r="A617" s="33" t="str">
        <f>مهن[[#This Row],[الدرجة]]&amp;مهن[[#This Row],[المهنة]]</f>
        <v>8جس هيدروجرافى</v>
      </c>
      <c r="B617" s="24">
        <v>8</v>
      </c>
      <c r="C617" s="24" t="s">
        <v>506</v>
      </c>
      <c r="D617" s="24">
        <v>93</v>
      </c>
      <c r="E617" s="34" t="s">
        <v>1003</v>
      </c>
      <c r="F617" s="35" t="s">
        <v>1010</v>
      </c>
    </row>
    <row r="618" spans="1:6" ht="19.5" customHeight="1" thickTop="1" thickBot="1" x14ac:dyDescent="0.25">
      <c r="A618" s="33" t="str">
        <f>مهن[[#This Row],[الدرجة]]&amp;مهن[[#This Row],[المهنة]]</f>
        <v>2مصور</v>
      </c>
      <c r="B618" s="24">
        <v>2</v>
      </c>
      <c r="C618" s="24" t="s">
        <v>493</v>
      </c>
      <c r="D618" s="24">
        <v>94</v>
      </c>
      <c r="E618" s="34" t="s">
        <v>1011</v>
      </c>
      <c r="F618" s="35" t="s">
        <v>1012</v>
      </c>
    </row>
    <row r="619" spans="1:6" ht="19.5" customHeight="1" thickTop="1" thickBot="1" x14ac:dyDescent="0.25">
      <c r="A619" s="33" t="str">
        <f>مهن[[#This Row],[الدرجة]]&amp;مهن[[#This Row],[المهنة]]</f>
        <v>3مصور</v>
      </c>
      <c r="B619" s="24">
        <v>3</v>
      </c>
      <c r="C619" s="24" t="s">
        <v>496</v>
      </c>
      <c r="D619" s="24">
        <v>94</v>
      </c>
      <c r="E619" s="34" t="s">
        <v>1011</v>
      </c>
      <c r="F619" s="35" t="s">
        <v>1013</v>
      </c>
    </row>
    <row r="620" spans="1:6" ht="19.5" customHeight="1" thickTop="1" thickBot="1" x14ac:dyDescent="0.25">
      <c r="A620" s="33" t="str">
        <f>مهن[[#This Row],[الدرجة]]&amp;مهن[[#This Row],[المهنة]]</f>
        <v>4مصور</v>
      </c>
      <c r="B620" s="24">
        <v>4</v>
      </c>
      <c r="C620" s="24" t="s">
        <v>498</v>
      </c>
      <c r="D620" s="24">
        <v>94</v>
      </c>
      <c r="E620" s="34" t="s">
        <v>1011</v>
      </c>
      <c r="F620" s="35" t="s">
        <v>1014</v>
      </c>
    </row>
    <row r="621" spans="1:6" ht="19.5" customHeight="1" thickTop="1" thickBot="1" x14ac:dyDescent="0.25">
      <c r="A621" s="33" t="str">
        <f>مهن[[#This Row],[الدرجة]]&amp;مهن[[#This Row],[المهنة]]</f>
        <v>5مصور</v>
      </c>
      <c r="B621" s="24">
        <v>5</v>
      </c>
      <c r="C621" s="24" t="s">
        <v>500</v>
      </c>
      <c r="D621" s="24">
        <v>94</v>
      </c>
      <c r="E621" s="34" t="s">
        <v>1011</v>
      </c>
      <c r="F621" s="35" t="s">
        <v>1015</v>
      </c>
    </row>
    <row r="622" spans="1:6" ht="19.5" customHeight="1" thickTop="1" thickBot="1" x14ac:dyDescent="0.25">
      <c r="A622" s="33" t="str">
        <f>مهن[[#This Row],[الدرجة]]&amp;مهن[[#This Row],[المهنة]]</f>
        <v>6مصور</v>
      </c>
      <c r="B622" s="24">
        <v>6</v>
      </c>
      <c r="C622" s="24" t="s">
        <v>502</v>
      </c>
      <c r="D622" s="24">
        <v>94</v>
      </c>
      <c r="E622" s="34" t="s">
        <v>1011</v>
      </c>
      <c r="F622" s="35" t="s">
        <v>1016</v>
      </c>
    </row>
    <row r="623" spans="1:6" ht="19.5" customHeight="1" thickTop="1" thickBot="1" x14ac:dyDescent="0.25">
      <c r="A623" s="33" t="str">
        <f>مهن[[#This Row],[الدرجة]]&amp;مهن[[#This Row],[المهنة]]</f>
        <v>7مصور</v>
      </c>
      <c r="B623" s="24">
        <v>7</v>
      </c>
      <c r="C623" s="24" t="s">
        <v>504</v>
      </c>
      <c r="D623" s="24">
        <v>94</v>
      </c>
      <c r="E623" s="34" t="s">
        <v>1011</v>
      </c>
      <c r="F623" s="35" t="s">
        <v>1017</v>
      </c>
    </row>
    <row r="624" spans="1:6" ht="19.5" customHeight="1" thickTop="1" thickBot="1" x14ac:dyDescent="0.25">
      <c r="A624" s="33" t="str">
        <f>مهن[[#This Row],[الدرجة]]&amp;مهن[[#This Row],[المهنة]]</f>
        <v>8مصور</v>
      </c>
      <c r="B624" s="24">
        <v>8</v>
      </c>
      <c r="C624" s="24" t="s">
        <v>506</v>
      </c>
      <c r="D624" s="24">
        <v>94</v>
      </c>
      <c r="E624" s="34" t="s">
        <v>1011</v>
      </c>
      <c r="F624" s="35" t="s">
        <v>1018</v>
      </c>
    </row>
    <row r="625" spans="1:6" ht="19.5" customHeight="1" thickTop="1" thickBot="1" x14ac:dyDescent="0.25">
      <c r="A625" s="33" t="str">
        <f>مهن[[#This Row],[الدرجة]]&amp;مهن[[#This Row],[المهنة]]</f>
        <v>3بناء</v>
      </c>
      <c r="B625" s="24">
        <v>3</v>
      </c>
      <c r="C625" s="24" t="s">
        <v>496</v>
      </c>
      <c r="D625" s="24">
        <v>95</v>
      </c>
      <c r="E625" s="34" t="s">
        <v>1019</v>
      </c>
      <c r="F625" s="35" t="s">
        <v>1020</v>
      </c>
    </row>
    <row r="626" spans="1:6" ht="19.5" customHeight="1" thickTop="1" thickBot="1" x14ac:dyDescent="0.25">
      <c r="A626" s="33" t="str">
        <f>مهن[[#This Row],[الدرجة]]&amp;مهن[[#This Row],[المهنة]]</f>
        <v>4بناء</v>
      </c>
      <c r="B626" s="24">
        <v>4</v>
      </c>
      <c r="C626" s="24" t="s">
        <v>498</v>
      </c>
      <c r="D626" s="24">
        <v>95</v>
      </c>
      <c r="E626" s="34" t="s">
        <v>1019</v>
      </c>
      <c r="F626" s="35" t="s">
        <v>1021</v>
      </c>
    </row>
    <row r="627" spans="1:6" ht="19.5" customHeight="1" thickTop="1" thickBot="1" x14ac:dyDescent="0.25">
      <c r="A627" s="33" t="str">
        <f>مهن[[#This Row],[الدرجة]]&amp;مهن[[#This Row],[المهنة]]</f>
        <v>5بناء</v>
      </c>
      <c r="B627" s="24">
        <v>5</v>
      </c>
      <c r="C627" s="24" t="s">
        <v>500</v>
      </c>
      <c r="D627" s="24">
        <v>95</v>
      </c>
      <c r="E627" s="34" t="s">
        <v>1019</v>
      </c>
      <c r="F627" s="35" t="s">
        <v>1022</v>
      </c>
    </row>
    <row r="628" spans="1:6" ht="19.5" customHeight="1" thickTop="1" thickBot="1" x14ac:dyDescent="0.25">
      <c r="A628" s="33" t="str">
        <f>مهن[[#This Row],[الدرجة]]&amp;مهن[[#This Row],[المهنة]]</f>
        <v>6بناء</v>
      </c>
      <c r="B628" s="24">
        <v>6</v>
      </c>
      <c r="C628" s="24" t="s">
        <v>502</v>
      </c>
      <c r="D628" s="24">
        <v>95</v>
      </c>
      <c r="E628" s="34" t="s">
        <v>1019</v>
      </c>
      <c r="F628" s="35" t="s">
        <v>1023</v>
      </c>
    </row>
    <row r="629" spans="1:6" ht="19.5" customHeight="1" thickTop="1" thickBot="1" x14ac:dyDescent="0.25">
      <c r="A629" s="33" t="str">
        <f>مهن[[#This Row],[الدرجة]]&amp;مهن[[#This Row],[المهنة]]</f>
        <v>7بناء</v>
      </c>
      <c r="B629" s="24">
        <v>7</v>
      </c>
      <c r="C629" s="24" t="s">
        <v>504</v>
      </c>
      <c r="D629" s="24">
        <v>95</v>
      </c>
      <c r="E629" s="34" t="s">
        <v>1019</v>
      </c>
      <c r="F629" s="35" t="s">
        <v>1024</v>
      </c>
    </row>
    <row r="630" spans="1:6" ht="19.5" customHeight="1" thickTop="1" thickBot="1" x14ac:dyDescent="0.25">
      <c r="A630" s="33" t="str">
        <f>مهن[[#This Row],[الدرجة]]&amp;مهن[[#This Row],[المهنة]]</f>
        <v>8بناء</v>
      </c>
      <c r="B630" s="24">
        <v>8</v>
      </c>
      <c r="C630" s="24" t="s">
        <v>506</v>
      </c>
      <c r="D630" s="24">
        <v>95</v>
      </c>
      <c r="E630" s="34" t="s">
        <v>1019</v>
      </c>
      <c r="F630" s="35" t="s">
        <v>1019</v>
      </c>
    </row>
    <row r="631" spans="1:6" ht="19.5" customHeight="1" thickTop="1" thickBot="1" x14ac:dyDescent="0.25">
      <c r="A631" s="33" t="str">
        <f>مهن[[#This Row],[الدرجة]]&amp;مهن[[#This Row],[المهنة]]</f>
        <v>2فنى غطاس انتشال</v>
      </c>
      <c r="B631" s="24">
        <v>2</v>
      </c>
      <c r="C631" s="24" t="s">
        <v>493</v>
      </c>
      <c r="D631" s="24">
        <v>96</v>
      </c>
      <c r="E631" s="34" t="s">
        <v>1025</v>
      </c>
      <c r="F631" s="35" t="s">
        <v>1026</v>
      </c>
    </row>
    <row r="632" spans="1:6" ht="19.5" customHeight="1" thickTop="1" thickBot="1" x14ac:dyDescent="0.25">
      <c r="A632" s="33" t="str">
        <f>مهن[[#This Row],[الدرجة]]&amp;مهن[[#This Row],[المهنة]]</f>
        <v>3فنى غطاس انتشال</v>
      </c>
      <c r="B632" s="24">
        <v>3</v>
      </c>
      <c r="C632" s="24" t="s">
        <v>496</v>
      </c>
      <c r="D632" s="24">
        <v>96</v>
      </c>
      <c r="E632" s="34" t="s">
        <v>1025</v>
      </c>
      <c r="F632" s="35" t="s">
        <v>1027</v>
      </c>
    </row>
    <row r="633" spans="1:6" ht="19.5" customHeight="1" thickTop="1" thickBot="1" x14ac:dyDescent="0.25">
      <c r="A633" s="33" t="str">
        <f>مهن[[#This Row],[الدرجة]]&amp;مهن[[#This Row],[المهنة]]</f>
        <v>4فنى غطاس انتشال</v>
      </c>
      <c r="B633" s="24">
        <v>4</v>
      </c>
      <c r="C633" s="24" t="s">
        <v>498</v>
      </c>
      <c r="D633" s="24">
        <v>96</v>
      </c>
      <c r="E633" s="34" t="s">
        <v>1025</v>
      </c>
      <c r="F633" s="35" t="s">
        <v>1028</v>
      </c>
    </row>
    <row r="634" spans="1:6" ht="19.5" customHeight="1" thickTop="1" thickBot="1" x14ac:dyDescent="0.25">
      <c r="A634" s="33" t="str">
        <f>مهن[[#This Row],[الدرجة]]&amp;مهن[[#This Row],[المهنة]]</f>
        <v>5فنى غطاس انتشال</v>
      </c>
      <c r="B634" s="24">
        <v>5</v>
      </c>
      <c r="C634" s="24" t="s">
        <v>500</v>
      </c>
      <c r="D634" s="24">
        <v>96</v>
      </c>
      <c r="E634" s="34" t="s">
        <v>1025</v>
      </c>
      <c r="F634" s="35" t="s">
        <v>1029</v>
      </c>
    </row>
    <row r="635" spans="1:6" ht="19.5" customHeight="1" thickTop="1" thickBot="1" x14ac:dyDescent="0.25">
      <c r="A635" s="33" t="str">
        <f>مهن[[#This Row],[الدرجة]]&amp;مهن[[#This Row],[المهنة]]</f>
        <v>6فنى غطاس انتشال</v>
      </c>
      <c r="B635" s="24">
        <v>6</v>
      </c>
      <c r="C635" s="24" t="s">
        <v>502</v>
      </c>
      <c r="D635" s="24">
        <v>96</v>
      </c>
      <c r="E635" s="34" t="s">
        <v>1025</v>
      </c>
      <c r="F635" s="35" t="s">
        <v>1030</v>
      </c>
    </row>
    <row r="636" spans="1:6" ht="19.5" customHeight="1" thickTop="1" thickBot="1" x14ac:dyDescent="0.25">
      <c r="A636" s="33" t="str">
        <f>مهن[[#This Row],[الدرجة]]&amp;مهن[[#This Row],[المهنة]]</f>
        <v>7فنى غطاس انتشال</v>
      </c>
      <c r="B636" s="24">
        <v>7</v>
      </c>
      <c r="C636" s="24" t="s">
        <v>504</v>
      </c>
      <c r="D636" s="24">
        <v>96</v>
      </c>
      <c r="E636" s="34" t="s">
        <v>1025</v>
      </c>
      <c r="F636" s="35" t="s">
        <v>1031</v>
      </c>
    </row>
    <row r="637" spans="1:6" ht="19.5" customHeight="1" thickTop="1" thickBot="1" x14ac:dyDescent="0.25">
      <c r="A637" s="33" t="str">
        <f>مهن[[#This Row],[الدرجة]]&amp;مهن[[#This Row],[المهنة]]</f>
        <v>8فنى غطاس انتشال</v>
      </c>
      <c r="B637" s="24">
        <v>8</v>
      </c>
      <c r="C637" s="24" t="s">
        <v>506</v>
      </c>
      <c r="D637" s="24">
        <v>96</v>
      </c>
      <c r="E637" s="34" t="s">
        <v>1025</v>
      </c>
      <c r="F637" s="35" t="s">
        <v>1032</v>
      </c>
    </row>
    <row r="638" spans="1:6" ht="19.5" customHeight="1" thickTop="1" thickBot="1" x14ac:dyDescent="0.25">
      <c r="A638" s="33" t="str">
        <f>مهن[[#This Row],[الدرجة]]&amp;مهن[[#This Row],[المهنة]]</f>
        <v>2وناش ارضى</v>
      </c>
      <c r="B638" s="24">
        <v>2</v>
      </c>
      <c r="C638" s="24" t="s">
        <v>493</v>
      </c>
      <c r="D638" s="24">
        <v>97</v>
      </c>
      <c r="E638" s="34" t="s">
        <v>1033</v>
      </c>
      <c r="F638" s="35" t="s">
        <v>1034</v>
      </c>
    </row>
    <row r="639" spans="1:6" ht="19.5" customHeight="1" thickTop="1" thickBot="1" x14ac:dyDescent="0.25">
      <c r="A639" s="33" t="str">
        <f>مهن[[#This Row],[الدرجة]]&amp;مهن[[#This Row],[المهنة]]</f>
        <v>3وناش ارضى</v>
      </c>
      <c r="B639" s="24">
        <v>3</v>
      </c>
      <c r="C639" s="24" t="s">
        <v>496</v>
      </c>
      <c r="D639" s="24">
        <v>97</v>
      </c>
      <c r="E639" s="34" t="s">
        <v>1033</v>
      </c>
      <c r="F639" s="35" t="s">
        <v>1035</v>
      </c>
    </row>
    <row r="640" spans="1:6" ht="19.5" customHeight="1" thickTop="1" thickBot="1" x14ac:dyDescent="0.25">
      <c r="A640" s="33" t="str">
        <f>مهن[[#This Row],[الدرجة]]&amp;مهن[[#This Row],[المهنة]]</f>
        <v>4وناش ارضى</v>
      </c>
      <c r="B640" s="24">
        <v>4</v>
      </c>
      <c r="C640" s="24" t="s">
        <v>498</v>
      </c>
      <c r="D640" s="24">
        <v>97</v>
      </c>
      <c r="E640" s="34" t="s">
        <v>1033</v>
      </c>
      <c r="F640" s="35" t="s">
        <v>1036</v>
      </c>
    </row>
    <row r="641" spans="1:6" ht="19.5" customHeight="1" thickTop="1" thickBot="1" x14ac:dyDescent="0.25">
      <c r="A641" s="33" t="str">
        <f>مهن[[#This Row],[الدرجة]]&amp;مهن[[#This Row],[المهنة]]</f>
        <v>5وناش ارضى</v>
      </c>
      <c r="B641" s="24">
        <v>5</v>
      </c>
      <c r="C641" s="24" t="s">
        <v>500</v>
      </c>
      <c r="D641" s="24">
        <v>97</v>
      </c>
      <c r="E641" s="34" t="s">
        <v>1033</v>
      </c>
      <c r="F641" s="35" t="s">
        <v>1037</v>
      </c>
    </row>
    <row r="642" spans="1:6" ht="19.5" customHeight="1" thickTop="1" thickBot="1" x14ac:dyDescent="0.25">
      <c r="A642" s="33" t="str">
        <f>مهن[[#This Row],[الدرجة]]&amp;مهن[[#This Row],[المهنة]]</f>
        <v>6وناش ارضى</v>
      </c>
      <c r="B642" s="24">
        <v>6</v>
      </c>
      <c r="C642" s="24" t="s">
        <v>502</v>
      </c>
      <c r="D642" s="24">
        <v>97</v>
      </c>
      <c r="E642" s="34" t="s">
        <v>1033</v>
      </c>
      <c r="F642" s="35" t="s">
        <v>1038</v>
      </c>
    </row>
    <row r="643" spans="1:6" ht="19.5" customHeight="1" thickTop="1" thickBot="1" x14ac:dyDescent="0.25">
      <c r="A643" s="33" t="str">
        <f>مهن[[#This Row],[الدرجة]]&amp;مهن[[#This Row],[المهنة]]</f>
        <v>7وناش ارضى</v>
      </c>
      <c r="B643" s="24">
        <v>7</v>
      </c>
      <c r="C643" s="24" t="s">
        <v>504</v>
      </c>
      <c r="D643" s="24">
        <v>97</v>
      </c>
      <c r="E643" s="34" t="s">
        <v>1033</v>
      </c>
      <c r="F643" s="35" t="s">
        <v>1039</v>
      </c>
    </row>
    <row r="644" spans="1:6" ht="19.5" customHeight="1" thickTop="1" thickBot="1" x14ac:dyDescent="0.25">
      <c r="A644" s="33" t="str">
        <f>مهن[[#This Row],[الدرجة]]&amp;مهن[[#This Row],[المهنة]]</f>
        <v>8وناش ارضى</v>
      </c>
      <c r="B644" s="24">
        <v>8</v>
      </c>
      <c r="C644" s="24" t="s">
        <v>506</v>
      </c>
      <c r="D644" s="24">
        <v>97</v>
      </c>
      <c r="E644" s="34" t="s">
        <v>1033</v>
      </c>
      <c r="F644" s="35" t="s">
        <v>1040</v>
      </c>
    </row>
    <row r="645" spans="1:6" ht="19.5" customHeight="1" thickTop="1" thickBot="1" x14ac:dyDescent="0.25">
      <c r="A645" s="33" t="str">
        <f>مهن[[#This Row],[الدرجة]]&amp;مهن[[#This Row],[المهنة]]</f>
        <v>2وناش بحرى</v>
      </c>
      <c r="B645" s="24">
        <v>2</v>
      </c>
      <c r="C645" s="24" t="s">
        <v>493</v>
      </c>
      <c r="D645" s="24">
        <v>98</v>
      </c>
      <c r="E645" s="34" t="s">
        <v>1041</v>
      </c>
      <c r="F645" s="35" t="s">
        <v>1034</v>
      </c>
    </row>
    <row r="646" spans="1:6" ht="19.5" customHeight="1" thickTop="1" thickBot="1" x14ac:dyDescent="0.25">
      <c r="A646" s="33" t="str">
        <f>مهن[[#This Row],[الدرجة]]&amp;مهن[[#This Row],[المهنة]]</f>
        <v>3وناش بحرى</v>
      </c>
      <c r="B646" s="24">
        <v>3</v>
      </c>
      <c r="C646" s="24" t="s">
        <v>496</v>
      </c>
      <c r="D646" s="24">
        <v>98</v>
      </c>
      <c r="E646" s="34" t="s">
        <v>1041</v>
      </c>
      <c r="F646" s="35" t="s">
        <v>1035</v>
      </c>
    </row>
    <row r="647" spans="1:6" ht="19.5" customHeight="1" thickTop="1" thickBot="1" x14ac:dyDescent="0.25">
      <c r="A647" s="33" t="str">
        <f>مهن[[#This Row],[الدرجة]]&amp;مهن[[#This Row],[المهنة]]</f>
        <v>4وناش بحرى</v>
      </c>
      <c r="B647" s="24">
        <v>4</v>
      </c>
      <c r="C647" s="24" t="s">
        <v>498</v>
      </c>
      <c r="D647" s="24">
        <v>98</v>
      </c>
      <c r="E647" s="34" t="s">
        <v>1041</v>
      </c>
      <c r="F647" s="35" t="s">
        <v>1042</v>
      </c>
    </row>
    <row r="648" spans="1:6" ht="19.5" customHeight="1" thickTop="1" thickBot="1" x14ac:dyDescent="0.25">
      <c r="A648" s="33" t="str">
        <f>مهن[[#This Row],[الدرجة]]&amp;مهن[[#This Row],[المهنة]]</f>
        <v>5وناش بحرى</v>
      </c>
      <c r="B648" s="24">
        <v>5</v>
      </c>
      <c r="C648" s="24" t="s">
        <v>500</v>
      </c>
      <c r="D648" s="24">
        <v>98</v>
      </c>
      <c r="E648" s="34" t="s">
        <v>1041</v>
      </c>
      <c r="F648" s="35" t="s">
        <v>1043</v>
      </c>
    </row>
    <row r="649" spans="1:6" ht="19.5" customHeight="1" thickTop="1" thickBot="1" x14ac:dyDescent="0.25">
      <c r="A649" s="33" t="str">
        <f>مهن[[#This Row],[الدرجة]]&amp;مهن[[#This Row],[المهنة]]</f>
        <v>6وناش بحرى</v>
      </c>
      <c r="B649" s="24">
        <v>6</v>
      </c>
      <c r="C649" s="24" t="s">
        <v>502</v>
      </c>
      <c r="D649" s="24">
        <v>98</v>
      </c>
      <c r="E649" s="34" t="s">
        <v>1041</v>
      </c>
      <c r="F649" s="35" t="s">
        <v>1044</v>
      </c>
    </row>
    <row r="650" spans="1:6" ht="19.5" customHeight="1" thickTop="1" thickBot="1" x14ac:dyDescent="0.25">
      <c r="A650" s="33" t="str">
        <f>مهن[[#This Row],[الدرجة]]&amp;مهن[[#This Row],[المهنة]]</f>
        <v>7وناش بحرى</v>
      </c>
      <c r="B650" s="24">
        <v>7</v>
      </c>
      <c r="C650" s="24" t="s">
        <v>504</v>
      </c>
      <c r="D650" s="24">
        <v>98</v>
      </c>
      <c r="E650" s="34" t="s">
        <v>1041</v>
      </c>
      <c r="F650" s="35" t="s">
        <v>1045</v>
      </c>
    </row>
    <row r="651" spans="1:6" ht="19.5" customHeight="1" thickTop="1" thickBot="1" x14ac:dyDescent="0.25">
      <c r="A651" s="33" t="str">
        <f>مهن[[#This Row],[الدرجة]]&amp;مهن[[#This Row],[المهنة]]</f>
        <v>8وناش بحرى</v>
      </c>
      <c r="B651" s="24">
        <v>8</v>
      </c>
      <c r="C651" s="24" t="s">
        <v>506</v>
      </c>
      <c r="D651" s="24">
        <v>98</v>
      </c>
      <c r="E651" s="34" t="s">
        <v>1041</v>
      </c>
      <c r="F651" s="35" t="s">
        <v>1046</v>
      </c>
    </row>
    <row r="652" spans="1:6" ht="19.5" customHeight="1" thickTop="1" thickBot="1" x14ac:dyDescent="0.25">
      <c r="A652" s="33" t="str">
        <f>مهن[[#This Row],[الدرجة]]&amp;مهن[[#This Row],[المهنة]]</f>
        <v>2سائق سيارة</v>
      </c>
      <c r="B652" s="24">
        <v>2</v>
      </c>
      <c r="C652" s="24" t="s">
        <v>493</v>
      </c>
      <c r="D652" s="24">
        <v>99</v>
      </c>
      <c r="E652" s="34" t="s">
        <v>1047</v>
      </c>
      <c r="F652" s="35" t="s">
        <v>1048</v>
      </c>
    </row>
    <row r="653" spans="1:6" ht="19.5" customHeight="1" thickTop="1" thickBot="1" x14ac:dyDescent="0.25">
      <c r="A653" s="33" t="str">
        <f>مهن[[#This Row],[الدرجة]]&amp;مهن[[#This Row],[المهنة]]</f>
        <v>3سائق سيارة</v>
      </c>
      <c r="B653" s="24">
        <v>3</v>
      </c>
      <c r="C653" s="24" t="s">
        <v>496</v>
      </c>
      <c r="D653" s="24">
        <v>99</v>
      </c>
      <c r="E653" s="34" t="s">
        <v>1047</v>
      </c>
      <c r="F653" s="35" t="s">
        <v>1049</v>
      </c>
    </row>
    <row r="654" spans="1:6" ht="19.5" customHeight="1" thickTop="1" thickBot="1" x14ac:dyDescent="0.25">
      <c r="A654" s="33" t="str">
        <f>مهن[[#This Row],[الدرجة]]&amp;مهن[[#This Row],[المهنة]]</f>
        <v>4سائق سيارة</v>
      </c>
      <c r="B654" s="24">
        <v>4</v>
      </c>
      <c r="C654" s="24" t="s">
        <v>498</v>
      </c>
      <c r="D654" s="24">
        <v>99</v>
      </c>
      <c r="E654" s="34" t="s">
        <v>1047</v>
      </c>
      <c r="F654" s="35" t="s">
        <v>1050</v>
      </c>
    </row>
    <row r="655" spans="1:6" ht="19.5" customHeight="1" thickTop="1" thickBot="1" x14ac:dyDescent="0.25">
      <c r="A655" s="33" t="str">
        <f>مهن[[#This Row],[الدرجة]]&amp;مهن[[#This Row],[المهنة]]</f>
        <v>5سائق سيارة</v>
      </c>
      <c r="B655" s="24">
        <v>5</v>
      </c>
      <c r="C655" s="24" t="s">
        <v>500</v>
      </c>
      <c r="D655" s="24">
        <v>99</v>
      </c>
      <c r="E655" s="34" t="s">
        <v>1047</v>
      </c>
      <c r="F655" s="35" t="s">
        <v>1051</v>
      </c>
    </row>
    <row r="656" spans="1:6" ht="19.5" customHeight="1" thickTop="1" thickBot="1" x14ac:dyDescent="0.25">
      <c r="A656" s="33" t="str">
        <f>مهن[[#This Row],[الدرجة]]&amp;مهن[[#This Row],[المهنة]]</f>
        <v>6سائق سيارة</v>
      </c>
      <c r="B656" s="24">
        <v>6</v>
      </c>
      <c r="C656" s="24" t="s">
        <v>502</v>
      </c>
      <c r="D656" s="24">
        <v>99</v>
      </c>
      <c r="E656" s="34" t="s">
        <v>1047</v>
      </c>
      <c r="F656" s="35" t="s">
        <v>1052</v>
      </c>
    </row>
    <row r="657" spans="1:6" ht="19.5" customHeight="1" thickTop="1" thickBot="1" x14ac:dyDescent="0.25">
      <c r="A657" s="33" t="str">
        <f>مهن[[#This Row],[الدرجة]]&amp;مهن[[#This Row],[المهنة]]</f>
        <v>7سائق سيارة</v>
      </c>
      <c r="B657" s="24">
        <v>7</v>
      </c>
      <c r="C657" s="24" t="s">
        <v>504</v>
      </c>
      <c r="D657" s="24">
        <v>99</v>
      </c>
      <c r="E657" s="34" t="s">
        <v>1047</v>
      </c>
      <c r="F657" s="35" t="s">
        <v>1053</v>
      </c>
    </row>
    <row r="658" spans="1:6" ht="19.5" customHeight="1" thickTop="1" thickBot="1" x14ac:dyDescent="0.25">
      <c r="A658" s="33" t="str">
        <f>مهن[[#This Row],[الدرجة]]&amp;مهن[[#This Row],[المهنة]]</f>
        <v>8سائق سيارة</v>
      </c>
      <c r="B658" s="24">
        <v>8</v>
      </c>
      <c r="C658" s="24" t="s">
        <v>506</v>
      </c>
      <c r="D658" s="24">
        <v>99</v>
      </c>
      <c r="E658" s="34" t="s">
        <v>1047</v>
      </c>
      <c r="F658" s="35" t="s">
        <v>1047</v>
      </c>
    </row>
    <row r="659" spans="1:6" ht="19.5" customHeight="1" thickTop="1" thickBot="1" x14ac:dyDescent="0.25">
      <c r="A659" s="33" t="str">
        <f>مهن[[#This Row],[الدرجة]]&amp;مهن[[#This Row],[المهنة]]</f>
        <v>2امين مخزن</v>
      </c>
      <c r="B659" s="24">
        <v>2</v>
      </c>
      <c r="C659" s="24" t="s">
        <v>493</v>
      </c>
      <c r="D659" s="24">
        <v>100</v>
      </c>
      <c r="E659" s="34" t="s">
        <v>1054</v>
      </c>
      <c r="F659" s="35" t="s">
        <v>1055</v>
      </c>
    </row>
    <row r="660" spans="1:6" ht="19.5" customHeight="1" thickTop="1" thickBot="1" x14ac:dyDescent="0.25">
      <c r="A660" s="33" t="str">
        <f>مهن[[#This Row],[الدرجة]]&amp;مهن[[#This Row],[المهنة]]</f>
        <v>3امين مخزن</v>
      </c>
      <c r="B660" s="24">
        <v>3</v>
      </c>
      <c r="C660" s="24" t="s">
        <v>496</v>
      </c>
      <c r="D660" s="24">
        <v>100</v>
      </c>
      <c r="E660" s="34" t="s">
        <v>1054</v>
      </c>
      <c r="F660" s="35" t="s">
        <v>1056</v>
      </c>
    </row>
    <row r="661" spans="1:6" ht="19.5" customHeight="1" thickTop="1" thickBot="1" x14ac:dyDescent="0.25">
      <c r="A661" s="33" t="str">
        <f>مهن[[#This Row],[الدرجة]]&amp;مهن[[#This Row],[المهنة]]</f>
        <v>4امين مخزن</v>
      </c>
      <c r="B661" s="24">
        <v>4</v>
      </c>
      <c r="C661" s="24" t="s">
        <v>498</v>
      </c>
      <c r="D661" s="24">
        <v>100</v>
      </c>
      <c r="E661" s="34" t="s">
        <v>1054</v>
      </c>
      <c r="F661" s="35" t="s">
        <v>1057</v>
      </c>
    </row>
    <row r="662" spans="1:6" ht="19.5" customHeight="1" thickTop="1" thickBot="1" x14ac:dyDescent="0.25">
      <c r="A662" s="33" t="str">
        <f>مهن[[#This Row],[الدرجة]]&amp;مهن[[#This Row],[المهنة]]</f>
        <v>5امين مخزن</v>
      </c>
      <c r="B662" s="24">
        <v>5</v>
      </c>
      <c r="C662" s="24" t="s">
        <v>500</v>
      </c>
      <c r="D662" s="24">
        <v>100</v>
      </c>
      <c r="E662" s="34" t="s">
        <v>1054</v>
      </c>
      <c r="F662" s="35" t="s">
        <v>1058</v>
      </c>
    </row>
    <row r="663" spans="1:6" ht="19.5" customHeight="1" thickTop="1" thickBot="1" x14ac:dyDescent="0.25">
      <c r="A663" s="33" t="str">
        <f>مهن[[#This Row],[الدرجة]]&amp;مهن[[#This Row],[المهنة]]</f>
        <v>6امين مخزن</v>
      </c>
      <c r="B663" s="24">
        <v>6</v>
      </c>
      <c r="C663" s="24" t="s">
        <v>502</v>
      </c>
      <c r="D663" s="24">
        <v>100</v>
      </c>
      <c r="E663" s="34" t="s">
        <v>1054</v>
      </c>
      <c r="F663" s="35" t="s">
        <v>1059</v>
      </c>
    </row>
    <row r="664" spans="1:6" ht="19.5" customHeight="1" thickTop="1" thickBot="1" x14ac:dyDescent="0.25">
      <c r="A664" s="33" t="str">
        <f>مهن[[#This Row],[الدرجة]]&amp;مهن[[#This Row],[المهنة]]</f>
        <v>7امين مخزن</v>
      </c>
      <c r="B664" s="24">
        <v>7</v>
      </c>
      <c r="C664" s="24" t="s">
        <v>504</v>
      </c>
      <c r="D664" s="24">
        <v>100</v>
      </c>
      <c r="E664" s="34" t="s">
        <v>1054</v>
      </c>
      <c r="F664" s="35" t="s">
        <v>1060</v>
      </c>
    </row>
    <row r="665" spans="1:6" ht="19.5" customHeight="1" thickTop="1" thickBot="1" x14ac:dyDescent="0.25">
      <c r="A665" s="33" t="str">
        <f>مهن[[#This Row],[الدرجة]]&amp;مهن[[#This Row],[المهنة]]</f>
        <v>8امين مخزن</v>
      </c>
      <c r="B665" s="24">
        <v>8</v>
      </c>
      <c r="C665" s="24" t="s">
        <v>506</v>
      </c>
      <c r="D665" s="24">
        <v>100</v>
      </c>
      <c r="E665" s="34" t="s">
        <v>1054</v>
      </c>
      <c r="F665" s="35" t="s">
        <v>1054</v>
      </c>
    </row>
    <row r="666" spans="1:6" ht="19.5" customHeight="1" thickTop="1" thickBot="1" x14ac:dyDescent="0.25">
      <c r="A666" s="33" t="str">
        <f>مهن[[#This Row],[الدرجة]]&amp;مهن[[#This Row],[المهنة]]</f>
        <v>2فني معمل ابحاث</v>
      </c>
      <c r="B666" s="24">
        <v>2</v>
      </c>
      <c r="C666" s="24" t="s">
        <v>493</v>
      </c>
      <c r="D666" s="24">
        <v>101</v>
      </c>
      <c r="E666" s="34" t="s">
        <v>1061</v>
      </c>
      <c r="F666" s="35" t="s">
        <v>1062</v>
      </c>
    </row>
    <row r="667" spans="1:6" ht="19.5" customHeight="1" thickTop="1" thickBot="1" x14ac:dyDescent="0.25">
      <c r="A667" s="33" t="str">
        <f>مهن[[#This Row],[الدرجة]]&amp;مهن[[#This Row],[المهنة]]</f>
        <v>3فني معمل ابحاث</v>
      </c>
      <c r="B667" s="24">
        <v>3</v>
      </c>
      <c r="C667" s="24" t="s">
        <v>496</v>
      </c>
      <c r="D667" s="24">
        <v>101</v>
      </c>
      <c r="E667" s="34" t="s">
        <v>1061</v>
      </c>
      <c r="F667" s="35" t="s">
        <v>1063</v>
      </c>
    </row>
    <row r="668" spans="1:6" ht="19.5" customHeight="1" thickTop="1" thickBot="1" x14ac:dyDescent="0.25">
      <c r="A668" s="33" t="str">
        <f>مهن[[#This Row],[الدرجة]]&amp;مهن[[#This Row],[المهنة]]</f>
        <v>4فني معمل ابحاث</v>
      </c>
      <c r="B668" s="24">
        <v>4</v>
      </c>
      <c r="C668" s="24" t="s">
        <v>498</v>
      </c>
      <c r="D668" s="24">
        <v>101</v>
      </c>
      <c r="E668" s="34" t="s">
        <v>1061</v>
      </c>
      <c r="F668" s="35" t="s">
        <v>1064</v>
      </c>
    </row>
    <row r="669" spans="1:6" ht="19.5" customHeight="1" thickTop="1" thickBot="1" x14ac:dyDescent="0.25">
      <c r="A669" s="33" t="str">
        <f>مهن[[#This Row],[الدرجة]]&amp;مهن[[#This Row],[المهنة]]</f>
        <v>5فني معمل ابحاث</v>
      </c>
      <c r="B669" s="24">
        <v>5</v>
      </c>
      <c r="C669" s="24" t="s">
        <v>500</v>
      </c>
      <c r="D669" s="24">
        <v>101</v>
      </c>
      <c r="E669" s="34" t="s">
        <v>1061</v>
      </c>
      <c r="F669" s="35" t="s">
        <v>1065</v>
      </c>
    </row>
    <row r="670" spans="1:6" ht="19.5" customHeight="1" thickTop="1" thickBot="1" x14ac:dyDescent="0.25">
      <c r="A670" s="33" t="str">
        <f>مهن[[#This Row],[الدرجة]]&amp;مهن[[#This Row],[المهنة]]</f>
        <v>6فني معمل ابحاث</v>
      </c>
      <c r="B670" s="24">
        <v>6</v>
      </c>
      <c r="C670" s="24" t="s">
        <v>502</v>
      </c>
      <c r="D670" s="24">
        <v>101</v>
      </c>
      <c r="E670" s="34" t="s">
        <v>1061</v>
      </c>
      <c r="F670" s="35" t="s">
        <v>1066</v>
      </c>
    </row>
    <row r="671" spans="1:6" ht="19.5" customHeight="1" thickTop="1" thickBot="1" x14ac:dyDescent="0.25">
      <c r="A671" s="33" t="str">
        <f>مهن[[#This Row],[الدرجة]]&amp;مهن[[#This Row],[المهنة]]</f>
        <v>7فني معمل ابحاث</v>
      </c>
      <c r="B671" s="24">
        <v>7</v>
      </c>
      <c r="C671" s="24" t="s">
        <v>504</v>
      </c>
      <c r="D671" s="24">
        <v>101</v>
      </c>
      <c r="E671" s="34" t="s">
        <v>1061</v>
      </c>
      <c r="F671" s="35" t="s">
        <v>1067</v>
      </c>
    </row>
    <row r="672" spans="1:6" ht="19.5" customHeight="1" thickTop="1" thickBot="1" x14ac:dyDescent="0.25">
      <c r="A672" s="33" t="str">
        <f>مهن[[#This Row],[الدرجة]]&amp;مهن[[#This Row],[المهنة]]</f>
        <v>8فني معمل ابحاث</v>
      </c>
      <c r="B672" s="24">
        <v>8</v>
      </c>
      <c r="C672" s="24" t="s">
        <v>506</v>
      </c>
      <c r="D672" s="24">
        <v>101</v>
      </c>
      <c r="E672" s="34" t="s">
        <v>1061</v>
      </c>
      <c r="F672" s="35" t="s">
        <v>1061</v>
      </c>
    </row>
    <row r="673" spans="1:6" ht="19.5" customHeight="1" thickTop="1" thickBot="1" x14ac:dyDescent="0.25">
      <c r="A673" s="33" t="str">
        <f>مهن[[#This Row],[الدرجة]]&amp;مهن[[#This Row],[المهنة]]</f>
        <v>2فنى معمل تحاليل</v>
      </c>
      <c r="B673" s="24">
        <v>2</v>
      </c>
      <c r="C673" s="24" t="s">
        <v>493</v>
      </c>
      <c r="D673" s="24">
        <v>102</v>
      </c>
      <c r="E673" s="34" t="s">
        <v>1068</v>
      </c>
      <c r="F673" s="35" t="s">
        <v>1069</v>
      </c>
    </row>
    <row r="674" spans="1:6" ht="19.5" customHeight="1" thickTop="1" thickBot="1" x14ac:dyDescent="0.25">
      <c r="A674" s="33" t="str">
        <f>مهن[[#This Row],[الدرجة]]&amp;مهن[[#This Row],[المهنة]]</f>
        <v>3فنى معمل تحاليل</v>
      </c>
      <c r="B674" s="24">
        <v>3</v>
      </c>
      <c r="C674" s="24" t="s">
        <v>496</v>
      </c>
      <c r="D674" s="24">
        <v>102</v>
      </c>
      <c r="E674" s="34" t="s">
        <v>1068</v>
      </c>
      <c r="F674" s="35" t="s">
        <v>1063</v>
      </c>
    </row>
    <row r="675" spans="1:6" ht="19.5" customHeight="1" thickTop="1" thickBot="1" x14ac:dyDescent="0.25">
      <c r="A675" s="33" t="str">
        <f>مهن[[#This Row],[الدرجة]]&amp;مهن[[#This Row],[المهنة]]</f>
        <v>4فنى معمل تحاليل</v>
      </c>
      <c r="B675" s="24">
        <v>4</v>
      </c>
      <c r="C675" s="24" t="s">
        <v>498</v>
      </c>
      <c r="D675" s="24">
        <v>102</v>
      </c>
      <c r="E675" s="34" t="s">
        <v>1068</v>
      </c>
      <c r="F675" s="35" t="s">
        <v>1070</v>
      </c>
    </row>
    <row r="676" spans="1:6" ht="19.5" customHeight="1" thickTop="1" thickBot="1" x14ac:dyDescent="0.25">
      <c r="A676" s="33" t="str">
        <f>مهن[[#This Row],[الدرجة]]&amp;مهن[[#This Row],[المهنة]]</f>
        <v>5فنى معمل تحاليل</v>
      </c>
      <c r="B676" s="24">
        <v>5</v>
      </c>
      <c r="C676" s="24" t="s">
        <v>500</v>
      </c>
      <c r="D676" s="24">
        <v>102</v>
      </c>
      <c r="E676" s="34" t="s">
        <v>1068</v>
      </c>
      <c r="F676" s="35" t="s">
        <v>1071</v>
      </c>
    </row>
    <row r="677" spans="1:6" ht="19.5" customHeight="1" thickTop="1" thickBot="1" x14ac:dyDescent="0.25">
      <c r="A677" s="33" t="str">
        <f>مهن[[#This Row],[الدرجة]]&amp;مهن[[#This Row],[المهنة]]</f>
        <v>6فنى معمل تحاليل</v>
      </c>
      <c r="B677" s="24">
        <v>6</v>
      </c>
      <c r="C677" s="24" t="s">
        <v>502</v>
      </c>
      <c r="D677" s="24">
        <v>102</v>
      </c>
      <c r="E677" s="34" t="s">
        <v>1068</v>
      </c>
      <c r="F677" s="35" t="s">
        <v>1072</v>
      </c>
    </row>
    <row r="678" spans="1:6" ht="19.5" customHeight="1" thickTop="1" thickBot="1" x14ac:dyDescent="0.25">
      <c r="A678" s="33" t="str">
        <f>مهن[[#This Row],[الدرجة]]&amp;مهن[[#This Row],[المهنة]]</f>
        <v>7فنى معمل تحاليل</v>
      </c>
      <c r="B678" s="24">
        <v>7</v>
      </c>
      <c r="C678" s="24" t="s">
        <v>504</v>
      </c>
      <c r="D678" s="24">
        <v>102</v>
      </c>
      <c r="E678" s="34" t="s">
        <v>1068</v>
      </c>
      <c r="F678" s="35" t="s">
        <v>1073</v>
      </c>
    </row>
    <row r="679" spans="1:6" ht="19.5" customHeight="1" thickTop="1" thickBot="1" x14ac:dyDescent="0.25">
      <c r="A679" s="33" t="str">
        <f>مهن[[#This Row],[الدرجة]]&amp;مهن[[#This Row],[المهنة]]</f>
        <v>8فنى معمل تحاليل</v>
      </c>
      <c r="B679" s="24">
        <v>8</v>
      </c>
      <c r="C679" s="24" t="s">
        <v>506</v>
      </c>
      <c r="D679" s="24">
        <v>102</v>
      </c>
      <c r="E679" s="34" t="s">
        <v>1068</v>
      </c>
      <c r="F679" s="35" t="s">
        <v>1074</v>
      </c>
    </row>
    <row r="680" spans="1:6" ht="19.5" customHeight="1" thickTop="1" thickBot="1" x14ac:dyDescent="0.25">
      <c r="A680" s="33" t="str">
        <f>مهن[[#This Row],[الدرجة]]&amp;مهن[[#This Row],[المهنة]]</f>
        <v>2فنى معمل اشعة</v>
      </c>
      <c r="B680" s="24">
        <v>2</v>
      </c>
      <c r="C680" s="24" t="s">
        <v>493</v>
      </c>
      <c r="D680" s="24">
        <v>103</v>
      </c>
      <c r="E680" s="34" t="s">
        <v>1075</v>
      </c>
      <c r="F680" s="35" t="s">
        <v>1076</v>
      </c>
    </row>
    <row r="681" spans="1:6" ht="19.5" customHeight="1" thickTop="1" thickBot="1" x14ac:dyDescent="0.25">
      <c r="A681" s="33" t="str">
        <f>مهن[[#This Row],[الدرجة]]&amp;مهن[[#This Row],[المهنة]]</f>
        <v>3فنى معمل اشعة</v>
      </c>
      <c r="B681" s="24">
        <v>3</v>
      </c>
      <c r="C681" s="24" t="s">
        <v>496</v>
      </c>
      <c r="D681" s="24">
        <v>103</v>
      </c>
      <c r="E681" s="34" t="s">
        <v>1075</v>
      </c>
      <c r="F681" s="35" t="s">
        <v>1077</v>
      </c>
    </row>
    <row r="682" spans="1:6" ht="19.5" customHeight="1" thickTop="1" thickBot="1" x14ac:dyDescent="0.25">
      <c r="A682" s="33" t="str">
        <f>مهن[[#This Row],[الدرجة]]&amp;مهن[[#This Row],[المهنة]]</f>
        <v>4فنى معمل اشعة</v>
      </c>
      <c r="B682" s="24">
        <v>4</v>
      </c>
      <c r="C682" s="24" t="s">
        <v>498</v>
      </c>
      <c r="D682" s="24">
        <v>103</v>
      </c>
      <c r="E682" s="34" t="s">
        <v>1075</v>
      </c>
      <c r="F682" s="35" t="s">
        <v>1078</v>
      </c>
    </row>
    <row r="683" spans="1:6" ht="19.5" customHeight="1" thickTop="1" thickBot="1" x14ac:dyDescent="0.25">
      <c r="A683" s="33" t="str">
        <f>مهن[[#This Row],[الدرجة]]&amp;مهن[[#This Row],[المهنة]]</f>
        <v>5فنى معمل اشعة</v>
      </c>
      <c r="B683" s="24">
        <v>5</v>
      </c>
      <c r="C683" s="24" t="s">
        <v>500</v>
      </c>
      <c r="D683" s="24">
        <v>103</v>
      </c>
      <c r="E683" s="34" t="s">
        <v>1075</v>
      </c>
      <c r="F683" s="35" t="s">
        <v>1079</v>
      </c>
    </row>
    <row r="684" spans="1:6" ht="19.5" customHeight="1" thickTop="1" thickBot="1" x14ac:dyDescent="0.25">
      <c r="A684" s="33" t="str">
        <f>مهن[[#This Row],[الدرجة]]&amp;مهن[[#This Row],[المهنة]]</f>
        <v>6فنى معمل اشعة</v>
      </c>
      <c r="B684" s="24">
        <v>6</v>
      </c>
      <c r="C684" s="24" t="s">
        <v>502</v>
      </c>
      <c r="D684" s="24">
        <v>103</v>
      </c>
      <c r="E684" s="34" t="s">
        <v>1075</v>
      </c>
      <c r="F684" s="35" t="s">
        <v>1080</v>
      </c>
    </row>
    <row r="685" spans="1:6" ht="19.5" customHeight="1" thickTop="1" thickBot="1" x14ac:dyDescent="0.25">
      <c r="A685" s="33" t="str">
        <f>مهن[[#This Row],[الدرجة]]&amp;مهن[[#This Row],[المهنة]]</f>
        <v>7فنى معمل اشعة</v>
      </c>
      <c r="B685" s="24">
        <v>7</v>
      </c>
      <c r="C685" s="24" t="s">
        <v>504</v>
      </c>
      <c r="D685" s="24">
        <v>103</v>
      </c>
      <c r="E685" s="34" t="s">
        <v>1075</v>
      </c>
      <c r="F685" s="35" t="s">
        <v>1081</v>
      </c>
    </row>
    <row r="686" spans="1:6" ht="19.5" customHeight="1" thickTop="1" thickBot="1" x14ac:dyDescent="0.25">
      <c r="A686" s="33" t="str">
        <f>مهن[[#This Row],[الدرجة]]&amp;مهن[[#This Row],[المهنة]]</f>
        <v>8فنى معمل اشعة</v>
      </c>
      <c r="B686" s="24">
        <v>8</v>
      </c>
      <c r="C686" s="24" t="s">
        <v>506</v>
      </c>
      <c r="D686" s="24">
        <v>103</v>
      </c>
      <c r="E686" s="34" t="s">
        <v>1075</v>
      </c>
      <c r="F686" s="35" t="s">
        <v>1082</v>
      </c>
    </row>
    <row r="687" spans="1:6" ht="19.5" customHeight="1" thickTop="1" thickBot="1" x14ac:dyDescent="0.25">
      <c r="A687" s="33" t="str">
        <f>مهن[[#This Row],[الدرجة]]&amp;مهن[[#This Row],[المهنة]]</f>
        <v>2ممرض و ممرضة</v>
      </c>
      <c r="B687" s="24">
        <v>2</v>
      </c>
      <c r="C687" s="24" t="s">
        <v>493</v>
      </c>
      <c r="D687" s="24">
        <v>104</v>
      </c>
      <c r="E687" s="34" t="s">
        <v>1083</v>
      </c>
      <c r="F687" s="35" t="s">
        <v>1084</v>
      </c>
    </row>
    <row r="688" spans="1:6" ht="19.5" customHeight="1" thickTop="1" thickBot="1" x14ac:dyDescent="0.25">
      <c r="A688" s="33" t="str">
        <f>مهن[[#This Row],[الدرجة]]&amp;مهن[[#This Row],[المهنة]]</f>
        <v>3ممرض و ممرضة</v>
      </c>
      <c r="B688" s="24">
        <v>3</v>
      </c>
      <c r="C688" s="24" t="s">
        <v>496</v>
      </c>
      <c r="D688" s="24">
        <v>104</v>
      </c>
      <c r="E688" s="34" t="s">
        <v>1083</v>
      </c>
      <c r="F688" s="35" t="s">
        <v>1085</v>
      </c>
    </row>
    <row r="689" spans="1:6" ht="19.5" customHeight="1" thickTop="1" thickBot="1" x14ac:dyDescent="0.25">
      <c r="A689" s="33" t="str">
        <f>مهن[[#This Row],[الدرجة]]&amp;مهن[[#This Row],[المهنة]]</f>
        <v>4ممرض و ممرضة</v>
      </c>
      <c r="B689" s="24">
        <v>4</v>
      </c>
      <c r="C689" s="24" t="s">
        <v>498</v>
      </c>
      <c r="D689" s="24">
        <v>104</v>
      </c>
      <c r="E689" s="34" t="s">
        <v>1083</v>
      </c>
      <c r="F689" s="35" t="s">
        <v>1086</v>
      </c>
    </row>
    <row r="690" spans="1:6" ht="19.5" customHeight="1" thickTop="1" thickBot="1" x14ac:dyDescent="0.25">
      <c r="A690" s="33" t="str">
        <f>مهن[[#This Row],[الدرجة]]&amp;مهن[[#This Row],[المهنة]]</f>
        <v>5ممرض و ممرضة</v>
      </c>
      <c r="B690" s="24">
        <v>5</v>
      </c>
      <c r="C690" s="24" t="s">
        <v>500</v>
      </c>
      <c r="D690" s="24">
        <v>104</v>
      </c>
      <c r="E690" s="34" t="s">
        <v>1083</v>
      </c>
      <c r="F690" s="35" t="s">
        <v>1087</v>
      </c>
    </row>
    <row r="691" spans="1:6" ht="19.5" customHeight="1" thickTop="1" thickBot="1" x14ac:dyDescent="0.25">
      <c r="A691" s="33" t="str">
        <f>مهن[[#This Row],[الدرجة]]&amp;مهن[[#This Row],[المهنة]]</f>
        <v>6ممرض و ممرضة</v>
      </c>
      <c r="B691" s="24">
        <v>6</v>
      </c>
      <c r="C691" s="24" t="s">
        <v>502</v>
      </c>
      <c r="D691" s="24">
        <v>104</v>
      </c>
      <c r="E691" s="34" t="s">
        <v>1083</v>
      </c>
      <c r="F691" s="35" t="s">
        <v>1088</v>
      </c>
    </row>
    <row r="692" spans="1:6" ht="19.5" customHeight="1" thickTop="1" thickBot="1" x14ac:dyDescent="0.25">
      <c r="A692" s="33" t="str">
        <f>مهن[[#This Row],[الدرجة]]&amp;مهن[[#This Row],[المهنة]]</f>
        <v>7ممرض و ممرضة</v>
      </c>
      <c r="B692" s="24">
        <v>7</v>
      </c>
      <c r="C692" s="24" t="s">
        <v>504</v>
      </c>
      <c r="D692" s="24">
        <v>104</v>
      </c>
      <c r="E692" s="34" t="s">
        <v>1083</v>
      </c>
      <c r="F692" s="35" t="s">
        <v>1089</v>
      </c>
    </row>
    <row r="693" spans="1:6" ht="19.5" customHeight="1" thickTop="1" thickBot="1" x14ac:dyDescent="0.25">
      <c r="A693" s="33" t="str">
        <f>مهن[[#This Row],[الدرجة]]&amp;مهن[[#This Row],[المهنة]]</f>
        <v>8ممرض و ممرضة</v>
      </c>
      <c r="B693" s="24">
        <v>8</v>
      </c>
      <c r="C693" s="24" t="s">
        <v>506</v>
      </c>
      <c r="D693" s="24">
        <v>104</v>
      </c>
      <c r="E693" s="34" t="s">
        <v>1083</v>
      </c>
      <c r="F693" s="35" t="s">
        <v>1090</v>
      </c>
    </row>
    <row r="694" spans="1:6" ht="19.5" customHeight="1" thickTop="1" thickBot="1" x14ac:dyDescent="0.25">
      <c r="A694" s="33" t="str">
        <f>مهن[[#This Row],[الدرجة]]&amp;مهن[[#This Row],[المهنة]]</f>
        <v>2مساعد صيدلية</v>
      </c>
      <c r="B694" s="24">
        <v>2</v>
      </c>
      <c r="C694" s="24" t="s">
        <v>493</v>
      </c>
      <c r="D694" s="24">
        <v>105</v>
      </c>
      <c r="E694" s="34" t="s">
        <v>1091</v>
      </c>
      <c r="F694" s="35" t="s">
        <v>1092</v>
      </c>
    </row>
    <row r="695" spans="1:6" ht="19.5" customHeight="1" thickTop="1" thickBot="1" x14ac:dyDescent="0.25">
      <c r="A695" s="33" t="str">
        <f>مهن[[#This Row],[الدرجة]]&amp;مهن[[#This Row],[المهنة]]</f>
        <v>3مساعد صيدلية</v>
      </c>
      <c r="B695" s="24">
        <v>3</v>
      </c>
      <c r="C695" s="24" t="s">
        <v>496</v>
      </c>
      <c r="D695" s="24">
        <v>105</v>
      </c>
      <c r="E695" s="34" t="s">
        <v>1091</v>
      </c>
      <c r="F695" s="35" t="s">
        <v>1093</v>
      </c>
    </row>
    <row r="696" spans="1:6" ht="19.5" customHeight="1" thickTop="1" thickBot="1" x14ac:dyDescent="0.25">
      <c r="A696" s="33" t="str">
        <f>مهن[[#This Row],[الدرجة]]&amp;مهن[[#This Row],[المهنة]]</f>
        <v>4مساعد صيدلية</v>
      </c>
      <c r="B696" s="24">
        <v>4</v>
      </c>
      <c r="C696" s="24" t="s">
        <v>498</v>
      </c>
      <c r="D696" s="24">
        <v>105</v>
      </c>
      <c r="E696" s="34" t="s">
        <v>1091</v>
      </c>
      <c r="F696" s="35" t="s">
        <v>1094</v>
      </c>
    </row>
    <row r="697" spans="1:6" ht="19.5" customHeight="1" thickTop="1" thickBot="1" x14ac:dyDescent="0.25">
      <c r="A697" s="33" t="str">
        <f>مهن[[#This Row],[الدرجة]]&amp;مهن[[#This Row],[المهنة]]</f>
        <v>5مساعد صيدلية</v>
      </c>
      <c r="B697" s="24">
        <v>5</v>
      </c>
      <c r="C697" s="24" t="s">
        <v>500</v>
      </c>
      <c r="D697" s="24">
        <v>105</v>
      </c>
      <c r="E697" s="34" t="s">
        <v>1091</v>
      </c>
      <c r="F697" s="35" t="s">
        <v>1095</v>
      </c>
    </row>
    <row r="698" spans="1:6" ht="19.5" customHeight="1" thickTop="1" thickBot="1" x14ac:dyDescent="0.25">
      <c r="A698" s="33" t="str">
        <f>مهن[[#This Row],[الدرجة]]&amp;مهن[[#This Row],[المهنة]]</f>
        <v>6مساعد صيدلية</v>
      </c>
      <c r="B698" s="24">
        <v>6</v>
      </c>
      <c r="C698" s="24" t="s">
        <v>502</v>
      </c>
      <c r="D698" s="24">
        <v>105</v>
      </c>
      <c r="E698" s="34" t="s">
        <v>1091</v>
      </c>
      <c r="F698" s="35" t="s">
        <v>1096</v>
      </c>
    </row>
    <row r="699" spans="1:6" ht="19.5" customHeight="1" thickTop="1" thickBot="1" x14ac:dyDescent="0.25">
      <c r="A699" s="33" t="str">
        <f>مهن[[#This Row],[الدرجة]]&amp;مهن[[#This Row],[المهنة]]</f>
        <v>7مساعد صيدلية</v>
      </c>
      <c r="B699" s="24">
        <v>7</v>
      </c>
      <c r="C699" s="24" t="s">
        <v>504</v>
      </c>
      <c r="D699" s="24">
        <v>105</v>
      </c>
      <c r="E699" s="34" t="s">
        <v>1091</v>
      </c>
      <c r="F699" s="35" t="s">
        <v>1097</v>
      </c>
    </row>
    <row r="700" spans="1:6" ht="19.5" customHeight="1" thickTop="1" thickBot="1" x14ac:dyDescent="0.25">
      <c r="A700" s="33" t="str">
        <f>مهن[[#This Row],[الدرجة]]&amp;مهن[[#This Row],[المهنة]]</f>
        <v>8مساعد صيدلية</v>
      </c>
      <c r="B700" s="24">
        <v>8</v>
      </c>
      <c r="C700" s="24" t="s">
        <v>506</v>
      </c>
      <c r="D700" s="24">
        <v>105</v>
      </c>
      <c r="E700" s="34" t="s">
        <v>1091</v>
      </c>
      <c r="F700" s="35" t="s">
        <v>1098</v>
      </c>
    </row>
    <row r="701" spans="1:6" ht="19.5" customHeight="1" thickTop="1" thickBot="1" x14ac:dyDescent="0.25">
      <c r="A701" s="33" t="str">
        <f>مهن[[#This Row],[الدرجة]]&amp;مهن[[#This Row],[المهنة]]</f>
        <v>2فنى مساحة</v>
      </c>
      <c r="B701" s="24">
        <v>2</v>
      </c>
      <c r="C701" s="24" t="s">
        <v>493</v>
      </c>
      <c r="D701" s="24">
        <v>106</v>
      </c>
      <c r="E701" s="34" t="s">
        <v>1099</v>
      </c>
      <c r="F701" s="35" t="s">
        <v>1100</v>
      </c>
    </row>
    <row r="702" spans="1:6" ht="19.5" customHeight="1" thickTop="1" thickBot="1" x14ac:dyDescent="0.25">
      <c r="A702" s="33" t="str">
        <f>مهن[[#This Row],[الدرجة]]&amp;مهن[[#This Row],[المهنة]]</f>
        <v>3فنى مساحة</v>
      </c>
      <c r="B702" s="24">
        <v>3</v>
      </c>
      <c r="C702" s="24" t="s">
        <v>496</v>
      </c>
      <c r="D702" s="24">
        <v>106</v>
      </c>
      <c r="E702" s="34" t="s">
        <v>1099</v>
      </c>
      <c r="F702" s="35" t="s">
        <v>1101</v>
      </c>
    </row>
    <row r="703" spans="1:6" ht="19.5" customHeight="1" thickTop="1" thickBot="1" x14ac:dyDescent="0.25">
      <c r="A703" s="33" t="str">
        <f>مهن[[#This Row],[الدرجة]]&amp;مهن[[#This Row],[المهنة]]</f>
        <v>4فنى مساحة</v>
      </c>
      <c r="B703" s="24">
        <v>4</v>
      </c>
      <c r="C703" s="24" t="s">
        <v>498</v>
      </c>
      <c r="D703" s="24">
        <v>106</v>
      </c>
      <c r="E703" s="34" t="s">
        <v>1099</v>
      </c>
      <c r="F703" s="35" t="s">
        <v>1102</v>
      </c>
    </row>
    <row r="704" spans="1:6" ht="19.5" customHeight="1" thickTop="1" thickBot="1" x14ac:dyDescent="0.25">
      <c r="A704" s="33" t="str">
        <f>مهن[[#This Row],[الدرجة]]&amp;مهن[[#This Row],[المهنة]]</f>
        <v>5فنى مساحة</v>
      </c>
      <c r="B704" s="24">
        <v>5</v>
      </c>
      <c r="C704" s="24" t="s">
        <v>500</v>
      </c>
      <c r="D704" s="24">
        <v>106</v>
      </c>
      <c r="E704" s="34" t="s">
        <v>1099</v>
      </c>
      <c r="F704" s="35" t="s">
        <v>1103</v>
      </c>
    </row>
    <row r="705" spans="1:6" ht="19.5" customHeight="1" thickTop="1" thickBot="1" x14ac:dyDescent="0.25">
      <c r="A705" s="33" t="str">
        <f>مهن[[#This Row],[الدرجة]]&amp;مهن[[#This Row],[المهنة]]</f>
        <v>6فنى مساحة</v>
      </c>
      <c r="B705" s="24">
        <v>6</v>
      </c>
      <c r="C705" s="24" t="s">
        <v>502</v>
      </c>
      <c r="D705" s="24">
        <v>106</v>
      </c>
      <c r="E705" s="34" t="s">
        <v>1099</v>
      </c>
      <c r="F705" s="35" t="s">
        <v>1104</v>
      </c>
    </row>
    <row r="706" spans="1:6" ht="19.5" customHeight="1" thickTop="1" thickBot="1" x14ac:dyDescent="0.25">
      <c r="A706" s="33" t="str">
        <f>مهن[[#This Row],[الدرجة]]&amp;مهن[[#This Row],[المهنة]]</f>
        <v>7فنى مساحة</v>
      </c>
      <c r="B706" s="24">
        <v>7</v>
      </c>
      <c r="C706" s="24" t="s">
        <v>504</v>
      </c>
      <c r="D706" s="24">
        <v>106</v>
      </c>
      <c r="E706" s="34" t="s">
        <v>1099</v>
      </c>
      <c r="F706" s="35" t="s">
        <v>1105</v>
      </c>
    </row>
    <row r="707" spans="1:6" ht="19.5" customHeight="1" thickTop="1" thickBot="1" x14ac:dyDescent="0.25">
      <c r="A707" s="33" t="str">
        <f>مهن[[#This Row],[الدرجة]]&amp;مهن[[#This Row],[المهنة]]</f>
        <v>8فنى مساحة</v>
      </c>
      <c r="B707" s="24">
        <v>8</v>
      </c>
      <c r="C707" s="24" t="s">
        <v>506</v>
      </c>
      <c r="D707" s="24">
        <v>106</v>
      </c>
      <c r="E707" s="34" t="s">
        <v>1099</v>
      </c>
      <c r="F707" s="35" t="s">
        <v>1106</v>
      </c>
    </row>
    <row r="708" spans="1:6" ht="19.5" customHeight="1" thickTop="1" thickBot="1" x14ac:dyDescent="0.25">
      <c r="A708" s="33" t="str">
        <f>مهن[[#This Row],[الدرجة]]&amp;مهن[[#This Row],[المهنة]]</f>
        <v>2فنى نقش وزخرفة</v>
      </c>
      <c r="B708" s="24">
        <v>2</v>
      </c>
      <c r="C708" s="24" t="s">
        <v>493</v>
      </c>
      <c r="D708" s="24">
        <v>107</v>
      </c>
      <c r="E708" s="34" t="s">
        <v>1107</v>
      </c>
      <c r="F708" s="35" t="s">
        <v>1108</v>
      </c>
    </row>
    <row r="709" spans="1:6" ht="19.5" customHeight="1" thickTop="1" thickBot="1" x14ac:dyDescent="0.25">
      <c r="A709" s="33" t="str">
        <f>مهن[[#This Row],[الدرجة]]&amp;مهن[[#This Row],[المهنة]]</f>
        <v>3فنى نقش وزخرفة</v>
      </c>
      <c r="B709" s="24">
        <v>3</v>
      </c>
      <c r="C709" s="24" t="s">
        <v>496</v>
      </c>
      <c r="D709" s="24">
        <v>107</v>
      </c>
      <c r="E709" s="34" t="s">
        <v>1107</v>
      </c>
      <c r="F709" s="35" t="s">
        <v>1109</v>
      </c>
    </row>
    <row r="710" spans="1:6" ht="19.5" customHeight="1" thickTop="1" thickBot="1" x14ac:dyDescent="0.25">
      <c r="A710" s="33" t="str">
        <f>مهن[[#This Row],[الدرجة]]&amp;مهن[[#This Row],[المهنة]]</f>
        <v>4فنى نقش وزخرفة</v>
      </c>
      <c r="B710" s="24">
        <v>4</v>
      </c>
      <c r="C710" s="24" t="s">
        <v>498</v>
      </c>
      <c r="D710" s="24">
        <v>107</v>
      </c>
      <c r="E710" s="34" t="s">
        <v>1107</v>
      </c>
      <c r="F710" s="35" t="s">
        <v>1110</v>
      </c>
    </row>
    <row r="711" spans="1:6" ht="19.5" customHeight="1" thickTop="1" thickBot="1" x14ac:dyDescent="0.25">
      <c r="A711" s="33" t="str">
        <f>مهن[[#This Row],[الدرجة]]&amp;مهن[[#This Row],[المهنة]]</f>
        <v>5فنى نقش وزخرفة</v>
      </c>
      <c r="B711" s="24">
        <v>5</v>
      </c>
      <c r="C711" s="24" t="s">
        <v>500</v>
      </c>
      <c r="D711" s="24">
        <v>107</v>
      </c>
      <c r="E711" s="34" t="s">
        <v>1107</v>
      </c>
      <c r="F711" s="35" t="s">
        <v>1111</v>
      </c>
    </row>
    <row r="712" spans="1:6" ht="19.5" customHeight="1" thickTop="1" thickBot="1" x14ac:dyDescent="0.25">
      <c r="A712" s="33" t="str">
        <f>مهن[[#This Row],[الدرجة]]&amp;مهن[[#This Row],[المهنة]]</f>
        <v>6فنى نقش وزخرفة</v>
      </c>
      <c r="B712" s="24">
        <v>6</v>
      </c>
      <c r="C712" s="24" t="s">
        <v>502</v>
      </c>
      <c r="D712" s="24">
        <v>107</v>
      </c>
      <c r="E712" s="34" t="s">
        <v>1107</v>
      </c>
      <c r="F712" s="35" t="s">
        <v>1112</v>
      </c>
    </row>
    <row r="713" spans="1:6" ht="19.5" customHeight="1" thickTop="1" thickBot="1" x14ac:dyDescent="0.25">
      <c r="A713" s="33" t="str">
        <f>مهن[[#This Row],[الدرجة]]&amp;مهن[[#This Row],[المهنة]]</f>
        <v>7فنى نقش وزخرفة</v>
      </c>
      <c r="B713" s="24">
        <v>7</v>
      </c>
      <c r="C713" s="24" t="s">
        <v>504</v>
      </c>
      <c r="D713" s="24">
        <v>107</v>
      </c>
      <c r="E713" s="34" t="s">
        <v>1107</v>
      </c>
      <c r="F713" s="35" t="s">
        <v>1113</v>
      </c>
    </row>
    <row r="714" spans="1:6" ht="19.5" customHeight="1" thickTop="1" thickBot="1" x14ac:dyDescent="0.25">
      <c r="A714" s="33" t="str">
        <f>مهن[[#This Row],[الدرجة]]&amp;مهن[[#This Row],[المهنة]]</f>
        <v>8فنى نقش وزخرفة</v>
      </c>
      <c r="B714" s="24">
        <v>8</v>
      </c>
      <c r="C714" s="24" t="s">
        <v>506</v>
      </c>
      <c r="D714" s="24">
        <v>107</v>
      </c>
      <c r="E714" s="34" t="s">
        <v>1107</v>
      </c>
      <c r="F714" s="35" t="s">
        <v>1114</v>
      </c>
    </row>
    <row r="715" spans="1:6" ht="19.5" customHeight="1" thickTop="1" thickBot="1" x14ac:dyDescent="0.25">
      <c r="A715" s="33" t="str">
        <f>مهن[[#This Row],[الدرجة]]&amp;مهن[[#This Row],[المهنة]]</f>
        <v>2سائق جرار او بلدوزر</v>
      </c>
      <c r="B715" s="24">
        <v>2</v>
      </c>
      <c r="C715" s="24" t="s">
        <v>493</v>
      </c>
      <c r="D715" s="24">
        <v>108</v>
      </c>
      <c r="E715" s="34" t="s">
        <v>1115</v>
      </c>
      <c r="F715" s="35" t="s">
        <v>1116</v>
      </c>
    </row>
    <row r="716" spans="1:6" ht="19.5" customHeight="1" thickTop="1" thickBot="1" x14ac:dyDescent="0.25">
      <c r="A716" s="33" t="str">
        <f>مهن[[#This Row],[الدرجة]]&amp;مهن[[#This Row],[المهنة]]</f>
        <v>3سائق جرار او بلدوزر</v>
      </c>
      <c r="B716" s="24">
        <v>3</v>
      </c>
      <c r="C716" s="24" t="s">
        <v>496</v>
      </c>
      <c r="D716" s="24">
        <v>108</v>
      </c>
      <c r="E716" s="34" t="s">
        <v>1115</v>
      </c>
      <c r="F716" s="35" t="s">
        <v>1117</v>
      </c>
    </row>
    <row r="717" spans="1:6" ht="19.5" customHeight="1" thickTop="1" thickBot="1" x14ac:dyDescent="0.25">
      <c r="A717" s="33" t="str">
        <f>مهن[[#This Row],[الدرجة]]&amp;مهن[[#This Row],[المهنة]]</f>
        <v>4سائق جرار او بلدوزر</v>
      </c>
      <c r="B717" s="24">
        <v>4</v>
      </c>
      <c r="C717" s="24" t="s">
        <v>498</v>
      </c>
      <c r="D717" s="24">
        <v>108</v>
      </c>
      <c r="E717" s="34" t="s">
        <v>1115</v>
      </c>
      <c r="F717" s="35" t="s">
        <v>1118</v>
      </c>
    </row>
    <row r="718" spans="1:6" ht="19.5" customHeight="1" thickTop="1" thickBot="1" x14ac:dyDescent="0.25">
      <c r="A718" s="33" t="str">
        <f>مهن[[#This Row],[الدرجة]]&amp;مهن[[#This Row],[المهنة]]</f>
        <v>5سائق جرار او بلدوزر</v>
      </c>
      <c r="B718" s="24">
        <v>5</v>
      </c>
      <c r="C718" s="24" t="s">
        <v>500</v>
      </c>
      <c r="D718" s="24">
        <v>108</v>
      </c>
      <c r="E718" s="34" t="s">
        <v>1115</v>
      </c>
      <c r="F718" s="35" t="s">
        <v>1119</v>
      </c>
    </row>
    <row r="719" spans="1:6" ht="19.5" customHeight="1" thickTop="1" thickBot="1" x14ac:dyDescent="0.25">
      <c r="A719" s="33" t="str">
        <f>مهن[[#This Row],[الدرجة]]&amp;مهن[[#This Row],[المهنة]]</f>
        <v>6سائق جرار او بلدوزر</v>
      </c>
      <c r="B719" s="24">
        <v>6</v>
      </c>
      <c r="C719" s="24" t="s">
        <v>502</v>
      </c>
      <c r="D719" s="24">
        <v>108</v>
      </c>
      <c r="E719" s="34" t="s">
        <v>1115</v>
      </c>
      <c r="F719" s="35" t="s">
        <v>1120</v>
      </c>
    </row>
    <row r="720" spans="1:6" ht="19.5" customHeight="1" thickTop="1" thickBot="1" x14ac:dyDescent="0.25">
      <c r="A720" s="33" t="str">
        <f>مهن[[#This Row],[الدرجة]]&amp;مهن[[#This Row],[المهنة]]</f>
        <v>7سائق جرار او بلدوزر</v>
      </c>
      <c r="B720" s="24">
        <v>7</v>
      </c>
      <c r="C720" s="24" t="s">
        <v>504</v>
      </c>
      <c r="D720" s="24">
        <v>108</v>
      </c>
      <c r="E720" s="34" t="s">
        <v>1115</v>
      </c>
      <c r="F720" s="35" t="s">
        <v>1121</v>
      </c>
    </row>
    <row r="721" spans="1:6" ht="19.5" customHeight="1" thickTop="1" thickBot="1" x14ac:dyDescent="0.25">
      <c r="A721" s="33" t="str">
        <f>مهن[[#This Row],[الدرجة]]&amp;مهن[[#This Row],[المهنة]]</f>
        <v>8سائق جرار او بلدوزر</v>
      </c>
      <c r="B721" s="24">
        <v>8</v>
      </c>
      <c r="C721" s="24" t="s">
        <v>506</v>
      </c>
      <c r="D721" s="24">
        <v>108</v>
      </c>
      <c r="E721" s="34" t="s">
        <v>1115</v>
      </c>
      <c r="F721" s="35" t="s">
        <v>1122</v>
      </c>
    </row>
    <row r="722" spans="1:6" ht="19.5" customHeight="1" thickTop="1" thickBot="1" x14ac:dyDescent="0.25">
      <c r="A722" s="33" t="str">
        <f>مهن[[#This Row],[الدرجة]]&amp;مهن[[#This Row],[المهنة]]</f>
        <v>2فنى تشكيل لدائن مقواة</v>
      </c>
      <c r="B722" s="24">
        <v>2</v>
      </c>
      <c r="C722" s="24" t="s">
        <v>493</v>
      </c>
      <c r="D722" s="24">
        <v>109</v>
      </c>
      <c r="E722" s="34" t="s">
        <v>1123</v>
      </c>
      <c r="F722" s="35" t="s">
        <v>1124</v>
      </c>
    </row>
    <row r="723" spans="1:6" ht="19.5" customHeight="1" thickTop="1" thickBot="1" x14ac:dyDescent="0.25">
      <c r="A723" s="33" t="str">
        <f>مهن[[#This Row],[الدرجة]]&amp;مهن[[#This Row],[المهنة]]</f>
        <v>3فنى تشكيل لدائن مقواة</v>
      </c>
      <c r="B723" s="24">
        <v>3</v>
      </c>
      <c r="C723" s="24" t="s">
        <v>496</v>
      </c>
      <c r="D723" s="24">
        <v>109</v>
      </c>
      <c r="E723" s="34" t="s">
        <v>1123</v>
      </c>
      <c r="F723" s="35" t="s">
        <v>1125</v>
      </c>
    </row>
    <row r="724" spans="1:6" ht="19.5" customHeight="1" thickTop="1" thickBot="1" x14ac:dyDescent="0.25">
      <c r="A724" s="33" t="str">
        <f>مهن[[#This Row],[الدرجة]]&amp;مهن[[#This Row],[المهنة]]</f>
        <v>4فنى تشكيل لدائن مقواة</v>
      </c>
      <c r="B724" s="24">
        <v>4</v>
      </c>
      <c r="C724" s="24" t="s">
        <v>498</v>
      </c>
      <c r="D724" s="24">
        <v>109</v>
      </c>
      <c r="E724" s="34" t="s">
        <v>1123</v>
      </c>
      <c r="F724" s="35" t="s">
        <v>1126</v>
      </c>
    </row>
    <row r="725" spans="1:6" ht="19.5" customHeight="1" thickTop="1" thickBot="1" x14ac:dyDescent="0.25">
      <c r="A725" s="33" t="str">
        <f>مهن[[#This Row],[الدرجة]]&amp;مهن[[#This Row],[المهنة]]</f>
        <v>5فنى تشكيل لدائن مقواة</v>
      </c>
      <c r="B725" s="24">
        <v>5</v>
      </c>
      <c r="C725" s="24" t="s">
        <v>500</v>
      </c>
      <c r="D725" s="24">
        <v>109</v>
      </c>
      <c r="E725" s="34" t="s">
        <v>1123</v>
      </c>
      <c r="F725" s="35" t="s">
        <v>1127</v>
      </c>
    </row>
    <row r="726" spans="1:6" ht="19.5" customHeight="1" thickTop="1" thickBot="1" x14ac:dyDescent="0.25">
      <c r="A726" s="33" t="str">
        <f>مهن[[#This Row],[الدرجة]]&amp;مهن[[#This Row],[المهنة]]</f>
        <v>6فنى تشكيل لدائن مقواة</v>
      </c>
      <c r="B726" s="24">
        <v>6</v>
      </c>
      <c r="C726" s="24" t="s">
        <v>502</v>
      </c>
      <c r="D726" s="24">
        <v>109</v>
      </c>
      <c r="E726" s="34" t="s">
        <v>1123</v>
      </c>
      <c r="F726" s="35" t="s">
        <v>1128</v>
      </c>
    </row>
    <row r="727" spans="1:6" ht="19.5" customHeight="1" thickTop="1" thickBot="1" x14ac:dyDescent="0.25">
      <c r="A727" s="33" t="str">
        <f>مهن[[#This Row],[الدرجة]]&amp;مهن[[#This Row],[المهنة]]</f>
        <v>7فنى تشكيل لدائن مقواة</v>
      </c>
      <c r="B727" s="24">
        <v>7</v>
      </c>
      <c r="C727" s="24" t="s">
        <v>504</v>
      </c>
      <c r="D727" s="24">
        <v>109</v>
      </c>
      <c r="E727" s="34" t="s">
        <v>1123</v>
      </c>
      <c r="F727" s="35" t="s">
        <v>1129</v>
      </c>
    </row>
    <row r="728" spans="1:6" ht="19.5" customHeight="1" thickTop="1" thickBot="1" x14ac:dyDescent="0.25">
      <c r="A728" s="33" t="str">
        <f>مهن[[#This Row],[الدرجة]]&amp;مهن[[#This Row],[المهنة]]</f>
        <v>8فنى تشكيل لدائن مقواة</v>
      </c>
      <c r="B728" s="24">
        <v>8</v>
      </c>
      <c r="C728" s="24" t="s">
        <v>506</v>
      </c>
      <c r="D728" s="24">
        <v>109</v>
      </c>
      <c r="E728" s="34" t="s">
        <v>1123</v>
      </c>
      <c r="F728" s="35" t="s">
        <v>1130</v>
      </c>
    </row>
    <row r="729" spans="1:6" ht="19.5" customHeight="1" thickTop="1" thickBot="1" x14ac:dyDescent="0.25">
      <c r="A729" s="33" t="str">
        <f>مهن[[#This Row],[الدرجة]]&amp;مهن[[#This Row],[المهنة]]</f>
        <v>2فنى معمل اسنان</v>
      </c>
      <c r="B729" s="24">
        <v>2</v>
      </c>
      <c r="C729" s="24" t="s">
        <v>493</v>
      </c>
      <c r="D729" s="24">
        <v>110</v>
      </c>
      <c r="E729" s="34" t="s">
        <v>1131</v>
      </c>
      <c r="F729" s="35" t="s">
        <v>1132</v>
      </c>
    </row>
    <row r="730" spans="1:6" ht="19.5" customHeight="1" thickTop="1" thickBot="1" x14ac:dyDescent="0.25">
      <c r="A730" s="33" t="str">
        <f>مهن[[#This Row],[الدرجة]]&amp;مهن[[#This Row],[المهنة]]</f>
        <v>3فنى معمل اسنان</v>
      </c>
      <c r="B730" s="24">
        <v>3</v>
      </c>
      <c r="C730" s="24" t="s">
        <v>496</v>
      </c>
      <c r="D730" s="24">
        <v>110</v>
      </c>
      <c r="E730" s="34" t="s">
        <v>1131</v>
      </c>
      <c r="F730" s="35" t="s">
        <v>1133</v>
      </c>
    </row>
    <row r="731" spans="1:6" ht="19.5" customHeight="1" thickTop="1" thickBot="1" x14ac:dyDescent="0.25">
      <c r="A731" s="33" t="str">
        <f>مهن[[#This Row],[الدرجة]]&amp;مهن[[#This Row],[المهنة]]</f>
        <v>4فنى معمل اسنان</v>
      </c>
      <c r="B731" s="24">
        <v>4</v>
      </c>
      <c r="C731" s="24" t="s">
        <v>498</v>
      </c>
      <c r="D731" s="24">
        <v>110</v>
      </c>
      <c r="E731" s="34" t="s">
        <v>1131</v>
      </c>
      <c r="F731" s="35" t="s">
        <v>1134</v>
      </c>
    </row>
    <row r="732" spans="1:6" ht="19.5" customHeight="1" thickTop="1" thickBot="1" x14ac:dyDescent="0.25">
      <c r="A732" s="33" t="str">
        <f>مهن[[#This Row],[الدرجة]]&amp;مهن[[#This Row],[المهنة]]</f>
        <v>5فنى معمل اسنان</v>
      </c>
      <c r="B732" s="24">
        <v>5</v>
      </c>
      <c r="C732" s="24" t="s">
        <v>500</v>
      </c>
      <c r="D732" s="24">
        <v>110</v>
      </c>
      <c r="E732" s="34" t="s">
        <v>1131</v>
      </c>
      <c r="F732" s="35" t="s">
        <v>1135</v>
      </c>
    </row>
    <row r="733" spans="1:6" ht="19.5" customHeight="1" thickTop="1" thickBot="1" x14ac:dyDescent="0.25">
      <c r="A733" s="33" t="str">
        <f>مهن[[#This Row],[الدرجة]]&amp;مهن[[#This Row],[المهنة]]</f>
        <v>6فنى معمل اسنان</v>
      </c>
      <c r="B733" s="24">
        <v>6</v>
      </c>
      <c r="C733" s="24" t="s">
        <v>502</v>
      </c>
      <c r="D733" s="24">
        <v>110</v>
      </c>
      <c r="E733" s="34" t="s">
        <v>1131</v>
      </c>
      <c r="F733" s="35" t="s">
        <v>1136</v>
      </c>
    </row>
    <row r="734" spans="1:6" ht="19.5" customHeight="1" thickTop="1" thickBot="1" x14ac:dyDescent="0.25">
      <c r="A734" s="33" t="str">
        <f>مهن[[#This Row],[الدرجة]]&amp;مهن[[#This Row],[المهنة]]</f>
        <v>7فنى معمل اسنان</v>
      </c>
      <c r="B734" s="24">
        <v>7</v>
      </c>
      <c r="C734" s="24" t="s">
        <v>504</v>
      </c>
      <c r="D734" s="24">
        <v>110</v>
      </c>
      <c r="E734" s="34" t="s">
        <v>1131</v>
      </c>
      <c r="F734" s="35" t="s">
        <v>1137</v>
      </c>
    </row>
    <row r="735" spans="1:6" ht="19.5" customHeight="1" thickTop="1" thickBot="1" x14ac:dyDescent="0.25">
      <c r="A735" s="33" t="str">
        <f>مهن[[#This Row],[الدرجة]]&amp;مهن[[#This Row],[المهنة]]</f>
        <v>8فنى معمل اسنان</v>
      </c>
      <c r="B735" s="24">
        <v>8</v>
      </c>
      <c r="C735" s="24" t="s">
        <v>506</v>
      </c>
      <c r="D735" s="24">
        <v>110</v>
      </c>
      <c r="E735" s="34" t="s">
        <v>1131</v>
      </c>
      <c r="F735" s="35" t="s">
        <v>1138</v>
      </c>
    </row>
    <row r="736" spans="1:6" ht="19.5" customHeight="1" thickTop="1" thickBot="1" x14ac:dyDescent="0.25">
      <c r="A736" s="33" t="str">
        <f>مهن[[#This Row],[الدرجة]]&amp;مهن[[#This Row],[المهنة]]</f>
        <v>4مساعد رئيس طاقم ونش عائم</v>
      </c>
      <c r="B736" s="24">
        <v>4</v>
      </c>
      <c r="C736" s="24" t="s">
        <v>498</v>
      </c>
      <c r="D736" s="24">
        <v>121</v>
      </c>
      <c r="E736" s="34" t="s">
        <v>1139</v>
      </c>
      <c r="F736" s="35" t="s">
        <v>1140</v>
      </c>
    </row>
    <row r="737" spans="1:6" ht="19.5" customHeight="1" thickTop="1" thickBot="1" x14ac:dyDescent="0.25">
      <c r="A737" s="33" t="str">
        <f>مهن[[#This Row],[الدرجة]]&amp;مهن[[#This Row],[المهنة]]</f>
        <v>5مساعد رئيس طاقم ونش عائم</v>
      </c>
      <c r="B737" s="24">
        <v>5</v>
      </c>
      <c r="C737" s="24" t="s">
        <v>500</v>
      </c>
      <c r="D737" s="24">
        <v>121</v>
      </c>
      <c r="E737" s="34" t="s">
        <v>1139</v>
      </c>
      <c r="F737" s="35" t="s">
        <v>1141</v>
      </c>
    </row>
    <row r="738" spans="1:6" ht="19.5" customHeight="1" thickTop="1" thickBot="1" x14ac:dyDescent="0.25">
      <c r="A738" s="33" t="str">
        <f>مهن[[#This Row],[الدرجة]]&amp;مهن[[#This Row],[المهنة]]</f>
        <v>6مساعد رئيس طاقم ونش عائم</v>
      </c>
      <c r="B738" s="24">
        <v>6</v>
      </c>
      <c r="C738" s="24" t="s">
        <v>502</v>
      </c>
      <c r="D738" s="24">
        <v>121</v>
      </c>
      <c r="E738" s="34" t="s">
        <v>1139</v>
      </c>
      <c r="F738" s="35" t="s">
        <v>1142</v>
      </c>
    </row>
    <row r="739" spans="1:6" ht="19.5" customHeight="1" thickTop="1" thickBot="1" x14ac:dyDescent="0.25">
      <c r="A739" s="33" t="str">
        <f>مهن[[#This Row],[الدرجة]]&amp;مهن[[#This Row],[المهنة]]</f>
        <v>7مساعد رئيس طاقم ونش عائم</v>
      </c>
      <c r="B739" s="24">
        <v>7</v>
      </c>
      <c r="C739" s="24" t="s">
        <v>504</v>
      </c>
      <c r="D739" s="24">
        <v>121</v>
      </c>
      <c r="E739" s="34" t="s">
        <v>1139</v>
      </c>
      <c r="F739" s="35" t="s">
        <v>1143</v>
      </c>
    </row>
    <row r="740" spans="1:6" ht="19.5" customHeight="1" thickTop="1" thickBot="1" x14ac:dyDescent="0.25">
      <c r="A740" s="33" t="str">
        <f>مهن[[#This Row],[الدرجة]]&amp;مهن[[#This Row],[المهنة]]</f>
        <v>2بحرى</v>
      </c>
      <c r="B740" s="24">
        <v>2</v>
      </c>
      <c r="C740" s="24" t="s">
        <v>493</v>
      </c>
      <c r="D740" s="24">
        <v>122</v>
      </c>
      <c r="E740" s="34" t="s">
        <v>1144</v>
      </c>
      <c r="F740" s="35" t="s">
        <v>1145</v>
      </c>
    </row>
    <row r="741" spans="1:6" ht="19.5" customHeight="1" thickTop="1" thickBot="1" x14ac:dyDescent="0.25">
      <c r="A741" s="33" t="str">
        <f>مهن[[#This Row],[الدرجة]]&amp;مهن[[#This Row],[المهنة]]</f>
        <v>3بحرى</v>
      </c>
      <c r="B741" s="24">
        <v>3</v>
      </c>
      <c r="C741" s="24" t="s">
        <v>496</v>
      </c>
      <c r="D741" s="24">
        <v>122</v>
      </c>
      <c r="E741" s="34" t="s">
        <v>1144</v>
      </c>
      <c r="F741" s="35" t="s">
        <v>1146</v>
      </c>
    </row>
    <row r="742" spans="1:6" ht="19.5" customHeight="1" thickTop="1" thickBot="1" x14ac:dyDescent="0.25">
      <c r="A742" s="33" t="str">
        <f>مهن[[#This Row],[الدرجة]]&amp;مهن[[#This Row],[المهنة]]</f>
        <v>4بحرى</v>
      </c>
      <c r="B742" s="24">
        <v>4</v>
      </c>
      <c r="C742" s="24" t="s">
        <v>498</v>
      </c>
      <c r="D742" s="24">
        <v>122</v>
      </c>
      <c r="E742" s="34" t="s">
        <v>1144</v>
      </c>
      <c r="F742" s="35" t="s">
        <v>1147</v>
      </c>
    </row>
    <row r="743" spans="1:6" ht="19.5" customHeight="1" thickTop="1" thickBot="1" x14ac:dyDescent="0.25">
      <c r="A743" s="33" t="str">
        <f>مهن[[#This Row],[الدرجة]]&amp;مهن[[#This Row],[المهنة]]</f>
        <v>5بحرى</v>
      </c>
      <c r="B743" s="24">
        <v>5</v>
      </c>
      <c r="C743" s="24" t="s">
        <v>500</v>
      </c>
      <c r="D743" s="24">
        <v>122</v>
      </c>
      <c r="E743" s="34" t="s">
        <v>1144</v>
      </c>
      <c r="F743" s="35" t="s">
        <v>1148</v>
      </c>
    </row>
    <row r="744" spans="1:6" ht="19.5" customHeight="1" thickTop="1" thickBot="1" x14ac:dyDescent="0.25">
      <c r="A744" s="33" t="str">
        <f>مهن[[#This Row],[الدرجة]]&amp;مهن[[#This Row],[المهنة]]</f>
        <v>6بحرى</v>
      </c>
      <c r="B744" s="24">
        <v>6</v>
      </c>
      <c r="C744" s="24" t="s">
        <v>502</v>
      </c>
      <c r="D744" s="24">
        <v>122</v>
      </c>
      <c r="E744" s="34" t="s">
        <v>1144</v>
      </c>
      <c r="F744" s="35" t="s">
        <v>1149</v>
      </c>
    </row>
    <row r="745" spans="1:6" ht="19.5" customHeight="1" thickTop="1" thickBot="1" x14ac:dyDescent="0.25">
      <c r="A745" s="33" t="str">
        <f>مهن[[#This Row],[الدرجة]]&amp;مهن[[#This Row],[المهنة]]</f>
        <v>7بحرى</v>
      </c>
      <c r="B745" s="24">
        <v>7</v>
      </c>
      <c r="C745" s="24" t="s">
        <v>504</v>
      </c>
      <c r="D745" s="24">
        <v>122</v>
      </c>
      <c r="E745" s="34" t="s">
        <v>1144</v>
      </c>
      <c r="F745" s="35" t="s">
        <v>1150</v>
      </c>
    </row>
    <row r="746" spans="1:6" ht="19.5" customHeight="1" thickTop="1" thickBot="1" x14ac:dyDescent="0.25">
      <c r="A746" s="33" t="str">
        <f>مهن[[#This Row],[الدرجة]]&amp;مهن[[#This Row],[المهنة]]</f>
        <v>8بحرى</v>
      </c>
      <c r="B746" s="24">
        <v>8</v>
      </c>
      <c r="C746" s="24" t="s">
        <v>506</v>
      </c>
      <c r="D746" s="24">
        <v>122</v>
      </c>
      <c r="E746" s="34" t="s">
        <v>1144</v>
      </c>
      <c r="F746" s="35" t="s">
        <v>1151</v>
      </c>
    </row>
    <row r="747" spans="1:6" ht="19.5" customHeight="1" thickTop="1" thickBot="1" x14ac:dyDescent="0.25">
      <c r="A747" s="33" t="str">
        <f>مهن[[#This Row],[الدرجة]]&amp;مهن[[#This Row],[المهنة]]</f>
        <v>9بحرى</v>
      </c>
      <c r="B747" s="24">
        <v>9</v>
      </c>
      <c r="C747" s="24" t="s">
        <v>1152</v>
      </c>
      <c r="D747" s="24">
        <v>122</v>
      </c>
      <c r="E747" s="34" t="s">
        <v>1144</v>
      </c>
      <c r="F747" s="35" t="s">
        <v>1153</v>
      </c>
    </row>
    <row r="748" spans="1:6" ht="19.5" customHeight="1" thickTop="1" thickBot="1" x14ac:dyDescent="0.25">
      <c r="A748" s="33" t="str">
        <f>مهن[[#This Row],[الدرجة]]&amp;مهن[[#This Row],[المهنة]]</f>
        <v>4مساعد ريس تكريك</v>
      </c>
      <c r="B748" s="24">
        <v>4</v>
      </c>
      <c r="C748" s="24" t="s">
        <v>498</v>
      </c>
      <c r="D748" s="24">
        <v>123</v>
      </c>
      <c r="E748" s="34" t="s">
        <v>1154</v>
      </c>
      <c r="F748" s="35" t="s">
        <v>1155</v>
      </c>
    </row>
    <row r="749" spans="1:6" ht="19.5" customHeight="1" thickTop="1" thickBot="1" x14ac:dyDescent="0.25">
      <c r="A749" s="33" t="str">
        <f>مهن[[#This Row],[الدرجة]]&amp;مهن[[#This Row],[المهنة]]</f>
        <v>5مساعد ريس تكريك</v>
      </c>
      <c r="B749" s="24">
        <v>5</v>
      </c>
      <c r="C749" s="24" t="s">
        <v>500</v>
      </c>
      <c r="D749" s="24">
        <v>123</v>
      </c>
      <c r="E749" s="34" t="s">
        <v>1154</v>
      </c>
      <c r="F749" s="35" t="s">
        <v>1156</v>
      </c>
    </row>
    <row r="750" spans="1:6" ht="19.5" customHeight="1" thickTop="1" thickBot="1" x14ac:dyDescent="0.25">
      <c r="A750" s="33" t="str">
        <f>مهن[[#This Row],[الدرجة]]&amp;مهن[[#This Row],[المهنة]]</f>
        <v>6مساعد ريس تكريك</v>
      </c>
      <c r="B750" s="24">
        <v>6</v>
      </c>
      <c r="C750" s="24" t="s">
        <v>502</v>
      </c>
      <c r="D750" s="24">
        <v>123</v>
      </c>
      <c r="E750" s="34" t="s">
        <v>1154</v>
      </c>
      <c r="F750" s="35" t="s">
        <v>1157</v>
      </c>
    </row>
    <row r="751" spans="1:6" ht="19.5" customHeight="1" thickTop="1" thickBot="1" x14ac:dyDescent="0.25">
      <c r="A751" s="33" t="str">
        <f>مهن[[#This Row],[الدرجة]]&amp;مهن[[#This Row],[المهنة]]</f>
        <v>7مساعد ريس تكريك</v>
      </c>
      <c r="B751" s="24">
        <v>7</v>
      </c>
      <c r="C751" s="24" t="s">
        <v>504</v>
      </c>
      <c r="D751" s="24">
        <v>123</v>
      </c>
      <c r="E751" s="34" t="s">
        <v>1154</v>
      </c>
      <c r="F751" s="35" t="s">
        <v>1158</v>
      </c>
    </row>
    <row r="752" spans="1:6" ht="19.5" customHeight="1" thickTop="1" thickBot="1" x14ac:dyDescent="0.25">
      <c r="A752" s="33" t="str">
        <f>مهن[[#This Row],[الدرجة]]&amp;مهن[[#This Row],[المهنة]]</f>
        <v>8مساعد ريس تكريك</v>
      </c>
      <c r="B752" s="24">
        <v>8</v>
      </c>
      <c r="C752" s="24" t="s">
        <v>506</v>
      </c>
      <c r="D752" s="24">
        <v>123</v>
      </c>
      <c r="E752" s="34" t="s">
        <v>1154</v>
      </c>
      <c r="F752" s="35" t="s">
        <v>1159</v>
      </c>
    </row>
    <row r="753" spans="1:6" ht="19.5" customHeight="1" thickTop="1" thickBot="1" x14ac:dyDescent="0.25">
      <c r="A753" s="33" t="str">
        <f>مهن[[#This Row],[الدرجة]]&amp;مهن[[#This Row],[المهنة]]</f>
        <v>4بحرى كراكة</v>
      </c>
      <c r="B753" s="24">
        <v>4</v>
      </c>
      <c r="C753" s="24" t="s">
        <v>498</v>
      </c>
      <c r="D753" s="24">
        <v>124</v>
      </c>
      <c r="E753" s="34" t="s">
        <v>1160</v>
      </c>
      <c r="F753" s="35" t="s">
        <v>1161</v>
      </c>
    </row>
    <row r="754" spans="1:6" ht="19.5" customHeight="1" thickTop="1" thickBot="1" x14ac:dyDescent="0.25">
      <c r="A754" s="33" t="str">
        <f>مهن[[#This Row],[الدرجة]]&amp;مهن[[#This Row],[المهنة]]</f>
        <v>5بحرى كراكة</v>
      </c>
      <c r="B754" s="24">
        <v>5</v>
      </c>
      <c r="C754" s="24" t="s">
        <v>500</v>
      </c>
      <c r="D754" s="24">
        <v>124</v>
      </c>
      <c r="E754" s="34" t="s">
        <v>1160</v>
      </c>
      <c r="F754" s="35" t="s">
        <v>1162</v>
      </c>
    </row>
    <row r="755" spans="1:6" ht="19.5" customHeight="1" thickTop="1" thickBot="1" x14ac:dyDescent="0.25">
      <c r="A755" s="33" t="str">
        <f>مهن[[#This Row],[الدرجة]]&amp;مهن[[#This Row],[المهنة]]</f>
        <v>6بحرى كراكة</v>
      </c>
      <c r="B755" s="24">
        <v>6</v>
      </c>
      <c r="C755" s="24" t="s">
        <v>502</v>
      </c>
      <c r="D755" s="24">
        <v>124</v>
      </c>
      <c r="E755" s="34" t="s">
        <v>1160</v>
      </c>
      <c r="F755" s="35" t="s">
        <v>1163</v>
      </c>
    </row>
    <row r="756" spans="1:6" ht="19.5" customHeight="1" thickTop="1" thickBot="1" x14ac:dyDescent="0.25">
      <c r="A756" s="33" t="str">
        <f>مهن[[#This Row],[الدرجة]]&amp;مهن[[#This Row],[المهنة]]</f>
        <v>7بحرى كراكة</v>
      </c>
      <c r="B756" s="24">
        <v>7</v>
      </c>
      <c r="C756" s="24" t="s">
        <v>504</v>
      </c>
      <c r="D756" s="24">
        <v>124</v>
      </c>
      <c r="E756" s="34" t="s">
        <v>1160</v>
      </c>
      <c r="F756" s="35" t="s">
        <v>1164</v>
      </c>
    </row>
    <row r="757" spans="1:6" ht="19.5" customHeight="1" thickTop="1" thickBot="1" x14ac:dyDescent="0.25">
      <c r="A757" s="33" t="str">
        <f>مهن[[#This Row],[الدرجة]]&amp;مهن[[#This Row],[المهنة]]</f>
        <v>8بحرى كراكة</v>
      </c>
      <c r="B757" s="24">
        <v>8</v>
      </c>
      <c r="C757" s="24" t="s">
        <v>506</v>
      </c>
      <c r="D757" s="24">
        <v>124</v>
      </c>
      <c r="E757" s="34" t="s">
        <v>1160</v>
      </c>
      <c r="F757" s="35" t="s">
        <v>1165</v>
      </c>
    </row>
    <row r="758" spans="1:6" ht="19.5" customHeight="1" thickTop="1" thickBot="1" x14ac:dyDescent="0.25">
      <c r="A758" s="33" t="str">
        <f>مهن[[#This Row],[الدرجة]]&amp;مهن[[#This Row],[المهنة]]</f>
        <v>9بحرى كراكة</v>
      </c>
      <c r="B758" s="24">
        <v>9</v>
      </c>
      <c r="C758" s="24" t="s">
        <v>1152</v>
      </c>
      <c r="D758" s="24">
        <v>124</v>
      </c>
      <c r="E758" s="34" t="s">
        <v>1160</v>
      </c>
      <c r="F758" s="35" t="s">
        <v>1166</v>
      </c>
    </row>
    <row r="759" spans="1:6" ht="19.5" customHeight="1" thickTop="1" thickBot="1" x14ac:dyDescent="0.25">
      <c r="A759" s="33" t="str">
        <f>مهن[[#This Row],[الدرجة]]&amp;مهن[[#This Row],[المهنة]]</f>
        <v>2غطاس عادى</v>
      </c>
      <c r="B759" s="24">
        <v>2</v>
      </c>
      <c r="C759" s="24" t="s">
        <v>493</v>
      </c>
      <c r="D759" s="24">
        <v>125</v>
      </c>
      <c r="E759" s="34" t="s">
        <v>1167</v>
      </c>
      <c r="F759" s="35" t="s">
        <v>1168</v>
      </c>
    </row>
    <row r="760" spans="1:6" ht="19.5" customHeight="1" thickTop="1" thickBot="1" x14ac:dyDescent="0.25">
      <c r="A760" s="33" t="str">
        <f>مهن[[#This Row],[الدرجة]]&amp;مهن[[#This Row],[المهنة]]</f>
        <v>3غطاس عادى</v>
      </c>
      <c r="B760" s="24">
        <v>3</v>
      </c>
      <c r="C760" s="24" t="s">
        <v>496</v>
      </c>
      <c r="D760" s="24">
        <v>125</v>
      </c>
      <c r="E760" s="34" t="s">
        <v>1167</v>
      </c>
      <c r="F760" s="35" t="s">
        <v>1146</v>
      </c>
    </row>
    <row r="761" spans="1:6" ht="19.5" customHeight="1" thickTop="1" thickBot="1" x14ac:dyDescent="0.25">
      <c r="A761" s="33" t="str">
        <f>مهن[[#This Row],[الدرجة]]&amp;مهن[[#This Row],[المهنة]]</f>
        <v>4غطاس عادى</v>
      </c>
      <c r="B761" s="24">
        <v>4</v>
      </c>
      <c r="C761" s="24" t="s">
        <v>498</v>
      </c>
      <c r="D761" s="24">
        <v>125</v>
      </c>
      <c r="E761" s="34" t="s">
        <v>1167</v>
      </c>
      <c r="F761" s="35" t="s">
        <v>1169</v>
      </c>
    </row>
    <row r="762" spans="1:6" ht="19.5" customHeight="1" thickTop="1" thickBot="1" x14ac:dyDescent="0.25">
      <c r="A762" s="33" t="str">
        <f>مهن[[#This Row],[الدرجة]]&amp;مهن[[#This Row],[المهنة]]</f>
        <v>5غطاس عادى</v>
      </c>
      <c r="B762" s="24">
        <v>5</v>
      </c>
      <c r="C762" s="24" t="s">
        <v>500</v>
      </c>
      <c r="D762" s="24">
        <v>125</v>
      </c>
      <c r="E762" s="34" t="s">
        <v>1167</v>
      </c>
      <c r="F762" s="35" t="s">
        <v>1170</v>
      </c>
    </row>
    <row r="763" spans="1:6" ht="19.5" customHeight="1" thickTop="1" thickBot="1" x14ac:dyDescent="0.25">
      <c r="A763" s="33" t="str">
        <f>مهن[[#This Row],[الدرجة]]&amp;مهن[[#This Row],[المهنة]]</f>
        <v>6غطاس عادى</v>
      </c>
      <c r="B763" s="24">
        <v>6</v>
      </c>
      <c r="C763" s="24" t="s">
        <v>502</v>
      </c>
      <c r="D763" s="24">
        <v>125</v>
      </c>
      <c r="E763" s="34" t="s">
        <v>1167</v>
      </c>
      <c r="F763" s="35" t="s">
        <v>1171</v>
      </c>
    </row>
    <row r="764" spans="1:6" ht="19.5" customHeight="1" thickTop="1" thickBot="1" x14ac:dyDescent="0.25">
      <c r="A764" s="33" t="str">
        <f>مهن[[#This Row],[الدرجة]]&amp;مهن[[#This Row],[المهنة]]</f>
        <v>7غطاس عادى</v>
      </c>
      <c r="B764" s="24">
        <v>7</v>
      </c>
      <c r="C764" s="24" t="s">
        <v>504</v>
      </c>
      <c r="D764" s="24">
        <v>125</v>
      </c>
      <c r="E764" s="34" t="s">
        <v>1167</v>
      </c>
      <c r="F764" s="35" t="s">
        <v>1172</v>
      </c>
    </row>
    <row r="765" spans="1:6" ht="19.5" customHeight="1" thickTop="1" thickBot="1" x14ac:dyDescent="0.25">
      <c r="A765" s="33" t="str">
        <f>مهن[[#This Row],[الدرجة]]&amp;مهن[[#This Row],[المهنة]]</f>
        <v>8غطاس عادى</v>
      </c>
      <c r="B765" s="24">
        <v>8</v>
      </c>
      <c r="C765" s="24" t="s">
        <v>506</v>
      </c>
      <c r="D765" s="24">
        <v>125</v>
      </c>
      <c r="E765" s="34" t="s">
        <v>1167</v>
      </c>
      <c r="F765" s="35" t="s">
        <v>1173</v>
      </c>
    </row>
    <row r="766" spans="1:6" ht="19.5" customHeight="1" thickTop="1" thickBot="1" x14ac:dyDescent="0.25">
      <c r="A766" s="33" t="str">
        <f>مهن[[#This Row],[الدرجة]]&amp;مهن[[#This Row],[المهنة]]</f>
        <v>9غطاس عادى</v>
      </c>
      <c r="B766" s="24">
        <v>9</v>
      </c>
      <c r="C766" s="24" t="s">
        <v>1152</v>
      </c>
      <c r="D766" s="24">
        <v>125</v>
      </c>
      <c r="E766" s="34" t="s">
        <v>1167</v>
      </c>
      <c r="F766" s="35" t="s">
        <v>1174</v>
      </c>
    </row>
    <row r="767" spans="1:6" ht="19.5" customHeight="1" thickTop="1" thickBot="1" x14ac:dyDescent="0.25">
      <c r="A767" s="33" t="str">
        <f>مهن[[#This Row],[الدرجة]]&amp;مهن[[#This Row],[المهنة]]</f>
        <v>4مقيد</v>
      </c>
      <c r="B767" s="24">
        <v>4</v>
      </c>
      <c r="C767" s="24" t="s">
        <v>498</v>
      </c>
      <c r="D767" s="24">
        <v>131</v>
      </c>
      <c r="E767" s="34" t="s">
        <v>1175</v>
      </c>
      <c r="F767" s="35" t="s">
        <v>1176</v>
      </c>
    </row>
    <row r="768" spans="1:6" ht="19.5" customHeight="1" thickTop="1" thickBot="1" x14ac:dyDescent="0.25">
      <c r="A768" s="33" t="str">
        <f>مهن[[#This Row],[الدرجة]]&amp;مهن[[#This Row],[المهنة]]</f>
        <v>5مقيد</v>
      </c>
      <c r="B768" s="24">
        <v>5</v>
      </c>
      <c r="C768" s="24" t="s">
        <v>500</v>
      </c>
      <c r="D768" s="24">
        <v>131</v>
      </c>
      <c r="E768" s="34" t="s">
        <v>1175</v>
      </c>
      <c r="F768" s="35" t="s">
        <v>1177</v>
      </c>
    </row>
    <row r="769" spans="1:6" ht="19.5" customHeight="1" thickTop="1" thickBot="1" x14ac:dyDescent="0.25">
      <c r="A769" s="33" t="str">
        <f>مهن[[#This Row],[الدرجة]]&amp;مهن[[#This Row],[المهنة]]</f>
        <v>6مقيد</v>
      </c>
      <c r="B769" s="24">
        <v>6</v>
      </c>
      <c r="C769" s="24" t="s">
        <v>502</v>
      </c>
      <c r="D769" s="24">
        <v>131</v>
      </c>
      <c r="E769" s="34" t="s">
        <v>1175</v>
      </c>
      <c r="F769" s="35" t="s">
        <v>1178</v>
      </c>
    </row>
    <row r="770" spans="1:6" ht="19.5" customHeight="1" thickTop="1" thickBot="1" x14ac:dyDescent="0.25">
      <c r="A770" s="33" t="str">
        <f>مهن[[#This Row],[الدرجة]]&amp;مهن[[#This Row],[المهنة]]</f>
        <v>7مقيد</v>
      </c>
      <c r="B770" s="24">
        <v>7</v>
      </c>
      <c r="C770" s="24" t="s">
        <v>504</v>
      </c>
      <c r="D770" s="24">
        <v>131</v>
      </c>
      <c r="E770" s="34" t="s">
        <v>1175</v>
      </c>
      <c r="F770" s="35" t="s">
        <v>1179</v>
      </c>
    </row>
    <row r="771" spans="1:6" ht="19.5" customHeight="1" thickTop="1" thickBot="1" x14ac:dyDescent="0.25">
      <c r="A771" s="33" t="str">
        <f>مهن[[#This Row],[الدرجة]]&amp;مهن[[#This Row],[المهنة]]</f>
        <v>8مقيد</v>
      </c>
      <c r="B771" s="24">
        <v>8</v>
      </c>
      <c r="C771" s="24" t="s">
        <v>506</v>
      </c>
      <c r="D771" s="24">
        <v>131</v>
      </c>
      <c r="E771" s="34" t="s">
        <v>1175</v>
      </c>
      <c r="F771" s="35" t="s">
        <v>1180</v>
      </c>
    </row>
    <row r="772" spans="1:6" ht="19.5" customHeight="1" thickTop="1" thickBot="1" x14ac:dyDescent="0.25">
      <c r="A772" s="33" t="str">
        <f>مهن[[#This Row],[الدرجة]]&amp;مهن[[#This Row],[المهنة]]</f>
        <v>9مقيد</v>
      </c>
      <c r="B772" s="24">
        <v>9</v>
      </c>
      <c r="C772" s="24" t="s">
        <v>1152</v>
      </c>
      <c r="D772" s="24">
        <v>131</v>
      </c>
      <c r="E772" s="34" t="s">
        <v>1175</v>
      </c>
      <c r="F772" s="35" t="s">
        <v>1181</v>
      </c>
    </row>
    <row r="773" spans="1:6" ht="19.5" customHeight="1" thickTop="1" thickBot="1" x14ac:dyDescent="0.25">
      <c r="A773" s="33" t="str">
        <f>مهن[[#This Row],[الدرجة]]&amp;مهن[[#This Row],[المهنة]]</f>
        <v>4امين عهدة</v>
      </c>
      <c r="B773" s="24">
        <v>4</v>
      </c>
      <c r="C773" s="24" t="s">
        <v>498</v>
      </c>
      <c r="D773" s="24">
        <v>132</v>
      </c>
      <c r="E773" s="34" t="s">
        <v>1182</v>
      </c>
      <c r="F773" s="35" t="s">
        <v>1183</v>
      </c>
    </row>
    <row r="774" spans="1:6" ht="19.5" customHeight="1" thickTop="1" thickBot="1" x14ac:dyDescent="0.25">
      <c r="A774" s="33" t="str">
        <f>مهن[[#This Row],[الدرجة]]&amp;مهن[[#This Row],[المهنة]]</f>
        <v>5امين عهدة</v>
      </c>
      <c r="B774" s="24">
        <v>5</v>
      </c>
      <c r="C774" s="24" t="s">
        <v>500</v>
      </c>
      <c r="D774" s="24">
        <v>132</v>
      </c>
      <c r="E774" s="34" t="s">
        <v>1182</v>
      </c>
      <c r="F774" s="35" t="s">
        <v>1184</v>
      </c>
    </row>
    <row r="775" spans="1:6" ht="19.5" customHeight="1" thickTop="1" thickBot="1" x14ac:dyDescent="0.25">
      <c r="A775" s="33" t="str">
        <f>مهن[[#This Row],[الدرجة]]&amp;مهن[[#This Row],[المهنة]]</f>
        <v>6امين عهدة</v>
      </c>
      <c r="B775" s="24">
        <v>6</v>
      </c>
      <c r="C775" s="24" t="s">
        <v>502</v>
      </c>
      <c r="D775" s="24">
        <v>132</v>
      </c>
      <c r="E775" s="34" t="s">
        <v>1182</v>
      </c>
      <c r="F775" s="35" t="s">
        <v>1185</v>
      </c>
    </row>
    <row r="776" spans="1:6" ht="19.5" customHeight="1" thickTop="1" thickBot="1" x14ac:dyDescent="0.25">
      <c r="A776" s="33" t="str">
        <f>مهن[[#This Row],[الدرجة]]&amp;مهن[[#This Row],[المهنة]]</f>
        <v>7امين عهدة</v>
      </c>
      <c r="B776" s="24">
        <v>7</v>
      </c>
      <c r="C776" s="24" t="s">
        <v>504</v>
      </c>
      <c r="D776" s="24">
        <v>132</v>
      </c>
      <c r="E776" s="34" t="s">
        <v>1182</v>
      </c>
      <c r="F776" s="35" t="s">
        <v>1186</v>
      </c>
    </row>
    <row r="777" spans="1:6" ht="19.5" customHeight="1" thickTop="1" thickBot="1" x14ac:dyDescent="0.25">
      <c r="A777" s="33" t="str">
        <f>مهن[[#This Row],[الدرجة]]&amp;مهن[[#This Row],[المهنة]]</f>
        <v>8امين عهدة</v>
      </c>
      <c r="B777" s="24">
        <v>8</v>
      </c>
      <c r="C777" s="24" t="s">
        <v>506</v>
      </c>
      <c r="D777" s="24">
        <v>132</v>
      </c>
      <c r="E777" s="34" t="s">
        <v>1182</v>
      </c>
      <c r="F777" s="35" t="s">
        <v>1187</v>
      </c>
    </row>
    <row r="778" spans="1:6" ht="19.5" customHeight="1" thickTop="1" thickBot="1" x14ac:dyDescent="0.25">
      <c r="A778" s="33" t="str">
        <f>مهن[[#This Row],[الدرجة]]&amp;مهن[[#This Row],[المهنة]]</f>
        <v>9امين عهدة</v>
      </c>
      <c r="B778" s="24">
        <v>9</v>
      </c>
      <c r="C778" s="24" t="s">
        <v>1152</v>
      </c>
      <c r="D778" s="24">
        <v>132</v>
      </c>
      <c r="E778" s="34" t="s">
        <v>1182</v>
      </c>
      <c r="F778" s="35" t="s">
        <v>1188</v>
      </c>
    </row>
    <row r="779" spans="1:6" ht="19.5" customHeight="1" thickTop="1" thickBot="1" x14ac:dyDescent="0.25">
      <c r="A779" s="33" t="str">
        <f>مهن[[#This Row],[الدرجة]]&amp;مهن[[#This Row],[المهنة]]</f>
        <v>4مراقب أمن</v>
      </c>
      <c r="B779" s="24">
        <v>4</v>
      </c>
      <c r="C779" s="24" t="s">
        <v>498</v>
      </c>
      <c r="D779" s="24">
        <v>133</v>
      </c>
      <c r="E779" s="34" t="s">
        <v>1189</v>
      </c>
      <c r="F779" s="35" t="s">
        <v>1190</v>
      </c>
    </row>
    <row r="780" spans="1:6" ht="19.5" customHeight="1" thickTop="1" thickBot="1" x14ac:dyDescent="0.25">
      <c r="A780" s="33" t="str">
        <f>مهن[[#This Row],[الدرجة]]&amp;مهن[[#This Row],[المهنة]]</f>
        <v>5مراقب أمن</v>
      </c>
      <c r="B780" s="24">
        <v>5</v>
      </c>
      <c r="C780" s="24" t="s">
        <v>500</v>
      </c>
      <c r="D780" s="24">
        <v>133</v>
      </c>
      <c r="E780" s="34" t="s">
        <v>1189</v>
      </c>
      <c r="F780" s="35" t="s">
        <v>1191</v>
      </c>
    </row>
    <row r="781" spans="1:6" ht="19.5" customHeight="1" thickTop="1" thickBot="1" x14ac:dyDescent="0.25">
      <c r="A781" s="33" t="str">
        <f>مهن[[#This Row],[الدرجة]]&amp;مهن[[#This Row],[المهنة]]</f>
        <v>6مراقب أمن</v>
      </c>
      <c r="B781" s="24">
        <v>6</v>
      </c>
      <c r="C781" s="24" t="s">
        <v>502</v>
      </c>
      <c r="D781" s="24">
        <v>133</v>
      </c>
      <c r="E781" s="34" t="s">
        <v>1189</v>
      </c>
      <c r="F781" s="35" t="s">
        <v>1192</v>
      </c>
    </row>
    <row r="782" spans="1:6" ht="19.5" customHeight="1" thickTop="1" thickBot="1" x14ac:dyDescent="0.25">
      <c r="A782" s="33" t="str">
        <f>مهن[[#This Row],[الدرجة]]&amp;مهن[[#This Row],[المهنة]]</f>
        <v>7مراقب أمن</v>
      </c>
      <c r="B782" s="24">
        <v>7</v>
      </c>
      <c r="C782" s="24" t="s">
        <v>504</v>
      </c>
      <c r="D782" s="24">
        <v>133</v>
      </c>
      <c r="E782" s="34" t="s">
        <v>1189</v>
      </c>
      <c r="F782" s="35" t="s">
        <v>1193</v>
      </c>
    </row>
    <row r="783" spans="1:6" ht="19.5" customHeight="1" thickTop="1" thickBot="1" x14ac:dyDescent="0.25">
      <c r="A783" s="33" t="str">
        <f>مهن[[#This Row],[الدرجة]]&amp;مهن[[#This Row],[المهنة]]</f>
        <v>8مراقب أمن</v>
      </c>
      <c r="B783" s="24">
        <v>8</v>
      </c>
      <c r="C783" s="24" t="s">
        <v>506</v>
      </c>
      <c r="D783" s="24">
        <v>133</v>
      </c>
      <c r="E783" s="34" t="s">
        <v>1189</v>
      </c>
      <c r="F783" s="35" t="s">
        <v>1194</v>
      </c>
    </row>
    <row r="784" spans="1:6" ht="19.5" customHeight="1" thickTop="1" thickBot="1" x14ac:dyDescent="0.25">
      <c r="A784" s="33" t="str">
        <f>مهن[[#This Row],[الدرجة]]&amp;مهن[[#This Row],[المهنة]]</f>
        <v>9مراقب أمن</v>
      </c>
      <c r="B784" s="24">
        <v>9</v>
      </c>
      <c r="C784" s="24" t="s">
        <v>1152</v>
      </c>
      <c r="D784" s="24">
        <v>133</v>
      </c>
      <c r="E784" s="34" t="s">
        <v>1189</v>
      </c>
      <c r="F784" s="35" t="s">
        <v>1195</v>
      </c>
    </row>
    <row r="785" spans="1:6" ht="19.5" customHeight="1" thickTop="1" thickBot="1" x14ac:dyDescent="0.25">
      <c r="A785" s="33" t="str">
        <f>مهن[[#This Row],[الدرجة]]&amp;مهن[[#This Row],[المهنة]]</f>
        <v>4عامل الة حاسبة</v>
      </c>
      <c r="B785" s="24">
        <v>4</v>
      </c>
      <c r="C785" s="24" t="s">
        <v>498</v>
      </c>
      <c r="D785" s="24">
        <v>134</v>
      </c>
      <c r="E785" s="34" t="s">
        <v>1196</v>
      </c>
      <c r="F785" s="35" t="s">
        <v>1197</v>
      </c>
    </row>
    <row r="786" spans="1:6" ht="19.5" customHeight="1" thickTop="1" thickBot="1" x14ac:dyDescent="0.25">
      <c r="A786" s="33" t="str">
        <f>مهن[[#This Row],[الدرجة]]&amp;مهن[[#This Row],[المهنة]]</f>
        <v>5عامل الة حاسبة</v>
      </c>
      <c r="B786" s="24">
        <v>5</v>
      </c>
      <c r="C786" s="24" t="s">
        <v>500</v>
      </c>
      <c r="D786" s="24">
        <v>134</v>
      </c>
      <c r="E786" s="34" t="s">
        <v>1196</v>
      </c>
      <c r="F786" s="35" t="s">
        <v>1198</v>
      </c>
    </row>
    <row r="787" spans="1:6" ht="19.5" customHeight="1" thickTop="1" thickBot="1" x14ac:dyDescent="0.25">
      <c r="A787" s="33" t="str">
        <f>مهن[[#This Row],[الدرجة]]&amp;مهن[[#This Row],[المهنة]]</f>
        <v>6عامل الة حاسبة</v>
      </c>
      <c r="B787" s="24">
        <v>6</v>
      </c>
      <c r="C787" s="24" t="s">
        <v>502</v>
      </c>
      <c r="D787" s="24">
        <v>134</v>
      </c>
      <c r="E787" s="34" t="s">
        <v>1196</v>
      </c>
      <c r="F787" s="35" t="s">
        <v>1199</v>
      </c>
    </row>
    <row r="788" spans="1:6" ht="19.5" customHeight="1" thickTop="1" thickBot="1" x14ac:dyDescent="0.25">
      <c r="A788" s="33" t="str">
        <f>مهن[[#This Row],[الدرجة]]&amp;مهن[[#This Row],[المهنة]]</f>
        <v>7عامل الة حاسبة</v>
      </c>
      <c r="B788" s="24">
        <v>7</v>
      </c>
      <c r="C788" s="24" t="s">
        <v>504</v>
      </c>
      <c r="D788" s="24">
        <v>134</v>
      </c>
      <c r="E788" s="34" t="s">
        <v>1196</v>
      </c>
      <c r="F788" s="35" t="s">
        <v>1200</v>
      </c>
    </row>
    <row r="789" spans="1:6" ht="19.5" customHeight="1" thickTop="1" thickBot="1" x14ac:dyDescent="0.25">
      <c r="A789" s="33" t="str">
        <f>مهن[[#This Row],[الدرجة]]&amp;مهن[[#This Row],[المهنة]]</f>
        <v>8عامل الة حاسبة</v>
      </c>
      <c r="B789" s="24">
        <v>8</v>
      </c>
      <c r="C789" s="24" t="s">
        <v>506</v>
      </c>
      <c r="D789" s="24">
        <v>134</v>
      </c>
      <c r="E789" s="34" t="s">
        <v>1196</v>
      </c>
      <c r="F789" s="35" t="s">
        <v>1201</v>
      </c>
    </row>
    <row r="790" spans="1:6" ht="19.5" customHeight="1" thickTop="1" thickBot="1" x14ac:dyDescent="0.25">
      <c r="A790" s="33" t="str">
        <f>مهن[[#This Row],[الدرجة]]&amp;مهن[[#This Row],[المهنة]]</f>
        <v>9عامل الة حاسبة</v>
      </c>
      <c r="B790" s="24">
        <v>9</v>
      </c>
      <c r="C790" s="24" t="s">
        <v>1152</v>
      </c>
      <c r="D790" s="24">
        <v>134</v>
      </c>
      <c r="E790" s="34" t="s">
        <v>1196</v>
      </c>
      <c r="F790" s="35" t="s">
        <v>1202</v>
      </c>
    </row>
    <row r="791" spans="1:6" ht="19.5" customHeight="1" thickTop="1" thickBot="1" x14ac:dyDescent="0.25">
      <c r="A791" s="33" t="str">
        <f>مهن[[#This Row],[الدرجة]]&amp;مهن[[#This Row],[المهنة]]</f>
        <v>4مباشر لوحة تليفونات</v>
      </c>
      <c r="B791" s="24">
        <v>4</v>
      </c>
      <c r="C791" s="24" t="s">
        <v>498</v>
      </c>
      <c r="D791" s="24">
        <v>135</v>
      </c>
      <c r="E791" s="34" t="s">
        <v>1203</v>
      </c>
      <c r="F791" s="35" t="s">
        <v>1204</v>
      </c>
    </row>
    <row r="792" spans="1:6" ht="19.5" customHeight="1" thickTop="1" thickBot="1" x14ac:dyDescent="0.25">
      <c r="A792" s="33" t="str">
        <f>مهن[[#This Row],[الدرجة]]&amp;مهن[[#This Row],[المهنة]]</f>
        <v>5مباشر لوحة تليفونات</v>
      </c>
      <c r="B792" s="24">
        <v>5</v>
      </c>
      <c r="C792" s="24" t="s">
        <v>500</v>
      </c>
      <c r="D792" s="24">
        <v>135</v>
      </c>
      <c r="E792" s="34" t="s">
        <v>1203</v>
      </c>
      <c r="F792" s="35" t="s">
        <v>1205</v>
      </c>
    </row>
    <row r="793" spans="1:6" ht="19.5" customHeight="1" thickTop="1" thickBot="1" x14ac:dyDescent="0.25">
      <c r="A793" s="33" t="str">
        <f>مهن[[#This Row],[الدرجة]]&amp;مهن[[#This Row],[المهنة]]</f>
        <v>6مباشر لوحة تليفونات</v>
      </c>
      <c r="B793" s="24">
        <v>6</v>
      </c>
      <c r="C793" s="24" t="s">
        <v>502</v>
      </c>
      <c r="D793" s="24">
        <v>135</v>
      </c>
      <c r="E793" s="34" t="s">
        <v>1203</v>
      </c>
      <c r="F793" s="35" t="s">
        <v>1206</v>
      </c>
    </row>
    <row r="794" spans="1:6" ht="19.5" customHeight="1" thickTop="1" thickBot="1" x14ac:dyDescent="0.25">
      <c r="A794" s="33" t="str">
        <f>مهن[[#This Row],[الدرجة]]&amp;مهن[[#This Row],[المهنة]]</f>
        <v>7مباشر لوحة تليفونات</v>
      </c>
      <c r="B794" s="24">
        <v>7</v>
      </c>
      <c r="C794" s="24" t="s">
        <v>504</v>
      </c>
      <c r="D794" s="24">
        <v>135</v>
      </c>
      <c r="E794" s="34" t="s">
        <v>1203</v>
      </c>
      <c r="F794" s="35" t="s">
        <v>1207</v>
      </c>
    </row>
    <row r="795" spans="1:6" ht="19.5" customHeight="1" thickTop="1" thickBot="1" x14ac:dyDescent="0.25">
      <c r="A795" s="33" t="str">
        <f>مهن[[#This Row],[الدرجة]]&amp;مهن[[#This Row],[المهنة]]</f>
        <v>8مباشر لوحة تليفونات</v>
      </c>
      <c r="B795" s="24">
        <v>8</v>
      </c>
      <c r="C795" s="24" t="s">
        <v>506</v>
      </c>
      <c r="D795" s="24">
        <v>135</v>
      </c>
      <c r="E795" s="34" t="s">
        <v>1203</v>
      </c>
      <c r="F795" s="35" t="s">
        <v>1208</v>
      </c>
    </row>
    <row r="796" spans="1:6" ht="19.5" customHeight="1" thickTop="1" thickBot="1" x14ac:dyDescent="0.25">
      <c r="A796" s="33" t="str">
        <f>مهن[[#This Row],[الدرجة]]&amp;مهن[[#This Row],[المهنة]]</f>
        <v>9مباشر لوحة تليفونات</v>
      </c>
      <c r="B796" s="24">
        <v>9</v>
      </c>
      <c r="C796" s="24" t="s">
        <v>1152</v>
      </c>
      <c r="D796" s="24">
        <v>135</v>
      </c>
      <c r="E796" s="34" t="s">
        <v>1203</v>
      </c>
      <c r="F796" s="35" t="s">
        <v>1209</v>
      </c>
    </row>
    <row r="797" spans="1:6" ht="19.5" customHeight="1" thickTop="1" thickBot="1" x14ac:dyDescent="0.25">
      <c r="A797" s="33" t="str">
        <f>مهن[[#This Row],[الدرجة]]&amp;مهن[[#This Row],[المهنة]]</f>
        <v>4عامل بياض</v>
      </c>
      <c r="B797" s="24">
        <v>4</v>
      </c>
      <c r="C797" s="24" t="s">
        <v>498</v>
      </c>
      <c r="D797" s="24">
        <v>141</v>
      </c>
      <c r="E797" s="34" t="s">
        <v>1210</v>
      </c>
      <c r="F797" s="35" t="s">
        <v>1211</v>
      </c>
    </row>
    <row r="798" spans="1:6" ht="19.5" customHeight="1" thickTop="1" thickBot="1" x14ac:dyDescent="0.25">
      <c r="A798" s="33" t="str">
        <f>مهن[[#This Row],[الدرجة]]&amp;مهن[[#This Row],[المهنة]]</f>
        <v>5عامل بياض</v>
      </c>
      <c r="B798" s="24">
        <v>5</v>
      </c>
      <c r="C798" s="24" t="s">
        <v>500</v>
      </c>
      <c r="D798" s="24">
        <v>141</v>
      </c>
      <c r="E798" s="34" t="s">
        <v>1210</v>
      </c>
      <c r="F798" s="35" t="s">
        <v>1212</v>
      </c>
    </row>
    <row r="799" spans="1:6" ht="19.5" customHeight="1" thickTop="1" thickBot="1" x14ac:dyDescent="0.25">
      <c r="A799" s="33" t="str">
        <f>مهن[[#This Row],[الدرجة]]&amp;مهن[[#This Row],[المهنة]]</f>
        <v>6عامل بياض</v>
      </c>
      <c r="B799" s="24">
        <v>6</v>
      </c>
      <c r="C799" s="24" t="s">
        <v>502</v>
      </c>
      <c r="D799" s="24">
        <v>141</v>
      </c>
      <c r="E799" s="34" t="s">
        <v>1210</v>
      </c>
      <c r="F799" s="35" t="s">
        <v>1213</v>
      </c>
    </row>
    <row r="800" spans="1:6" ht="19.5" customHeight="1" thickTop="1" thickBot="1" x14ac:dyDescent="0.25">
      <c r="A800" s="33" t="str">
        <f>مهن[[#This Row],[الدرجة]]&amp;مهن[[#This Row],[المهنة]]</f>
        <v>7عامل بياض</v>
      </c>
      <c r="B800" s="24">
        <v>7</v>
      </c>
      <c r="C800" s="24" t="s">
        <v>1214</v>
      </c>
      <c r="D800" s="24">
        <v>141</v>
      </c>
      <c r="E800" s="34" t="s">
        <v>1210</v>
      </c>
      <c r="F800" s="35" t="s">
        <v>1215</v>
      </c>
    </row>
    <row r="801" spans="1:6" ht="19.5" customHeight="1" thickTop="1" thickBot="1" x14ac:dyDescent="0.25">
      <c r="A801" s="33" t="str">
        <f>مهن[[#This Row],[الدرجة]]&amp;مهن[[#This Row],[المهنة]]</f>
        <v>8عامل بياض</v>
      </c>
      <c r="B801" s="24">
        <v>8</v>
      </c>
      <c r="C801" s="24" t="s">
        <v>506</v>
      </c>
      <c r="D801" s="24">
        <v>141</v>
      </c>
      <c r="E801" s="34" t="s">
        <v>1210</v>
      </c>
      <c r="F801" s="35" t="s">
        <v>1216</v>
      </c>
    </row>
    <row r="802" spans="1:6" ht="19.5" customHeight="1" thickTop="1" thickBot="1" x14ac:dyDescent="0.25">
      <c r="A802" s="33" t="str">
        <f>مهن[[#This Row],[الدرجة]]&amp;مهن[[#This Row],[المهنة]]</f>
        <v>9عامل بياض</v>
      </c>
      <c r="B802" s="24">
        <v>9</v>
      </c>
      <c r="C802" s="24" t="s">
        <v>1152</v>
      </c>
      <c r="D802" s="24">
        <v>141</v>
      </c>
      <c r="E802" s="34" t="s">
        <v>1210</v>
      </c>
      <c r="F802" s="35" t="s">
        <v>1217</v>
      </c>
    </row>
    <row r="803" spans="1:6" ht="19.5" customHeight="1" thickTop="1" thickBot="1" x14ac:dyDescent="0.25">
      <c r="A803" s="33" t="str">
        <f>مهن[[#This Row],[الدرجة]]&amp;مهن[[#This Row],[المهنة]]</f>
        <v>4عامل تبليط</v>
      </c>
      <c r="B803" s="24">
        <v>4</v>
      </c>
      <c r="C803" s="24" t="s">
        <v>498</v>
      </c>
      <c r="D803" s="24">
        <v>142</v>
      </c>
      <c r="E803" s="34" t="s">
        <v>1218</v>
      </c>
      <c r="F803" s="35" t="s">
        <v>1219</v>
      </c>
    </row>
    <row r="804" spans="1:6" ht="19.5" customHeight="1" thickTop="1" thickBot="1" x14ac:dyDescent="0.25">
      <c r="A804" s="33" t="str">
        <f>مهن[[#This Row],[الدرجة]]&amp;مهن[[#This Row],[المهنة]]</f>
        <v>5عامل تبليط</v>
      </c>
      <c r="B804" s="24">
        <v>5</v>
      </c>
      <c r="C804" s="24" t="s">
        <v>500</v>
      </c>
      <c r="D804" s="24">
        <v>142</v>
      </c>
      <c r="E804" s="34" t="s">
        <v>1218</v>
      </c>
      <c r="F804" s="35" t="s">
        <v>1220</v>
      </c>
    </row>
    <row r="805" spans="1:6" ht="19.5" customHeight="1" thickTop="1" thickBot="1" x14ac:dyDescent="0.25">
      <c r="A805" s="33" t="str">
        <f>مهن[[#This Row],[الدرجة]]&amp;مهن[[#This Row],[المهنة]]</f>
        <v>6عامل تبليط</v>
      </c>
      <c r="B805" s="24">
        <v>6</v>
      </c>
      <c r="C805" s="24" t="s">
        <v>502</v>
      </c>
      <c r="D805" s="24">
        <v>142</v>
      </c>
      <c r="E805" s="34" t="s">
        <v>1218</v>
      </c>
      <c r="F805" s="35" t="s">
        <v>1221</v>
      </c>
    </row>
    <row r="806" spans="1:6" ht="19.5" customHeight="1" thickTop="1" thickBot="1" x14ac:dyDescent="0.25">
      <c r="A806" s="33" t="str">
        <f>مهن[[#This Row],[الدرجة]]&amp;مهن[[#This Row],[المهنة]]</f>
        <v>7عامل تبليط</v>
      </c>
      <c r="B806" s="24">
        <v>7</v>
      </c>
      <c r="C806" s="24" t="s">
        <v>504</v>
      </c>
      <c r="D806" s="24">
        <v>142</v>
      </c>
      <c r="E806" s="34" t="s">
        <v>1218</v>
      </c>
      <c r="F806" s="35" t="s">
        <v>1222</v>
      </c>
    </row>
    <row r="807" spans="1:6" ht="19.5" customHeight="1" thickTop="1" thickBot="1" x14ac:dyDescent="0.25">
      <c r="A807" s="33" t="str">
        <f>مهن[[#This Row],[الدرجة]]&amp;مهن[[#This Row],[المهنة]]</f>
        <v>8عامل تبليط</v>
      </c>
      <c r="B807" s="24">
        <v>8</v>
      </c>
      <c r="C807" s="24" t="s">
        <v>506</v>
      </c>
      <c r="D807" s="24">
        <v>142</v>
      </c>
      <c r="E807" s="34" t="s">
        <v>1218</v>
      </c>
      <c r="F807" s="35" t="s">
        <v>1223</v>
      </c>
    </row>
    <row r="808" spans="1:6" ht="19.5" customHeight="1" thickTop="1" thickBot="1" x14ac:dyDescent="0.25">
      <c r="A808" s="33" t="str">
        <f>مهن[[#This Row],[الدرجة]]&amp;مهن[[#This Row],[المهنة]]</f>
        <v>9عامل تبليط</v>
      </c>
      <c r="B808" s="24">
        <v>9</v>
      </c>
      <c r="C808" s="24" t="s">
        <v>1152</v>
      </c>
      <c r="D808" s="24">
        <v>142</v>
      </c>
      <c r="E808" s="34" t="s">
        <v>1218</v>
      </c>
      <c r="F808" s="35" t="s">
        <v>1224</v>
      </c>
    </row>
    <row r="809" spans="1:6" ht="19.5" customHeight="1" thickTop="1" thickBot="1" x14ac:dyDescent="0.25">
      <c r="A809" s="33" t="str">
        <f>مهن[[#This Row],[الدرجة]]&amp;مهن[[#This Row],[المهنة]]</f>
        <v>4حجار</v>
      </c>
      <c r="B809" s="24">
        <v>4</v>
      </c>
      <c r="C809" s="24" t="s">
        <v>498</v>
      </c>
      <c r="D809" s="24">
        <v>143</v>
      </c>
      <c r="E809" s="34" t="s">
        <v>1225</v>
      </c>
      <c r="F809" s="35" t="s">
        <v>1226</v>
      </c>
    </row>
    <row r="810" spans="1:6" ht="19.5" customHeight="1" thickTop="1" thickBot="1" x14ac:dyDescent="0.25">
      <c r="A810" s="33" t="str">
        <f>مهن[[#This Row],[الدرجة]]&amp;مهن[[#This Row],[المهنة]]</f>
        <v>5حجار</v>
      </c>
      <c r="B810" s="24">
        <v>5</v>
      </c>
      <c r="C810" s="24" t="s">
        <v>500</v>
      </c>
      <c r="D810" s="24">
        <v>143</v>
      </c>
      <c r="E810" s="34" t="s">
        <v>1225</v>
      </c>
      <c r="F810" s="35" t="s">
        <v>1227</v>
      </c>
    </row>
    <row r="811" spans="1:6" ht="19.5" customHeight="1" thickTop="1" thickBot="1" x14ac:dyDescent="0.25">
      <c r="A811" s="33" t="str">
        <f>مهن[[#This Row],[الدرجة]]&amp;مهن[[#This Row],[المهنة]]</f>
        <v>6حجار</v>
      </c>
      <c r="B811" s="24">
        <v>6</v>
      </c>
      <c r="C811" s="24" t="s">
        <v>502</v>
      </c>
      <c r="D811" s="24">
        <v>143</v>
      </c>
      <c r="E811" s="34" t="s">
        <v>1225</v>
      </c>
      <c r="F811" s="35" t="s">
        <v>1228</v>
      </c>
    </row>
    <row r="812" spans="1:6" ht="19.5" customHeight="1" thickTop="1" thickBot="1" x14ac:dyDescent="0.25">
      <c r="A812" s="33" t="str">
        <f>مهن[[#This Row],[الدرجة]]&amp;مهن[[#This Row],[المهنة]]</f>
        <v>7حجار</v>
      </c>
      <c r="B812" s="24">
        <v>7</v>
      </c>
      <c r="C812" s="24" t="s">
        <v>504</v>
      </c>
      <c r="D812" s="24">
        <v>143</v>
      </c>
      <c r="E812" s="34" t="s">
        <v>1225</v>
      </c>
      <c r="F812" s="35" t="s">
        <v>1229</v>
      </c>
    </row>
    <row r="813" spans="1:6" ht="19.5" customHeight="1" thickTop="1" thickBot="1" x14ac:dyDescent="0.25">
      <c r="A813" s="33" t="str">
        <f>مهن[[#This Row],[الدرجة]]&amp;مهن[[#This Row],[المهنة]]</f>
        <v>8حجار</v>
      </c>
      <c r="B813" s="24">
        <v>8</v>
      </c>
      <c r="C813" s="24" t="s">
        <v>506</v>
      </c>
      <c r="D813" s="24">
        <v>143</v>
      </c>
      <c r="E813" s="34" t="s">
        <v>1225</v>
      </c>
      <c r="F813" s="35" t="s">
        <v>1230</v>
      </c>
    </row>
    <row r="814" spans="1:6" ht="19.5" customHeight="1" thickTop="1" thickBot="1" x14ac:dyDescent="0.25">
      <c r="A814" s="33" t="str">
        <f>مهن[[#This Row],[الدرجة]]&amp;مهن[[#This Row],[المهنة]]</f>
        <v>9حجار</v>
      </c>
      <c r="B814" s="24">
        <v>9</v>
      </c>
      <c r="C814" s="24" t="s">
        <v>1152</v>
      </c>
      <c r="D814" s="24">
        <v>143</v>
      </c>
      <c r="E814" s="34" t="s">
        <v>1225</v>
      </c>
      <c r="F814" s="35" t="s">
        <v>1231</v>
      </c>
    </row>
    <row r="815" spans="1:6" ht="19.5" customHeight="1" thickTop="1" thickBot="1" x14ac:dyDescent="0.25">
      <c r="A815" s="33" t="str">
        <f>مهن[[#This Row],[الدرجة]]&amp;مهن[[#This Row],[المهنة]]</f>
        <v>4فورمجى اسفلت</v>
      </c>
      <c r="B815" s="24">
        <v>4</v>
      </c>
      <c r="C815" s="24" t="s">
        <v>498</v>
      </c>
      <c r="D815" s="24">
        <v>144</v>
      </c>
      <c r="E815" s="34" t="s">
        <v>1232</v>
      </c>
      <c r="F815" s="35" t="s">
        <v>1233</v>
      </c>
    </row>
    <row r="816" spans="1:6" ht="19.5" customHeight="1" thickTop="1" thickBot="1" x14ac:dyDescent="0.25">
      <c r="A816" s="33" t="str">
        <f>مهن[[#This Row],[الدرجة]]&amp;مهن[[#This Row],[المهنة]]</f>
        <v>5فورمجى اسفلت</v>
      </c>
      <c r="B816" s="24">
        <v>5</v>
      </c>
      <c r="C816" s="24" t="s">
        <v>500</v>
      </c>
      <c r="D816" s="24">
        <v>144</v>
      </c>
      <c r="E816" s="34" t="s">
        <v>1232</v>
      </c>
      <c r="F816" s="35" t="s">
        <v>1234</v>
      </c>
    </row>
    <row r="817" spans="1:6" ht="19.5" customHeight="1" thickTop="1" thickBot="1" x14ac:dyDescent="0.25">
      <c r="A817" s="33" t="str">
        <f>مهن[[#This Row],[الدرجة]]&amp;مهن[[#This Row],[المهنة]]</f>
        <v>6فورمجى اسفلت</v>
      </c>
      <c r="B817" s="24">
        <v>6</v>
      </c>
      <c r="C817" s="24" t="s">
        <v>502</v>
      </c>
      <c r="D817" s="24">
        <v>144</v>
      </c>
      <c r="E817" s="34" t="s">
        <v>1232</v>
      </c>
      <c r="F817" s="35" t="s">
        <v>1235</v>
      </c>
    </row>
    <row r="818" spans="1:6" ht="19.5" customHeight="1" thickTop="1" thickBot="1" x14ac:dyDescent="0.25">
      <c r="A818" s="33" t="str">
        <f>مهن[[#This Row],[الدرجة]]&amp;مهن[[#This Row],[المهنة]]</f>
        <v>7فورمجى اسفلت</v>
      </c>
      <c r="B818" s="24">
        <v>7</v>
      </c>
      <c r="C818" s="24" t="s">
        <v>504</v>
      </c>
      <c r="D818" s="24">
        <v>144</v>
      </c>
      <c r="E818" s="34" t="s">
        <v>1232</v>
      </c>
      <c r="F818" s="35" t="s">
        <v>1236</v>
      </c>
    </row>
    <row r="819" spans="1:6" ht="19.5" customHeight="1" thickTop="1" thickBot="1" x14ac:dyDescent="0.25">
      <c r="A819" s="33" t="str">
        <f>مهن[[#This Row],[الدرجة]]&amp;مهن[[#This Row],[المهنة]]</f>
        <v>8فورمجى اسفلت</v>
      </c>
      <c r="B819" s="24">
        <v>8</v>
      </c>
      <c r="C819" s="24" t="s">
        <v>506</v>
      </c>
      <c r="D819" s="24">
        <v>144</v>
      </c>
      <c r="E819" s="34" t="s">
        <v>1232</v>
      </c>
      <c r="F819" s="35" t="s">
        <v>1237</v>
      </c>
    </row>
    <row r="820" spans="1:6" ht="19.5" customHeight="1" thickTop="1" thickBot="1" x14ac:dyDescent="0.25">
      <c r="A820" s="33" t="str">
        <f>مهن[[#This Row],[الدرجة]]&amp;مهن[[#This Row],[المهنة]]</f>
        <v>9فورمجى اسفلت</v>
      </c>
      <c r="B820" s="24">
        <v>9</v>
      </c>
      <c r="C820" s="24" t="s">
        <v>1152</v>
      </c>
      <c r="D820" s="24">
        <v>144</v>
      </c>
      <c r="E820" s="34" t="s">
        <v>1232</v>
      </c>
      <c r="F820" s="35" t="s">
        <v>1238</v>
      </c>
    </row>
    <row r="821" spans="1:6" ht="19.5" customHeight="1" thickTop="1" thickBot="1" x14ac:dyDescent="0.25">
      <c r="A821" s="33" t="str">
        <f>مهن[[#This Row],[الدرجة]]&amp;مهن[[#This Row],[المهنة]]</f>
        <v>4فورمجى خرسانة</v>
      </c>
      <c r="B821" s="24">
        <v>4</v>
      </c>
      <c r="C821" s="24" t="s">
        <v>498</v>
      </c>
      <c r="D821" s="24">
        <v>145</v>
      </c>
      <c r="E821" s="34" t="s">
        <v>1239</v>
      </c>
      <c r="F821" s="35" t="s">
        <v>1240</v>
      </c>
    </row>
    <row r="822" spans="1:6" ht="19.5" customHeight="1" thickTop="1" thickBot="1" x14ac:dyDescent="0.25">
      <c r="A822" s="33" t="str">
        <f>مهن[[#This Row],[الدرجة]]&amp;مهن[[#This Row],[المهنة]]</f>
        <v>5فورمجى خرسانة</v>
      </c>
      <c r="B822" s="24">
        <v>5</v>
      </c>
      <c r="C822" s="24" t="s">
        <v>500</v>
      </c>
      <c r="D822" s="24">
        <v>145</v>
      </c>
      <c r="E822" s="34" t="s">
        <v>1239</v>
      </c>
      <c r="F822" s="35" t="s">
        <v>1241</v>
      </c>
    </row>
    <row r="823" spans="1:6" ht="19.5" customHeight="1" thickTop="1" thickBot="1" x14ac:dyDescent="0.25">
      <c r="A823" s="33" t="str">
        <f>مهن[[#This Row],[الدرجة]]&amp;مهن[[#This Row],[المهنة]]</f>
        <v>6فورمجى خرسانة</v>
      </c>
      <c r="B823" s="24">
        <v>6</v>
      </c>
      <c r="C823" s="24" t="s">
        <v>502</v>
      </c>
      <c r="D823" s="24">
        <v>145</v>
      </c>
      <c r="E823" s="34" t="s">
        <v>1239</v>
      </c>
      <c r="F823" s="35" t="s">
        <v>1242</v>
      </c>
    </row>
    <row r="824" spans="1:6" ht="19.5" customHeight="1" thickTop="1" thickBot="1" x14ac:dyDescent="0.25">
      <c r="A824" s="33" t="str">
        <f>مهن[[#This Row],[الدرجة]]&amp;مهن[[#This Row],[المهنة]]</f>
        <v>7فورمجى خرسانة</v>
      </c>
      <c r="B824" s="24">
        <v>7</v>
      </c>
      <c r="C824" s="24" t="s">
        <v>504</v>
      </c>
      <c r="D824" s="24">
        <v>145</v>
      </c>
      <c r="E824" s="34" t="s">
        <v>1239</v>
      </c>
      <c r="F824" s="35" t="s">
        <v>1243</v>
      </c>
    </row>
    <row r="825" spans="1:6" ht="19.5" customHeight="1" thickTop="1" thickBot="1" x14ac:dyDescent="0.25">
      <c r="A825" s="33" t="str">
        <f>مهن[[#This Row],[الدرجة]]&amp;مهن[[#This Row],[المهنة]]</f>
        <v>8فورمجى خرسانة</v>
      </c>
      <c r="B825" s="24">
        <v>8</v>
      </c>
      <c r="C825" s="24" t="s">
        <v>506</v>
      </c>
      <c r="D825" s="24">
        <v>145</v>
      </c>
      <c r="E825" s="34" t="s">
        <v>1239</v>
      </c>
      <c r="F825" s="35" t="s">
        <v>1244</v>
      </c>
    </row>
    <row r="826" spans="1:6" ht="19.5" customHeight="1" thickTop="1" thickBot="1" x14ac:dyDescent="0.25">
      <c r="A826" s="33" t="str">
        <f>مهن[[#This Row],[الدرجة]]&amp;مهن[[#This Row],[المهنة]]</f>
        <v>9فورمجى خرسانة</v>
      </c>
      <c r="B826" s="24">
        <v>9</v>
      </c>
      <c r="C826" s="24" t="s">
        <v>1152</v>
      </c>
      <c r="D826" s="24">
        <v>145</v>
      </c>
      <c r="E826" s="34" t="s">
        <v>1239</v>
      </c>
      <c r="F826" s="35" t="s">
        <v>1245</v>
      </c>
    </row>
    <row r="827" spans="1:6" ht="19.5" customHeight="1" thickTop="1" thickBot="1" x14ac:dyDescent="0.25">
      <c r="A827" s="33" t="str">
        <f>مهن[[#This Row],[الدرجة]]&amp;مهن[[#This Row],[المهنة]]</f>
        <v>4نجار مسلح</v>
      </c>
      <c r="B827" s="24">
        <v>4</v>
      </c>
      <c r="C827" s="24" t="s">
        <v>498</v>
      </c>
      <c r="D827" s="24">
        <v>146</v>
      </c>
      <c r="E827" s="34" t="s">
        <v>1246</v>
      </c>
      <c r="F827" s="35" t="s">
        <v>1247</v>
      </c>
    </row>
    <row r="828" spans="1:6" ht="19.5" customHeight="1" thickTop="1" thickBot="1" x14ac:dyDescent="0.25">
      <c r="A828" s="33" t="str">
        <f>مهن[[#This Row],[الدرجة]]&amp;مهن[[#This Row],[المهنة]]</f>
        <v>5نجار مسلح</v>
      </c>
      <c r="B828" s="24">
        <v>5</v>
      </c>
      <c r="C828" s="24" t="s">
        <v>500</v>
      </c>
      <c r="D828" s="24">
        <v>146</v>
      </c>
      <c r="E828" s="34" t="s">
        <v>1246</v>
      </c>
      <c r="F828" s="35" t="s">
        <v>1248</v>
      </c>
    </row>
    <row r="829" spans="1:6" ht="19.5" customHeight="1" thickTop="1" thickBot="1" x14ac:dyDescent="0.25">
      <c r="A829" s="33" t="str">
        <f>مهن[[#This Row],[الدرجة]]&amp;مهن[[#This Row],[المهنة]]</f>
        <v>6نجار مسلح</v>
      </c>
      <c r="B829" s="24">
        <v>6</v>
      </c>
      <c r="C829" s="24" t="s">
        <v>502</v>
      </c>
      <c r="D829" s="24">
        <v>146</v>
      </c>
      <c r="E829" s="34" t="s">
        <v>1246</v>
      </c>
      <c r="F829" s="35" t="s">
        <v>1249</v>
      </c>
    </row>
    <row r="830" spans="1:6" ht="19.5" customHeight="1" thickTop="1" thickBot="1" x14ac:dyDescent="0.25">
      <c r="A830" s="33" t="str">
        <f>مهن[[#This Row],[الدرجة]]&amp;مهن[[#This Row],[المهنة]]</f>
        <v>7نجار مسلح</v>
      </c>
      <c r="B830" s="24">
        <v>7</v>
      </c>
      <c r="C830" s="24" t="s">
        <v>504</v>
      </c>
      <c r="D830" s="24">
        <v>146</v>
      </c>
      <c r="E830" s="34" t="s">
        <v>1246</v>
      </c>
      <c r="F830" s="35" t="s">
        <v>1250</v>
      </c>
    </row>
    <row r="831" spans="1:6" ht="19.5" customHeight="1" thickTop="1" thickBot="1" x14ac:dyDescent="0.25">
      <c r="A831" s="33" t="str">
        <f>مهن[[#This Row],[الدرجة]]&amp;مهن[[#This Row],[المهنة]]</f>
        <v>8نجار مسلح</v>
      </c>
      <c r="B831" s="24">
        <v>8</v>
      </c>
      <c r="C831" s="24" t="s">
        <v>506</v>
      </c>
      <c r="D831" s="24">
        <v>146</v>
      </c>
      <c r="E831" s="34" t="s">
        <v>1246</v>
      </c>
      <c r="F831" s="35" t="s">
        <v>1251</v>
      </c>
    </row>
    <row r="832" spans="1:6" ht="19.5" customHeight="1" thickTop="1" thickBot="1" x14ac:dyDescent="0.25">
      <c r="A832" s="33" t="str">
        <f>مهن[[#This Row],[الدرجة]]&amp;مهن[[#This Row],[المهنة]]</f>
        <v>9نجار مسلح</v>
      </c>
      <c r="B832" s="24">
        <v>9</v>
      </c>
      <c r="C832" s="24" t="s">
        <v>1152</v>
      </c>
      <c r="D832" s="24">
        <v>146</v>
      </c>
      <c r="E832" s="34" t="s">
        <v>1246</v>
      </c>
      <c r="F832" s="35" t="s">
        <v>1252</v>
      </c>
    </row>
    <row r="833" spans="1:6" ht="19.5" customHeight="1" thickTop="1" thickBot="1" x14ac:dyDescent="0.25">
      <c r="A833" s="33" t="str">
        <f>مهن[[#This Row],[الدرجة]]&amp;مهن[[#This Row],[المهنة]]</f>
        <v>4استورجى</v>
      </c>
      <c r="B833" s="24">
        <v>4</v>
      </c>
      <c r="C833" s="24" t="s">
        <v>498</v>
      </c>
      <c r="D833" s="24">
        <v>147</v>
      </c>
      <c r="E833" s="34" t="s">
        <v>1253</v>
      </c>
      <c r="F833" s="35" t="s">
        <v>1254</v>
      </c>
    </row>
    <row r="834" spans="1:6" ht="19.5" customHeight="1" thickTop="1" thickBot="1" x14ac:dyDescent="0.25">
      <c r="A834" s="33" t="str">
        <f>مهن[[#This Row],[الدرجة]]&amp;مهن[[#This Row],[المهنة]]</f>
        <v>5استورجى</v>
      </c>
      <c r="B834" s="24">
        <v>5</v>
      </c>
      <c r="C834" s="24" t="s">
        <v>500</v>
      </c>
      <c r="D834" s="24">
        <v>147</v>
      </c>
      <c r="E834" s="34" t="s">
        <v>1253</v>
      </c>
      <c r="F834" s="35" t="s">
        <v>1255</v>
      </c>
    </row>
    <row r="835" spans="1:6" ht="19.5" customHeight="1" thickTop="1" thickBot="1" x14ac:dyDescent="0.25">
      <c r="A835" s="33" t="str">
        <f>مهن[[#This Row],[الدرجة]]&amp;مهن[[#This Row],[المهنة]]</f>
        <v>6استورجى</v>
      </c>
      <c r="B835" s="24">
        <v>6</v>
      </c>
      <c r="C835" s="24" t="s">
        <v>502</v>
      </c>
      <c r="D835" s="24">
        <v>147</v>
      </c>
      <c r="E835" s="34" t="s">
        <v>1253</v>
      </c>
      <c r="F835" s="35" t="s">
        <v>1256</v>
      </c>
    </row>
    <row r="836" spans="1:6" ht="19.5" customHeight="1" thickTop="1" thickBot="1" x14ac:dyDescent="0.25">
      <c r="A836" s="33" t="str">
        <f>مهن[[#This Row],[الدرجة]]&amp;مهن[[#This Row],[المهنة]]</f>
        <v>7استورجى</v>
      </c>
      <c r="B836" s="24">
        <v>7</v>
      </c>
      <c r="C836" s="24" t="s">
        <v>504</v>
      </c>
      <c r="D836" s="24">
        <v>147</v>
      </c>
      <c r="E836" s="34" t="s">
        <v>1253</v>
      </c>
      <c r="F836" s="35" t="s">
        <v>1257</v>
      </c>
    </row>
    <row r="837" spans="1:6" ht="19.5" customHeight="1" thickTop="1" thickBot="1" x14ac:dyDescent="0.25">
      <c r="A837" s="33" t="str">
        <f>مهن[[#This Row],[الدرجة]]&amp;مهن[[#This Row],[المهنة]]</f>
        <v>8استورجى</v>
      </c>
      <c r="B837" s="24">
        <v>8</v>
      </c>
      <c r="C837" s="24" t="s">
        <v>506</v>
      </c>
      <c r="D837" s="24">
        <v>147</v>
      </c>
      <c r="E837" s="34" t="s">
        <v>1253</v>
      </c>
      <c r="F837" s="35" t="s">
        <v>1258</v>
      </c>
    </row>
    <row r="838" spans="1:6" ht="19.5" customHeight="1" thickTop="1" thickBot="1" x14ac:dyDescent="0.25">
      <c r="A838" s="33" t="str">
        <f>مهن[[#This Row],[الدرجة]]&amp;مهن[[#This Row],[المهنة]]</f>
        <v>9استورجى</v>
      </c>
      <c r="B838" s="24">
        <v>9</v>
      </c>
      <c r="C838" s="24" t="s">
        <v>1152</v>
      </c>
      <c r="D838" s="24">
        <v>147</v>
      </c>
      <c r="E838" s="34" t="s">
        <v>1253</v>
      </c>
      <c r="F838" s="35" t="s">
        <v>1259</v>
      </c>
    </row>
    <row r="839" spans="1:6" ht="19.5" customHeight="1" thickTop="1" thickBot="1" x14ac:dyDescent="0.25">
      <c r="A839" s="33" t="str">
        <f>مهن[[#This Row],[الدرجة]]&amp;مهن[[#This Row],[المهنة]]</f>
        <v>4منجد</v>
      </c>
      <c r="B839" s="24">
        <v>4</v>
      </c>
      <c r="C839" s="24" t="s">
        <v>498</v>
      </c>
      <c r="D839" s="24">
        <v>148</v>
      </c>
      <c r="E839" s="34" t="s">
        <v>1260</v>
      </c>
      <c r="F839" s="35" t="s">
        <v>1261</v>
      </c>
    </row>
    <row r="840" spans="1:6" ht="19.5" customHeight="1" thickTop="1" thickBot="1" x14ac:dyDescent="0.25">
      <c r="A840" s="33" t="str">
        <f>مهن[[#This Row],[الدرجة]]&amp;مهن[[#This Row],[المهنة]]</f>
        <v>5منجد</v>
      </c>
      <c r="B840" s="24">
        <v>5</v>
      </c>
      <c r="C840" s="24" t="s">
        <v>500</v>
      </c>
      <c r="D840" s="24">
        <v>148</v>
      </c>
      <c r="E840" s="34" t="s">
        <v>1260</v>
      </c>
      <c r="F840" s="35" t="s">
        <v>1262</v>
      </c>
    </row>
    <row r="841" spans="1:6" ht="19.5" customHeight="1" thickTop="1" thickBot="1" x14ac:dyDescent="0.25">
      <c r="A841" s="33" t="str">
        <f>مهن[[#This Row],[الدرجة]]&amp;مهن[[#This Row],[المهنة]]</f>
        <v>6منجد</v>
      </c>
      <c r="B841" s="24">
        <v>6</v>
      </c>
      <c r="C841" s="24" t="s">
        <v>502</v>
      </c>
      <c r="D841" s="24">
        <v>148</v>
      </c>
      <c r="E841" s="34" t="s">
        <v>1260</v>
      </c>
      <c r="F841" s="35" t="s">
        <v>1263</v>
      </c>
    </row>
    <row r="842" spans="1:6" ht="19.5" customHeight="1" thickTop="1" thickBot="1" x14ac:dyDescent="0.25">
      <c r="A842" s="33" t="str">
        <f>مهن[[#This Row],[الدرجة]]&amp;مهن[[#This Row],[المهنة]]</f>
        <v>7منجد</v>
      </c>
      <c r="B842" s="24">
        <v>7</v>
      </c>
      <c r="C842" s="24" t="s">
        <v>504</v>
      </c>
      <c r="D842" s="24">
        <v>148</v>
      </c>
      <c r="E842" s="34" t="s">
        <v>1260</v>
      </c>
      <c r="F842" s="35" t="s">
        <v>1264</v>
      </c>
    </row>
    <row r="843" spans="1:6" ht="19.5" customHeight="1" thickTop="1" thickBot="1" x14ac:dyDescent="0.25">
      <c r="A843" s="33" t="str">
        <f>مهن[[#This Row],[الدرجة]]&amp;مهن[[#This Row],[المهنة]]</f>
        <v>8منجد</v>
      </c>
      <c r="B843" s="24">
        <v>8</v>
      </c>
      <c r="C843" s="24" t="s">
        <v>506</v>
      </c>
      <c r="D843" s="24">
        <v>148</v>
      </c>
      <c r="E843" s="34" t="s">
        <v>1260</v>
      </c>
      <c r="F843" s="35" t="s">
        <v>1265</v>
      </c>
    </row>
    <row r="844" spans="1:6" ht="19.5" customHeight="1" thickTop="1" thickBot="1" x14ac:dyDescent="0.25">
      <c r="A844" s="33" t="str">
        <f>مهن[[#This Row],[الدرجة]]&amp;مهن[[#This Row],[المهنة]]</f>
        <v>9منجد</v>
      </c>
      <c r="B844" s="24">
        <v>9</v>
      </c>
      <c r="C844" s="24" t="s">
        <v>1152</v>
      </c>
      <c r="D844" s="24">
        <v>148</v>
      </c>
      <c r="E844" s="34" t="s">
        <v>1260</v>
      </c>
      <c r="F844" s="35" t="s">
        <v>1266</v>
      </c>
    </row>
    <row r="845" spans="1:6" ht="19.5" customHeight="1" thickTop="1" thickBot="1" x14ac:dyDescent="0.25">
      <c r="A845" s="33" t="str">
        <f>مهن[[#This Row],[الدرجة]]&amp;مهن[[#This Row],[المهنة]]</f>
        <v>4سروجى</v>
      </c>
      <c r="B845" s="24">
        <v>4</v>
      </c>
      <c r="C845" s="24" t="s">
        <v>498</v>
      </c>
      <c r="D845" s="24">
        <v>149</v>
      </c>
      <c r="E845" s="34" t="s">
        <v>1267</v>
      </c>
      <c r="F845" s="35" t="s">
        <v>1268</v>
      </c>
    </row>
    <row r="846" spans="1:6" ht="19.5" customHeight="1" thickTop="1" thickBot="1" x14ac:dyDescent="0.25">
      <c r="A846" s="33" t="str">
        <f>مهن[[#This Row],[الدرجة]]&amp;مهن[[#This Row],[المهنة]]</f>
        <v>5سروجى</v>
      </c>
      <c r="B846" s="24">
        <v>5</v>
      </c>
      <c r="C846" s="24" t="s">
        <v>500</v>
      </c>
      <c r="D846" s="24">
        <v>149</v>
      </c>
      <c r="E846" s="34" t="s">
        <v>1267</v>
      </c>
      <c r="F846" s="35" t="s">
        <v>1269</v>
      </c>
    </row>
    <row r="847" spans="1:6" ht="19.5" customHeight="1" thickTop="1" thickBot="1" x14ac:dyDescent="0.25">
      <c r="A847" s="33" t="str">
        <f>مهن[[#This Row],[الدرجة]]&amp;مهن[[#This Row],[المهنة]]</f>
        <v>6سروجى</v>
      </c>
      <c r="B847" s="24">
        <v>6</v>
      </c>
      <c r="C847" s="24" t="s">
        <v>502</v>
      </c>
      <c r="D847" s="24">
        <v>149</v>
      </c>
      <c r="E847" s="34" t="s">
        <v>1267</v>
      </c>
      <c r="F847" s="35" t="s">
        <v>1270</v>
      </c>
    </row>
    <row r="848" spans="1:6" ht="19.5" customHeight="1" thickTop="1" thickBot="1" x14ac:dyDescent="0.25">
      <c r="A848" s="33" t="str">
        <f>مهن[[#This Row],[الدرجة]]&amp;مهن[[#This Row],[المهنة]]</f>
        <v>7سروجى</v>
      </c>
      <c r="B848" s="24">
        <v>7</v>
      </c>
      <c r="C848" s="24" t="s">
        <v>504</v>
      </c>
      <c r="D848" s="24">
        <v>149</v>
      </c>
      <c r="E848" s="34" t="s">
        <v>1267</v>
      </c>
      <c r="F848" s="35" t="s">
        <v>1271</v>
      </c>
    </row>
    <row r="849" spans="1:6" ht="19.5" customHeight="1" thickTop="1" thickBot="1" x14ac:dyDescent="0.25">
      <c r="A849" s="33" t="str">
        <f>مهن[[#This Row],[الدرجة]]&amp;مهن[[#This Row],[المهنة]]</f>
        <v>8سروجى</v>
      </c>
      <c r="B849" s="24">
        <v>8</v>
      </c>
      <c r="C849" s="24" t="s">
        <v>506</v>
      </c>
      <c r="D849" s="24">
        <v>149</v>
      </c>
      <c r="E849" s="34" t="s">
        <v>1267</v>
      </c>
      <c r="F849" s="35" t="s">
        <v>1272</v>
      </c>
    </row>
    <row r="850" spans="1:6" ht="19.5" customHeight="1" thickTop="1" thickBot="1" x14ac:dyDescent="0.25">
      <c r="A850" s="33" t="str">
        <f>مهن[[#This Row],[الدرجة]]&amp;مهن[[#This Row],[المهنة]]</f>
        <v>9سروجى</v>
      </c>
      <c r="B850" s="24">
        <v>9</v>
      </c>
      <c r="C850" s="24" t="s">
        <v>1152</v>
      </c>
      <c r="D850" s="24">
        <v>149</v>
      </c>
      <c r="E850" s="34" t="s">
        <v>1267</v>
      </c>
      <c r="F850" s="35" t="s">
        <v>1273</v>
      </c>
    </row>
    <row r="851" spans="1:6" ht="19.5" customHeight="1" thickTop="1" thickBot="1" x14ac:dyDescent="0.25">
      <c r="A851" s="33" t="str">
        <f>مهن[[#This Row],[الدرجة]]&amp;مهن[[#This Row],[المهنة]]</f>
        <v>4عامل مرشحات</v>
      </c>
      <c r="B851" s="24">
        <v>4</v>
      </c>
      <c r="C851" s="24" t="s">
        <v>498</v>
      </c>
      <c r="D851" s="24">
        <v>150</v>
      </c>
      <c r="E851" s="34" t="s">
        <v>1274</v>
      </c>
      <c r="F851" s="35" t="s">
        <v>1275</v>
      </c>
    </row>
    <row r="852" spans="1:6" ht="19.5" customHeight="1" thickTop="1" thickBot="1" x14ac:dyDescent="0.25">
      <c r="A852" s="33" t="str">
        <f>مهن[[#This Row],[الدرجة]]&amp;مهن[[#This Row],[المهنة]]</f>
        <v>5عامل مرشحات</v>
      </c>
      <c r="B852" s="24">
        <v>5</v>
      </c>
      <c r="C852" s="24" t="s">
        <v>500</v>
      </c>
      <c r="D852" s="24">
        <v>150</v>
      </c>
      <c r="E852" s="34" t="s">
        <v>1274</v>
      </c>
      <c r="F852" s="35" t="s">
        <v>1276</v>
      </c>
    </row>
    <row r="853" spans="1:6" ht="19.5" customHeight="1" thickTop="1" thickBot="1" x14ac:dyDescent="0.25">
      <c r="A853" s="33" t="str">
        <f>مهن[[#This Row],[الدرجة]]&amp;مهن[[#This Row],[المهنة]]</f>
        <v>6عامل مرشحات</v>
      </c>
      <c r="B853" s="24">
        <v>6</v>
      </c>
      <c r="C853" s="24" t="s">
        <v>502</v>
      </c>
      <c r="D853" s="24">
        <v>150</v>
      </c>
      <c r="E853" s="34" t="s">
        <v>1274</v>
      </c>
      <c r="F853" s="35" t="s">
        <v>1277</v>
      </c>
    </row>
    <row r="854" spans="1:6" ht="19.5" customHeight="1" thickTop="1" thickBot="1" x14ac:dyDescent="0.25">
      <c r="A854" s="33" t="str">
        <f>مهن[[#This Row],[الدرجة]]&amp;مهن[[#This Row],[المهنة]]</f>
        <v>7عامل مرشحات</v>
      </c>
      <c r="B854" s="24">
        <v>7</v>
      </c>
      <c r="C854" s="24" t="s">
        <v>504</v>
      </c>
      <c r="D854" s="24">
        <v>150</v>
      </c>
      <c r="E854" s="34" t="s">
        <v>1274</v>
      </c>
      <c r="F854" s="35" t="s">
        <v>1278</v>
      </c>
    </row>
    <row r="855" spans="1:6" ht="19.5" customHeight="1" thickTop="1" thickBot="1" x14ac:dyDescent="0.25">
      <c r="A855" s="33" t="str">
        <f>مهن[[#This Row],[الدرجة]]&amp;مهن[[#This Row],[المهنة]]</f>
        <v>8عامل مرشحات</v>
      </c>
      <c r="B855" s="24">
        <v>8</v>
      </c>
      <c r="C855" s="24" t="s">
        <v>506</v>
      </c>
      <c r="D855" s="24">
        <v>150</v>
      </c>
      <c r="E855" s="34" t="s">
        <v>1274</v>
      </c>
      <c r="F855" s="35" t="s">
        <v>1279</v>
      </c>
    </row>
    <row r="856" spans="1:6" ht="19.5" customHeight="1" thickTop="1" thickBot="1" x14ac:dyDescent="0.25">
      <c r="A856" s="33" t="str">
        <f>مهن[[#This Row],[الدرجة]]&amp;مهن[[#This Row],[المهنة]]</f>
        <v>9عامل مرشحات</v>
      </c>
      <c r="B856" s="24">
        <v>9</v>
      </c>
      <c r="C856" s="24" t="s">
        <v>1152</v>
      </c>
      <c r="D856" s="24">
        <v>150</v>
      </c>
      <c r="E856" s="34" t="s">
        <v>1274</v>
      </c>
      <c r="F856" s="35" t="s">
        <v>1280</v>
      </c>
    </row>
    <row r="857" spans="1:6" ht="19.5" customHeight="1" thickTop="1" thickBot="1" x14ac:dyDescent="0.25">
      <c r="A857" s="33" t="str">
        <f>مهن[[#This Row],[الدرجة]]&amp;مهن[[#This Row],[المهنة]]</f>
        <v>4سائق ماكينة</v>
      </c>
      <c r="B857" s="24">
        <v>4</v>
      </c>
      <c r="C857" s="24" t="s">
        <v>498</v>
      </c>
      <c r="D857" s="24">
        <v>151</v>
      </c>
      <c r="E857" s="34" t="s">
        <v>1281</v>
      </c>
      <c r="F857" s="35" t="s">
        <v>1282</v>
      </c>
    </row>
    <row r="858" spans="1:6" ht="19.5" customHeight="1" thickTop="1" thickBot="1" x14ac:dyDescent="0.25">
      <c r="A858" s="33" t="str">
        <f>مهن[[#This Row],[الدرجة]]&amp;مهن[[#This Row],[المهنة]]</f>
        <v>5سائق ماكينة</v>
      </c>
      <c r="B858" s="24">
        <v>5</v>
      </c>
      <c r="C858" s="24" t="s">
        <v>500</v>
      </c>
      <c r="D858" s="24">
        <v>151</v>
      </c>
      <c r="E858" s="34" t="s">
        <v>1281</v>
      </c>
      <c r="F858" s="35" t="s">
        <v>1283</v>
      </c>
    </row>
    <row r="859" spans="1:6" ht="19.5" customHeight="1" thickTop="1" thickBot="1" x14ac:dyDescent="0.25">
      <c r="A859" s="33" t="str">
        <f>مهن[[#This Row],[الدرجة]]&amp;مهن[[#This Row],[المهنة]]</f>
        <v>6سائق ماكينة</v>
      </c>
      <c r="B859" s="24">
        <v>6</v>
      </c>
      <c r="C859" s="24" t="s">
        <v>502</v>
      </c>
      <c r="D859" s="24">
        <v>151</v>
      </c>
      <c r="E859" s="34" t="s">
        <v>1281</v>
      </c>
      <c r="F859" s="35" t="s">
        <v>1284</v>
      </c>
    </row>
    <row r="860" spans="1:6" ht="19.5" customHeight="1" thickTop="1" thickBot="1" x14ac:dyDescent="0.25">
      <c r="A860" s="33" t="str">
        <f>مهن[[#This Row],[الدرجة]]&amp;مهن[[#This Row],[المهنة]]</f>
        <v>7سائق ماكينة</v>
      </c>
      <c r="B860" s="24">
        <v>7</v>
      </c>
      <c r="C860" s="24" t="s">
        <v>504</v>
      </c>
      <c r="D860" s="24">
        <v>151</v>
      </c>
      <c r="E860" s="34" t="s">
        <v>1281</v>
      </c>
      <c r="F860" s="35" t="s">
        <v>1285</v>
      </c>
    </row>
    <row r="861" spans="1:6" ht="19.5" customHeight="1" thickTop="1" thickBot="1" x14ac:dyDescent="0.25">
      <c r="A861" s="33" t="str">
        <f>مهن[[#This Row],[الدرجة]]&amp;مهن[[#This Row],[المهنة]]</f>
        <v>8سائق ماكينة</v>
      </c>
      <c r="B861" s="24">
        <v>8</v>
      </c>
      <c r="C861" s="24" t="s">
        <v>506</v>
      </c>
      <c r="D861" s="24">
        <v>151</v>
      </c>
      <c r="E861" s="34" t="s">
        <v>1281</v>
      </c>
      <c r="F861" s="35" t="s">
        <v>1286</v>
      </c>
    </row>
    <row r="862" spans="1:6" ht="19.5" customHeight="1" thickTop="1" thickBot="1" x14ac:dyDescent="0.25">
      <c r="A862" s="33" t="str">
        <f>مهن[[#This Row],[الدرجة]]&amp;مهن[[#This Row],[المهنة]]</f>
        <v>9سائق ماكينة</v>
      </c>
      <c r="B862" s="24">
        <v>9</v>
      </c>
      <c r="C862" s="24" t="s">
        <v>1152</v>
      </c>
      <c r="D862" s="24">
        <v>151</v>
      </c>
      <c r="E862" s="34" t="s">
        <v>1281</v>
      </c>
      <c r="F862" s="35" t="s">
        <v>1287</v>
      </c>
    </row>
    <row r="863" spans="1:6" ht="19.5" customHeight="1" thickTop="1" thickBot="1" x14ac:dyDescent="0.25">
      <c r="A863" s="33" t="str">
        <f>مهن[[#This Row],[الدرجة]]&amp;مهن[[#This Row],[المهنة]]</f>
        <v>4عامل تنظيف مسبوكات</v>
      </c>
      <c r="B863" s="24">
        <v>4</v>
      </c>
      <c r="C863" s="24" t="s">
        <v>498</v>
      </c>
      <c r="D863" s="24">
        <v>152</v>
      </c>
      <c r="E863" s="34" t="s">
        <v>1288</v>
      </c>
      <c r="F863" s="35" t="s">
        <v>1289</v>
      </c>
    </row>
    <row r="864" spans="1:6" ht="19.5" customHeight="1" thickTop="1" thickBot="1" x14ac:dyDescent="0.25">
      <c r="A864" s="33" t="str">
        <f>مهن[[#This Row],[الدرجة]]&amp;مهن[[#This Row],[المهنة]]</f>
        <v>5عامل تنظيف مسبوكات</v>
      </c>
      <c r="B864" s="24">
        <v>5</v>
      </c>
      <c r="C864" s="24" t="s">
        <v>500</v>
      </c>
      <c r="D864" s="24">
        <v>152</v>
      </c>
      <c r="E864" s="34" t="s">
        <v>1288</v>
      </c>
      <c r="F864" s="35" t="s">
        <v>1290</v>
      </c>
    </row>
    <row r="865" spans="1:6" ht="19.5" customHeight="1" thickTop="1" thickBot="1" x14ac:dyDescent="0.25">
      <c r="A865" s="33" t="str">
        <f>مهن[[#This Row],[الدرجة]]&amp;مهن[[#This Row],[المهنة]]</f>
        <v>6عامل تنظيف مسبوكات</v>
      </c>
      <c r="B865" s="24">
        <v>6</v>
      </c>
      <c r="C865" s="24" t="s">
        <v>502</v>
      </c>
      <c r="D865" s="24">
        <v>152</v>
      </c>
      <c r="E865" s="34" t="s">
        <v>1288</v>
      </c>
      <c r="F865" s="35" t="s">
        <v>1291</v>
      </c>
    </row>
    <row r="866" spans="1:6" ht="19.5" customHeight="1" thickTop="1" thickBot="1" x14ac:dyDescent="0.25">
      <c r="A866" s="33" t="str">
        <f>مهن[[#This Row],[الدرجة]]&amp;مهن[[#This Row],[المهنة]]</f>
        <v>7عامل تنظيف مسبوكات</v>
      </c>
      <c r="B866" s="24">
        <v>7</v>
      </c>
      <c r="C866" s="24" t="s">
        <v>504</v>
      </c>
      <c r="D866" s="24">
        <v>152</v>
      </c>
      <c r="E866" s="34" t="s">
        <v>1288</v>
      </c>
      <c r="F866" s="35" t="s">
        <v>1292</v>
      </c>
    </row>
    <row r="867" spans="1:6" ht="19.5" customHeight="1" thickTop="1" thickBot="1" x14ac:dyDescent="0.25">
      <c r="A867" s="33" t="str">
        <f>مهن[[#This Row],[الدرجة]]&amp;مهن[[#This Row],[المهنة]]</f>
        <v>8عامل تنظيف مسبوكات</v>
      </c>
      <c r="B867" s="24">
        <v>8</v>
      </c>
      <c r="C867" s="24" t="s">
        <v>506</v>
      </c>
      <c r="D867" s="24">
        <v>152</v>
      </c>
      <c r="E867" s="34" t="s">
        <v>1288</v>
      </c>
      <c r="F867" s="35" t="s">
        <v>1293</v>
      </c>
    </row>
    <row r="868" spans="1:6" ht="19.5" customHeight="1" thickTop="1" thickBot="1" x14ac:dyDescent="0.25">
      <c r="A868" s="33" t="str">
        <f>مهن[[#This Row],[الدرجة]]&amp;مهن[[#This Row],[المهنة]]</f>
        <v>9عامل تنظيف مسبوكات</v>
      </c>
      <c r="B868" s="24">
        <v>9</v>
      </c>
      <c r="C868" s="24" t="s">
        <v>1152</v>
      </c>
      <c r="D868" s="24">
        <v>152</v>
      </c>
      <c r="E868" s="34" t="s">
        <v>1288</v>
      </c>
      <c r="F868" s="35" t="s">
        <v>1294</v>
      </c>
    </row>
    <row r="869" spans="1:6" ht="19.5" customHeight="1" thickTop="1" thickBot="1" x14ac:dyDescent="0.25">
      <c r="A869" s="33" t="str">
        <f>مهن[[#This Row],[الدرجة]]&amp;مهن[[#This Row],[المهنة]]</f>
        <v>4لحام كاوتشوك</v>
      </c>
      <c r="B869" s="24">
        <v>4</v>
      </c>
      <c r="C869" s="24" t="s">
        <v>498</v>
      </c>
      <c r="D869" s="24">
        <v>153</v>
      </c>
      <c r="E869" s="34" t="s">
        <v>1295</v>
      </c>
      <c r="F869" s="35" t="s">
        <v>1296</v>
      </c>
    </row>
    <row r="870" spans="1:6" ht="19.5" customHeight="1" thickTop="1" thickBot="1" x14ac:dyDescent="0.25">
      <c r="A870" s="33" t="str">
        <f>مهن[[#This Row],[الدرجة]]&amp;مهن[[#This Row],[المهنة]]</f>
        <v>5لحام كاوتشوك</v>
      </c>
      <c r="B870" s="24">
        <v>5</v>
      </c>
      <c r="C870" s="24" t="s">
        <v>500</v>
      </c>
      <c r="D870" s="24">
        <v>153</v>
      </c>
      <c r="E870" s="34" t="s">
        <v>1295</v>
      </c>
      <c r="F870" s="35" t="s">
        <v>1297</v>
      </c>
    </row>
    <row r="871" spans="1:6" ht="19.5" customHeight="1" thickTop="1" thickBot="1" x14ac:dyDescent="0.25">
      <c r="A871" s="33" t="str">
        <f>مهن[[#This Row],[الدرجة]]&amp;مهن[[#This Row],[المهنة]]</f>
        <v>6لحام كاوتشوك</v>
      </c>
      <c r="B871" s="24">
        <v>6</v>
      </c>
      <c r="C871" s="24" t="s">
        <v>502</v>
      </c>
      <c r="D871" s="24">
        <v>153</v>
      </c>
      <c r="E871" s="34" t="s">
        <v>1295</v>
      </c>
      <c r="F871" s="35" t="s">
        <v>1298</v>
      </c>
    </row>
    <row r="872" spans="1:6" ht="19.5" customHeight="1" thickTop="1" thickBot="1" x14ac:dyDescent="0.25">
      <c r="A872" s="33" t="str">
        <f>مهن[[#This Row],[الدرجة]]&amp;مهن[[#This Row],[المهنة]]</f>
        <v>7لحام كاوتشوك</v>
      </c>
      <c r="B872" s="24">
        <v>7</v>
      </c>
      <c r="C872" s="24" t="s">
        <v>504</v>
      </c>
      <c r="D872" s="24">
        <v>153</v>
      </c>
      <c r="E872" s="34" t="s">
        <v>1295</v>
      </c>
      <c r="F872" s="35" t="s">
        <v>1299</v>
      </c>
    </row>
    <row r="873" spans="1:6" ht="19.5" customHeight="1" thickTop="1" thickBot="1" x14ac:dyDescent="0.25">
      <c r="A873" s="33" t="str">
        <f>مهن[[#This Row],[الدرجة]]&amp;مهن[[#This Row],[المهنة]]</f>
        <v>8لحام كاوتشوك</v>
      </c>
      <c r="B873" s="24">
        <v>8</v>
      </c>
      <c r="C873" s="24" t="s">
        <v>506</v>
      </c>
      <c r="D873" s="24">
        <v>153</v>
      </c>
      <c r="E873" s="34" t="s">
        <v>1295</v>
      </c>
      <c r="F873" s="35" t="s">
        <v>1300</v>
      </c>
    </row>
    <row r="874" spans="1:6" ht="19.5" customHeight="1" thickTop="1" thickBot="1" x14ac:dyDescent="0.25">
      <c r="A874" s="33" t="str">
        <f>مهن[[#This Row],[الدرجة]]&amp;مهن[[#This Row],[المهنة]]</f>
        <v>9لحام كاوتشوك</v>
      </c>
      <c r="B874" s="24">
        <v>9</v>
      </c>
      <c r="C874" s="24" t="s">
        <v>1152</v>
      </c>
      <c r="D874" s="24">
        <v>153</v>
      </c>
      <c r="E874" s="34" t="s">
        <v>1295</v>
      </c>
      <c r="F874" s="35" t="s">
        <v>1301</v>
      </c>
    </row>
    <row r="875" spans="1:6" ht="19.5" customHeight="1" thickTop="1" thickBot="1" x14ac:dyDescent="0.25">
      <c r="A875" s="33" t="str">
        <f>مهن[[#This Row],[الدرجة]]&amp;مهن[[#This Row],[المهنة]]</f>
        <v>4عامل رشمة ودهان</v>
      </c>
      <c r="B875" s="24">
        <v>4</v>
      </c>
      <c r="C875" s="24" t="s">
        <v>498</v>
      </c>
      <c r="D875" s="24">
        <v>154</v>
      </c>
      <c r="E875" s="34" t="s">
        <v>1302</v>
      </c>
      <c r="F875" s="35" t="s">
        <v>1303</v>
      </c>
    </row>
    <row r="876" spans="1:6" ht="19.5" customHeight="1" thickTop="1" thickBot="1" x14ac:dyDescent="0.25">
      <c r="A876" s="33" t="str">
        <f>مهن[[#This Row],[الدرجة]]&amp;مهن[[#This Row],[المهنة]]</f>
        <v>5عامل رشمة ودهان</v>
      </c>
      <c r="B876" s="24">
        <v>5</v>
      </c>
      <c r="C876" s="24" t="s">
        <v>500</v>
      </c>
      <c r="D876" s="24">
        <v>154</v>
      </c>
      <c r="E876" s="34" t="s">
        <v>1302</v>
      </c>
      <c r="F876" s="35" t="s">
        <v>1304</v>
      </c>
    </row>
    <row r="877" spans="1:6" ht="19.5" customHeight="1" thickTop="1" thickBot="1" x14ac:dyDescent="0.25">
      <c r="A877" s="33" t="str">
        <f>مهن[[#This Row],[الدرجة]]&amp;مهن[[#This Row],[المهنة]]</f>
        <v>6عامل رشمة ودهان</v>
      </c>
      <c r="B877" s="24">
        <v>6</v>
      </c>
      <c r="C877" s="24" t="s">
        <v>502</v>
      </c>
      <c r="D877" s="24">
        <v>154</v>
      </c>
      <c r="E877" s="34" t="s">
        <v>1302</v>
      </c>
      <c r="F877" s="35" t="s">
        <v>1305</v>
      </c>
    </row>
    <row r="878" spans="1:6" ht="19.5" customHeight="1" thickTop="1" thickBot="1" x14ac:dyDescent="0.25">
      <c r="A878" s="33" t="str">
        <f>مهن[[#This Row],[الدرجة]]&amp;مهن[[#This Row],[المهنة]]</f>
        <v>7عامل رشمة ودهان</v>
      </c>
      <c r="B878" s="24">
        <v>7</v>
      </c>
      <c r="C878" s="24" t="s">
        <v>504</v>
      </c>
      <c r="D878" s="24">
        <v>154</v>
      </c>
      <c r="E878" s="34" t="s">
        <v>1302</v>
      </c>
      <c r="F878" s="35" t="s">
        <v>1306</v>
      </c>
    </row>
    <row r="879" spans="1:6" ht="19.5" customHeight="1" thickTop="1" thickBot="1" x14ac:dyDescent="0.25">
      <c r="A879" s="33" t="str">
        <f>مهن[[#This Row],[الدرجة]]&amp;مهن[[#This Row],[المهنة]]</f>
        <v>8عامل رشمة ودهان</v>
      </c>
      <c r="B879" s="24">
        <v>8</v>
      </c>
      <c r="C879" s="24" t="s">
        <v>506</v>
      </c>
      <c r="D879" s="24">
        <v>154</v>
      </c>
      <c r="E879" s="34" t="s">
        <v>1302</v>
      </c>
      <c r="F879" s="35" t="s">
        <v>1307</v>
      </c>
    </row>
    <row r="880" spans="1:6" ht="19.5" customHeight="1" thickTop="1" thickBot="1" x14ac:dyDescent="0.25">
      <c r="A880" s="33" t="str">
        <f>مهن[[#This Row],[الدرجة]]&amp;مهن[[#This Row],[المهنة]]</f>
        <v>9عامل رشمة ودهان</v>
      </c>
      <c r="B880" s="24">
        <v>9</v>
      </c>
      <c r="C880" s="24" t="s">
        <v>1152</v>
      </c>
      <c r="D880" s="24">
        <v>154</v>
      </c>
      <c r="E880" s="34" t="s">
        <v>1302</v>
      </c>
      <c r="F880" s="35" t="s">
        <v>1308</v>
      </c>
    </row>
    <row r="881" spans="1:6" ht="19.5" customHeight="1" thickTop="1" thickBot="1" x14ac:dyDescent="0.25">
      <c r="A881" s="33" t="str">
        <f>مهن[[#This Row],[الدرجة]]&amp;مهن[[#This Row],[المهنة]]</f>
        <v>4فراز حبال</v>
      </c>
      <c r="B881" s="24">
        <v>4</v>
      </c>
      <c r="C881" s="24" t="s">
        <v>498</v>
      </c>
      <c r="D881" s="24">
        <v>155</v>
      </c>
      <c r="E881" s="34" t="s">
        <v>1309</v>
      </c>
      <c r="F881" s="35" t="s">
        <v>1310</v>
      </c>
    </row>
    <row r="882" spans="1:6" ht="19.5" customHeight="1" thickTop="1" thickBot="1" x14ac:dyDescent="0.25">
      <c r="A882" s="33" t="str">
        <f>مهن[[#This Row],[الدرجة]]&amp;مهن[[#This Row],[المهنة]]</f>
        <v>5فراز حبال</v>
      </c>
      <c r="B882" s="24">
        <v>5</v>
      </c>
      <c r="C882" s="24" t="s">
        <v>500</v>
      </c>
      <c r="D882" s="24">
        <v>155</v>
      </c>
      <c r="E882" s="34" t="s">
        <v>1309</v>
      </c>
      <c r="F882" s="35" t="s">
        <v>1311</v>
      </c>
    </row>
    <row r="883" spans="1:6" ht="19.5" customHeight="1" thickTop="1" thickBot="1" x14ac:dyDescent="0.25">
      <c r="A883" s="33" t="str">
        <f>مهن[[#This Row],[الدرجة]]&amp;مهن[[#This Row],[المهنة]]</f>
        <v>6فراز حبال</v>
      </c>
      <c r="B883" s="24">
        <v>6</v>
      </c>
      <c r="C883" s="24" t="s">
        <v>502</v>
      </c>
      <c r="D883" s="24">
        <v>155</v>
      </c>
      <c r="E883" s="34" t="s">
        <v>1309</v>
      </c>
      <c r="F883" s="35" t="s">
        <v>1312</v>
      </c>
    </row>
    <row r="884" spans="1:6" ht="19.5" customHeight="1" thickTop="1" thickBot="1" x14ac:dyDescent="0.25">
      <c r="A884" s="33" t="str">
        <f>مهن[[#This Row],[الدرجة]]&amp;مهن[[#This Row],[المهنة]]</f>
        <v>7فراز حبال</v>
      </c>
      <c r="B884" s="24">
        <v>7</v>
      </c>
      <c r="C884" s="24" t="s">
        <v>504</v>
      </c>
      <c r="D884" s="24">
        <v>155</v>
      </c>
      <c r="E884" s="34" t="s">
        <v>1309</v>
      </c>
      <c r="F884" s="35" t="s">
        <v>1313</v>
      </c>
    </row>
    <row r="885" spans="1:6" ht="19.5" customHeight="1" thickTop="1" thickBot="1" x14ac:dyDescent="0.25">
      <c r="A885" s="33" t="str">
        <f>مهن[[#This Row],[الدرجة]]&amp;مهن[[#This Row],[المهنة]]</f>
        <v>8فراز حبال</v>
      </c>
      <c r="B885" s="24">
        <v>8</v>
      </c>
      <c r="C885" s="24" t="s">
        <v>506</v>
      </c>
      <c r="D885" s="24">
        <v>155</v>
      </c>
      <c r="E885" s="34" t="s">
        <v>1309</v>
      </c>
      <c r="F885" s="35" t="s">
        <v>1314</v>
      </c>
    </row>
    <row r="886" spans="1:6" ht="19.5" customHeight="1" thickTop="1" thickBot="1" x14ac:dyDescent="0.25">
      <c r="A886" s="33" t="str">
        <f>مهن[[#This Row],[الدرجة]]&amp;مهن[[#This Row],[المهنة]]</f>
        <v>9فراز حبال</v>
      </c>
      <c r="B886" s="24">
        <v>9</v>
      </c>
      <c r="C886" s="24" t="s">
        <v>1152</v>
      </c>
      <c r="D886" s="24">
        <v>155</v>
      </c>
      <c r="E886" s="34" t="s">
        <v>1309</v>
      </c>
      <c r="F886" s="35" t="s">
        <v>1315</v>
      </c>
    </row>
    <row r="887" spans="1:6" ht="19.5" customHeight="1" thickTop="1" thickBot="1" x14ac:dyDescent="0.25">
      <c r="A887" s="33" t="str">
        <f>مهن[[#This Row],[الدرجة]]&amp;مهن[[#This Row],[المهنة]]</f>
        <v>4وقاد مسبك</v>
      </c>
      <c r="B887" s="24">
        <v>4</v>
      </c>
      <c r="C887" s="24" t="s">
        <v>498</v>
      </c>
      <c r="D887" s="24">
        <v>156</v>
      </c>
      <c r="E887" s="34" t="s">
        <v>1316</v>
      </c>
      <c r="F887" s="35" t="s">
        <v>1317</v>
      </c>
    </row>
    <row r="888" spans="1:6" ht="19.5" customHeight="1" thickTop="1" thickBot="1" x14ac:dyDescent="0.25">
      <c r="A888" s="33" t="str">
        <f>مهن[[#This Row],[الدرجة]]&amp;مهن[[#This Row],[المهنة]]</f>
        <v>5وقاد مسبك</v>
      </c>
      <c r="B888" s="24">
        <v>5</v>
      </c>
      <c r="C888" s="24" t="s">
        <v>500</v>
      </c>
      <c r="D888" s="24">
        <v>156</v>
      </c>
      <c r="E888" s="34" t="s">
        <v>1316</v>
      </c>
      <c r="F888" s="35" t="s">
        <v>1318</v>
      </c>
    </row>
    <row r="889" spans="1:6" ht="19.5" customHeight="1" thickTop="1" thickBot="1" x14ac:dyDescent="0.25">
      <c r="A889" s="33" t="str">
        <f>مهن[[#This Row],[الدرجة]]&amp;مهن[[#This Row],[المهنة]]</f>
        <v>6وقاد مسبك</v>
      </c>
      <c r="B889" s="24">
        <v>6</v>
      </c>
      <c r="C889" s="24" t="s">
        <v>502</v>
      </c>
      <c r="D889" s="24">
        <v>156</v>
      </c>
      <c r="E889" s="34" t="s">
        <v>1316</v>
      </c>
      <c r="F889" s="35" t="s">
        <v>1319</v>
      </c>
    </row>
    <row r="890" spans="1:6" ht="19.5" customHeight="1" thickTop="1" thickBot="1" x14ac:dyDescent="0.25">
      <c r="A890" s="33" t="str">
        <f>مهن[[#This Row],[الدرجة]]&amp;مهن[[#This Row],[المهنة]]</f>
        <v>7وقاد مسبك</v>
      </c>
      <c r="B890" s="24">
        <v>7</v>
      </c>
      <c r="C890" s="24" t="s">
        <v>504</v>
      </c>
      <c r="D890" s="24">
        <v>156</v>
      </c>
      <c r="E890" s="34" t="s">
        <v>1316</v>
      </c>
      <c r="F890" s="35" t="s">
        <v>1320</v>
      </c>
    </row>
    <row r="891" spans="1:6" ht="19.5" customHeight="1" thickTop="1" thickBot="1" x14ac:dyDescent="0.25">
      <c r="A891" s="33" t="str">
        <f>مهن[[#This Row],[الدرجة]]&amp;مهن[[#This Row],[المهنة]]</f>
        <v>8وقاد مسبك</v>
      </c>
      <c r="B891" s="24">
        <v>8</v>
      </c>
      <c r="C891" s="24" t="s">
        <v>506</v>
      </c>
      <c r="D891" s="24">
        <v>156</v>
      </c>
      <c r="E891" s="34" t="s">
        <v>1316</v>
      </c>
      <c r="F891" s="35" t="s">
        <v>1321</v>
      </c>
    </row>
    <row r="892" spans="1:6" ht="19.5" customHeight="1" thickTop="1" thickBot="1" x14ac:dyDescent="0.25">
      <c r="A892" s="33" t="str">
        <f>مهن[[#This Row],[الدرجة]]&amp;مهن[[#This Row],[المهنة]]</f>
        <v>9وقاد مسبك</v>
      </c>
      <c r="B892" s="24">
        <v>9</v>
      </c>
      <c r="C892" s="24" t="s">
        <v>1152</v>
      </c>
      <c r="D892" s="24">
        <v>156</v>
      </c>
      <c r="E892" s="34" t="s">
        <v>1316</v>
      </c>
      <c r="F892" s="35" t="s">
        <v>1322</v>
      </c>
    </row>
    <row r="893" spans="1:6" ht="19.5" customHeight="1" thickTop="1" thickBot="1" x14ac:dyDescent="0.25">
      <c r="A893" s="33" t="str">
        <f>مهن[[#This Row],[الدرجة]]&amp;مهن[[#This Row],[المهنة]]</f>
        <v>4وقاد قزان</v>
      </c>
      <c r="B893" s="24">
        <v>4</v>
      </c>
      <c r="C893" s="24" t="s">
        <v>498</v>
      </c>
      <c r="D893" s="24">
        <v>157</v>
      </c>
      <c r="E893" s="34" t="s">
        <v>1323</v>
      </c>
      <c r="F893" s="35" t="s">
        <v>1324</v>
      </c>
    </row>
    <row r="894" spans="1:6" ht="19.5" customHeight="1" thickTop="1" thickBot="1" x14ac:dyDescent="0.25">
      <c r="A894" s="33" t="str">
        <f>مهن[[#This Row],[الدرجة]]&amp;مهن[[#This Row],[المهنة]]</f>
        <v>5وقاد قزان</v>
      </c>
      <c r="B894" s="24">
        <v>5</v>
      </c>
      <c r="C894" s="24" t="s">
        <v>500</v>
      </c>
      <c r="D894" s="24">
        <v>157</v>
      </c>
      <c r="E894" s="34" t="s">
        <v>1323</v>
      </c>
      <c r="F894" s="35" t="s">
        <v>1325</v>
      </c>
    </row>
    <row r="895" spans="1:6" ht="19.5" customHeight="1" thickTop="1" thickBot="1" x14ac:dyDescent="0.25">
      <c r="A895" s="33" t="str">
        <f>مهن[[#This Row],[الدرجة]]&amp;مهن[[#This Row],[المهنة]]</f>
        <v>6وقاد قزان</v>
      </c>
      <c r="B895" s="24">
        <v>6</v>
      </c>
      <c r="C895" s="24" t="s">
        <v>502</v>
      </c>
      <c r="D895" s="24">
        <v>157</v>
      </c>
      <c r="E895" s="34" t="s">
        <v>1323</v>
      </c>
      <c r="F895" s="35" t="s">
        <v>1326</v>
      </c>
    </row>
    <row r="896" spans="1:6" ht="19.5" customHeight="1" thickTop="1" thickBot="1" x14ac:dyDescent="0.25">
      <c r="A896" s="33" t="str">
        <f>مهن[[#This Row],[الدرجة]]&amp;مهن[[#This Row],[المهنة]]</f>
        <v>7وقاد قزان</v>
      </c>
      <c r="B896" s="24">
        <v>7</v>
      </c>
      <c r="C896" s="24" t="s">
        <v>504</v>
      </c>
      <c r="D896" s="24">
        <v>157</v>
      </c>
      <c r="E896" s="34" t="s">
        <v>1323</v>
      </c>
      <c r="F896" s="35" t="s">
        <v>1327</v>
      </c>
    </row>
    <row r="897" spans="1:6" ht="19.5" customHeight="1" thickTop="1" thickBot="1" x14ac:dyDescent="0.25">
      <c r="A897" s="33" t="str">
        <f>مهن[[#This Row],[الدرجة]]&amp;مهن[[#This Row],[المهنة]]</f>
        <v>8وقاد قزان</v>
      </c>
      <c r="B897" s="24">
        <v>8</v>
      </c>
      <c r="C897" s="24" t="s">
        <v>506</v>
      </c>
      <c r="D897" s="24">
        <v>157</v>
      </c>
      <c r="E897" s="34" t="s">
        <v>1323</v>
      </c>
      <c r="F897" s="35" t="s">
        <v>1328</v>
      </c>
    </row>
    <row r="898" spans="1:6" ht="19.5" customHeight="1" thickTop="1" thickBot="1" x14ac:dyDescent="0.25">
      <c r="A898" s="33" t="str">
        <f>مهن[[#This Row],[الدرجة]]&amp;مهن[[#This Row],[المهنة]]</f>
        <v>9وقاد قزان</v>
      </c>
      <c r="B898" s="24">
        <v>9</v>
      </c>
      <c r="C898" s="24" t="s">
        <v>1152</v>
      </c>
      <c r="D898" s="24">
        <v>157</v>
      </c>
      <c r="E898" s="34" t="s">
        <v>1323</v>
      </c>
      <c r="F898" s="35" t="s">
        <v>1329</v>
      </c>
    </row>
    <row r="899" spans="1:6" ht="19.5" customHeight="1" thickTop="1" thickBot="1" x14ac:dyDescent="0.25">
      <c r="A899" s="33" t="str">
        <f>مهن[[#This Row],[الدرجة]]&amp;مهن[[#This Row],[المهنة]]</f>
        <v>4زيات</v>
      </c>
      <c r="B899" s="24">
        <v>4</v>
      </c>
      <c r="C899" s="24" t="s">
        <v>498</v>
      </c>
      <c r="D899" s="24">
        <v>158</v>
      </c>
      <c r="E899" s="34" t="s">
        <v>1330</v>
      </c>
      <c r="F899" s="35" t="s">
        <v>1331</v>
      </c>
    </row>
    <row r="900" spans="1:6" ht="19.5" customHeight="1" thickTop="1" thickBot="1" x14ac:dyDescent="0.25">
      <c r="A900" s="33" t="str">
        <f>مهن[[#This Row],[الدرجة]]&amp;مهن[[#This Row],[المهنة]]</f>
        <v>5زيات</v>
      </c>
      <c r="B900" s="24">
        <v>5</v>
      </c>
      <c r="C900" s="24" t="s">
        <v>500</v>
      </c>
      <c r="D900" s="24">
        <v>158</v>
      </c>
      <c r="E900" s="34" t="s">
        <v>1330</v>
      </c>
      <c r="F900" s="35" t="s">
        <v>1332</v>
      </c>
    </row>
    <row r="901" spans="1:6" ht="19.5" customHeight="1" thickTop="1" thickBot="1" x14ac:dyDescent="0.25">
      <c r="A901" s="33" t="str">
        <f>مهن[[#This Row],[الدرجة]]&amp;مهن[[#This Row],[المهنة]]</f>
        <v>6زيات</v>
      </c>
      <c r="B901" s="24">
        <v>6</v>
      </c>
      <c r="C901" s="24" t="s">
        <v>502</v>
      </c>
      <c r="D901" s="24">
        <v>158</v>
      </c>
      <c r="E901" s="34" t="s">
        <v>1330</v>
      </c>
      <c r="F901" s="35" t="s">
        <v>1333</v>
      </c>
    </row>
    <row r="902" spans="1:6" ht="19.5" customHeight="1" thickTop="1" thickBot="1" x14ac:dyDescent="0.25">
      <c r="A902" s="33" t="str">
        <f>مهن[[#This Row],[الدرجة]]&amp;مهن[[#This Row],[المهنة]]</f>
        <v>7زيات</v>
      </c>
      <c r="B902" s="24">
        <v>7</v>
      </c>
      <c r="C902" s="24" t="s">
        <v>504</v>
      </c>
      <c r="D902" s="24">
        <v>158</v>
      </c>
      <c r="E902" s="34" t="s">
        <v>1330</v>
      </c>
      <c r="F902" s="35" t="s">
        <v>1334</v>
      </c>
    </row>
    <row r="903" spans="1:6" ht="19.5" customHeight="1" thickTop="1" thickBot="1" x14ac:dyDescent="0.25">
      <c r="A903" s="33" t="str">
        <f>مهن[[#This Row],[الدرجة]]&amp;مهن[[#This Row],[المهنة]]</f>
        <v>8زيات</v>
      </c>
      <c r="B903" s="24">
        <v>8</v>
      </c>
      <c r="C903" s="24" t="s">
        <v>506</v>
      </c>
      <c r="D903" s="24">
        <v>158</v>
      </c>
      <c r="E903" s="34" t="s">
        <v>1330</v>
      </c>
      <c r="F903" s="35" t="s">
        <v>1335</v>
      </c>
    </row>
    <row r="904" spans="1:6" ht="19.5" customHeight="1" thickTop="1" thickBot="1" x14ac:dyDescent="0.25">
      <c r="A904" s="33" t="str">
        <f>مهن[[#This Row],[الدرجة]]&amp;مهن[[#This Row],[المهنة]]</f>
        <v>9زيات</v>
      </c>
      <c r="B904" s="24">
        <v>9</v>
      </c>
      <c r="C904" s="24" t="s">
        <v>1152</v>
      </c>
      <c r="D904" s="24">
        <v>158</v>
      </c>
      <c r="E904" s="34" t="s">
        <v>1330</v>
      </c>
      <c r="F904" s="35" t="s">
        <v>1336</v>
      </c>
    </row>
    <row r="905" spans="1:6" ht="19.5" customHeight="1" thickTop="1" thickBot="1" x14ac:dyDescent="0.25">
      <c r="A905" s="33" t="str">
        <f>مهن[[#This Row],[الدرجة]]&amp;مهن[[#This Row],[المهنة]]</f>
        <v>4عامل زجاج</v>
      </c>
      <c r="B905" s="24">
        <v>4</v>
      </c>
      <c r="C905" s="24" t="s">
        <v>498</v>
      </c>
      <c r="D905" s="24">
        <v>159</v>
      </c>
      <c r="E905" s="34" t="s">
        <v>1337</v>
      </c>
      <c r="F905" s="35" t="s">
        <v>1338</v>
      </c>
    </row>
    <row r="906" spans="1:6" ht="19.5" customHeight="1" thickTop="1" thickBot="1" x14ac:dyDescent="0.25">
      <c r="A906" s="33" t="str">
        <f>مهن[[#This Row],[الدرجة]]&amp;مهن[[#This Row],[المهنة]]</f>
        <v>5عامل زجاج</v>
      </c>
      <c r="B906" s="24">
        <v>5</v>
      </c>
      <c r="C906" s="24" t="s">
        <v>500</v>
      </c>
      <c r="D906" s="24">
        <v>159</v>
      </c>
      <c r="E906" s="34" t="s">
        <v>1337</v>
      </c>
      <c r="F906" s="35" t="s">
        <v>1339</v>
      </c>
    </row>
    <row r="907" spans="1:6" ht="19.5" customHeight="1" thickTop="1" thickBot="1" x14ac:dyDescent="0.25">
      <c r="A907" s="33" t="str">
        <f>مهن[[#This Row],[الدرجة]]&amp;مهن[[#This Row],[المهنة]]</f>
        <v>6عامل زجاج</v>
      </c>
      <c r="B907" s="24">
        <v>6</v>
      </c>
      <c r="C907" s="24" t="s">
        <v>502</v>
      </c>
      <c r="D907" s="24">
        <v>159</v>
      </c>
      <c r="E907" s="34" t="s">
        <v>1337</v>
      </c>
      <c r="F907" s="35" t="s">
        <v>1340</v>
      </c>
    </row>
    <row r="908" spans="1:6" ht="19.5" customHeight="1" thickTop="1" thickBot="1" x14ac:dyDescent="0.25">
      <c r="A908" s="33" t="str">
        <f>مهن[[#This Row],[الدرجة]]&amp;مهن[[#This Row],[المهنة]]</f>
        <v>7عامل زجاج</v>
      </c>
      <c r="B908" s="24">
        <v>7</v>
      </c>
      <c r="C908" s="24" t="s">
        <v>504</v>
      </c>
      <c r="D908" s="24">
        <v>159</v>
      </c>
      <c r="E908" s="34" t="s">
        <v>1337</v>
      </c>
      <c r="F908" s="35" t="s">
        <v>1341</v>
      </c>
    </row>
    <row r="909" spans="1:6" ht="19.5" customHeight="1" thickTop="1" thickBot="1" x14ac:dyDescent="0.25">
      <c r="A909" s="33" t="str">
        <f>مهن[[#This Row],[الدرجة]]&amp;مهن[[#This Row],[المهنة]]</f>
        <v>8عامل زجاج</v>
      </c>
      <c r="B909" s="24">
        <v>8</v>
      </c>
      <c r="C909" s="24" t="s">
        <v>506</v>
      </c>
      <c r="D909" s="24">
        <v>159</v>
      </c>
      <c r="E909" s="34" t="s">
        <v>1337</v>
      </c>
      <c r="F909" s="35" t="s">
        <v>1342</v>
      </c>
    </row>
    <row r="910" spans="1:6" ht="19.5" customHeight="1" thickTop="1" thickBot="1" x14ac:dyDescent="0.25">
      <c r="A910" s="33" t="str">
        <f>مهن[[#This Row],[الدرجة]]&amp;مهن[[#This Row],[المهنة]]</f>
        <v>9عامل زجاج</v>
      </c>
      <c r="B910" s="24">
        <v>9</v>
      </c>
      <c r="C910" s="24" t="s">
        <v>1152</v>
      </c>
      <c r="D910" s="24">
        <v>159</v>
      </c>
      <c r="E910" s="34" t="s">
        <v>1337</v>
      </c>
      <c r="F910" s="35" t="s">
        <v>1343</v>
      </c>
    </row>
    <row r="911" spans="1:6" ht="19.5" customHeight="1" thickTop="1" thickBot="1" x14ac:dyDescent="0.25">
      <c r="A911" s="33" t="str">
        <f>مهن[[#This Row],[الدرجة]]&amp;مهن[[#This Row],[المهنة]]</f>
        <v>4عامل تمريض</v>
      </c>
      <c r="B911" s="24">
        <v>4</v>
      </c>
      <c r="C911" s="24" t="s">
        <v>498</v>
      </c>
      <c r="D911" s="24">
        <v>160</v>
      </c>
      <c r="E911" s="34" t="s">
        <v>1344</v>
      </c>
      <c r="F911" s="35" t="s">
        <v>1345</v>
      </c>
    </row>
    <row r="912" spans="1:6" ht="19.5" customHeight="1" thickTop="1" thickBot="1" x14ac:dyDescent="0.25">
      <c r="A912" s="33" t="str">
        <f>مهن[[#This Row],[الدرجة]]&amp;مهن[[#This Row],[المهنة]]</f>
        <v>5عامل تمريض</v>
      </c>
      <c r="B912" s="24">
        <v>5</v>
      </c>
      <c r="C912" s="24" t="s">
        <v>500</v>
      </c>
      <c r="D912" s="24">
        <v>160</v>
      </c>
      <c r="E912" s="34" t="s">
        <v>1344</v>
      </c>
      <c r="F912" s="35" t="s">
        <v>1346</v>
      </c>
    </row>
    <row r="913" spans="1:6" ht="19.5" customHeight="1" thickTop="1" thickBot="1" x14ac:dyDescent="0.25">
      <c r="A913" s="33" t="str">
        <f>مهن[[#This Row],[الدرجة]]&amp;مهن[[#This Row],[المهنة]]</f>
        <v>6عامل تمريض</v>
      </c>
      <c r="B913" s="24">
        <v>6</v>
      </c>
      <c r="C913" s="24" t="s">
        <v>502</v>
      </c>
      <c r="D913" s="24">
        <v>160</v>
      </c>
      <c r="E913" s="34" t="s">
        <v>1344</v>
      </c>
      <c r="F913" s="35" t="s">
        <v>1347</v>
      </c>
    </row>
    <row r="914" spans="1:6" ht="19.5" customHeight="1" thickTop="1" thickBot="1" x14ac:dyDescent="0.25">
      <c r="A914" s="33" t="str">
        <f>مهن[[#This Row],[الدرجة]]&amp;مهن[[#This Row],[المهنة]]</f>
        <v>7عامل تمريض</v>
      </c>
      <c r="B914" s="24">
        <v>7</v>
      </c>
      <c r="C914" s="24" t="s">
        <v>504</v>
      </c>
      <c r="D914" s="24">
        <v>160</v>
      </c>
      <c r="E914" s="34" t="s">
        <v>1344</v>
      </c>
      <c r="F914" s="35" t="s">
        <v>1348</v>
      </c>
    </row>
    <row r="915" spans="1:6" ht="19.5" customHeight="1" thickTop="1" thickBot="1" x14ac:dyDescent="0.25">
      <c r="A915" s="33" t="str">
        <f>مهن[[#This Row],[الدرجة]]&amp;مهن[[#This Row],[المهنة]]</f>
        <v>8عامل تمريض</v>
      </c>
      <c r="B915" s="24">
        <v>8</v>
      </c>
      <c r="C915" s="24" t="s">
        <v>506</v>
      </c>
      <c r="D915" s="24">
        <v>160</v>
      </c>
      <c r="E915" s="34" t="s">
        <v>1344</v>
      </c>
      <c r="F915" s="35" t="s">
        <v>1349</v>
      </c>
    </row>
    <row r="916" spans="1:6" ht="19.5" customHeight="1" thickTop="1" thickBot="1" x14ac:dyDescent="0.25">
      <c r="A916" s="33" t="str">
        <f>مهن[[#This Row],[الدرجة]]&amp;مهن[[#This Row],[المهنة]]</f>
        <v>9عامل تمريض</v>
      </c>
      <c r="B916" s="24">
        <v>9</v>
      </c>
      <c r="C916" s="24" t="s">
        <v>1152</v>
      </c>
      <c r="D916" s="24">
        <v>160</v>
      </c>
      <c r="E916" s="34" t="s">
        <v>1344</v>
      </c>
      <c r="F916" s="35" t="s">
        <v>1350</v>
      </c>
    </row>
    <row r="917" spans="1:6" ht="19.5" customHeight="1" thickTop="1" thickBot="1" x14ac:dyDescent="0.25">
      <c r="A917" s="33" t="str">
        <f>مهن[[#This Row],[الدرجة]]&amp;مهن[[#This Row],[المهنة]]</f>
        <v>4عامل معمل</v>
      </c>
      <c r="B917" s="24">
        <v>4</v>
      </c>
      <c r="C917" s="24" t="s">
        <v>498</v>
      </c>
      <c r="D917" s="24">
        <v>161</v>
      </c>
      <c r="E917" s="34" t="s">
        <v>1351</v>
      </c>
      <c r="F917" s="35" t="s">
        <v>1352</v>
      </c>
    </row>
    <row r="918" spans="1:6" ht="19.5" customHeight="1" thickTop="1" thickBot="1" x14ac:dyDescent="0.25">
      <c r="A918" s="33" t="str">
        <f>مهن[[#This Row],[الدرجة]]&amp;مهن[[#This Row],[المهنة]]</f>
        <v>5عامل معمل</v>
      </c>
      <c r="B918" s="24">
        <v>5</v>
      </c>
      <c r="C918" s="24" t="s">
        <v>500</v>
      </c>
      <c r="D918" s="24">
        <v>161</v>
      </c>
      <c r="E918" s="34" t="s">
        <v>1351</v>
      </c>
      <c r="F918" s="35" t="s">
        <v>1353</v>
      </c>
    </row>
    <row r="919" spans="1:6" ht="19.5" customHeight="1" thickTop="1" thickBot="1" x14ac:dyDescent="0.25">
      <c r="A919" s="33" t="str">
        <f>مهن[[#This Row],[الدرجة]]&amp;مهن[[#This Row],[المهنة]]</f>
        <v>6عامل معمل</v>
      </c>
      <c r="B919" s="24">
        <v>6</v>
      </c>
      <c r="C919" s="24" t="s">
        <v>502</v>
      </c>
      <c r="D919" s="24">
        <v>161</v>
      </c>
      <c r="E919" s="34" t="s">
        <v>1351</v>
      </c>
      <c r="F919" s="35" t="s">
        <v>1354</v>
      </c>
    </row>
    <row r="920" spans="1:6" ht="19.5" customHeight="1" thickTop="1" thickBot="1" x14ac:dyDescent="0.25">
      <c r="A920" s="33" t="str">
        <f>مهن[[#This Row],[الدرجة]]&amp;مهن[[#This Row],[المهنة]]</f>
        <v>7عامل معمل</v>
      </c>
      <c r="B920" s="24">
        <v>7</v>
      </c>
      <c r="C920" s="24" t="s">
        <v>504</v>
      </c>
      <c r="D920" s="24">
        <v>161</v>
      </c>
      <c r="E920" s="34" t="s">
        <v>1351</v>
      </c>
      <c r="F920" s="35" t="s">
        <v>1355</v>
      </c>
    </row>
    <row r="921" spans="1:6" ht="19.5" customHeight="1" thickTop="1" thickBot="1" x14ac:dyDescent="0.25">
      <c r="A921" s="33" t="str">
        <f>مهن[[#This Row],[الدرجة]]&amp;مهن[[#This Row],[المهنة]]</f>
        <v>8عامل معمل</v>
      </c>
      <c r="B921" s="24">
        <v>8</v>
      </c>
      <c r="C921" s="24" t="s">
        <v>506</v>
      </c>
      <c r="D921" s="24">
        <v>161</v>
      </c>
      <c r="E921" s="34" t="s">
        <v>1351</v>
      </c>
      <c r="F921" s="35" t="s">
        <v>1356</v>
      </c>
    </row>
    <row r="922" spans="1:6" ht="19.5" customHeight="1" thickTop="1" thickBot="1" x14ac:dyDescent="0.25">
      <c r="A922" s="33" t="str">
        <f>مهن[[#This Row],[الدرجة]]&amp;مهن[[#This Row],[المهنة]]</f>
        <v>9عامل معمل</v>
      </c>
      <c r="B922" s="24">
        <v>9</v>
      </c>
      <c r="C922" s="24" t="s">
        <v>1152</v>
      </c>
      <c r="D922" s="24">
        <v>161</v>
      </c>
      <c r="E922" s="34" t="s">
        <v>1351</v>
      </c>
      <c r="F922" s="35" t="s">
        <v>1357</v>
      </c>
    </row>
    <row r="923" spans="1:6" ht="19.5" customHeight="1" thickTop="1" thickBot="1" x14ac:dyDescent="0.25">
      <c r="A923" s="33" t="str">
        <f>مهن[[#This Row],[الدرجة]]&amp;مهن[[#This Row],[المهنة]]</f>
        <v>4مندوب إطفاء</v>
      </c>
      <c r="B923" s="24">
        <v>4</v>
      </c>
      <c r="C923" s="24" t="s">
        <v>498</v>
      </c>
      <c r="D923" s="24">
        <v>162</v>
      </c>
      <c r="E923" s="34" t="s">
        <v>1358</v>
      </c>
      <c r="F923" s="35" t="s">
        <v>1359</v>
      </c>
    </row>
    <row r="924" spans="1:6" ht="19.5" customHeight="1" thickTop="1" thickBot="1" x14ac:dyDescent="0.25">
      <c r="A924" s="33" t="str">
        <f>مهن[[#This Row],[الدرجة]]&amp;مهن[[#This Row],[المهنة]]</f>
        <v>5مندوب إطفاء</v>
      </c>
      <c r="B924" s="24">
        <v>5</v>
      </c>
      <c r="C924" s="24" t="s">
        <v>500</v>
      </c>
      <c r="D924" s="24">
        <v>162</v>
      </c>
      <c r="E924" s="34" t="s">
        <v>1358</v>
      </c>
      <c r="F924" s="35" t="s">
        <v>1360</v>
      </c>
    </row>
    <row r="925" spans="1:6" ht="19.5" customHeight="1" thickTop="1" thickBot="1" x14ac:dyDescent="0.25">
      <c r="A925" s="33" t="str">
        <f>مهن[[#This Row],[الدرجة]]&amp;مهن[[#This Row],[المهنة]]</f>
        <v>6مندوب إطفاء</v>
      </c>
      <c r="B925" s="24">
        <v>6</v>
      </c>
      <c r="C925" s="24" t="s">
        <v>502</v>
      </c>
      <c r="D925" s="24">
        <v>162</v>
      </c>
      <c r="E925" s="34" t="s">
        <v>1358</v>
      </c>
      <c r="F925" s="35" t="s">
        <v>1361</v>
      </c>
    </row>
    <row r="926" spans="1:6" ht="19.5" customHeight="1" thickTop="1" thickBot="1" x14ac:dyDescent="0.25">
      <c r="A926" s="33" t="str">
        <f>مهن[[#This Row],[الدرجة]]&amp;مهن[[#This Row],[المهنة]]</f>
        <v>7مندوب إطفاء</v>
      </c>
      <c r="B926" s="24">
        <v>7</v>
      </c>
      <c r="C926" s="24" t="s">
        <v>504</v>
      </c>
      <c r="D926" s="24">
        <v>162</v>
      </c>
      <c r="E926" s="34" t="s">
        <v>1358</v>
      </c>
      <c r="F926" s="35" t="s">
        <v>1362</v>
      </c>
    </row>
    <row r="927" spans="1:6" ht="19.5" customHeight="1" thickTop="1" thickBot="1" x14ac:dyDescent="0.25">
      <c r="A927" s="33" t="str">
        <f>مهن[[#This Row],[الدرجة]]&amp;مهن[[#This Row],[المهنة]]</f>
        <v>8مندوب إطفاء</v>
      </c>
      <c r="B927" s="24">
        <v>8</v>
      </c>
      <c r="C927" s="24" t="s">
        <v>506</v>
      </c>
      <c r="D927" s="24">
        <v>162</v>
      </c>
      <c r="E927" s="34" t="s">
        <v>1358</v>
      </c>
      <c r="F927" s="35" t="s">
        <v>1363</v>
      </c>
    </row>
    <row r="928" spans="1:6" ht="19.5" customHeight="1" thickTop="1" thickBot="1" x14ac:dyDescent="0.25">
      <c r="A928" s="33" t="str">
        <f>مهن[[#This Row],[الدرجة]]&amp;مهن[[#This Row],[المهنة]]</f>
        <v>9مندوب إطفاء</v>
      </c>
      <c r="B928" s="24">
        <v>9</v>
      </c>
      <c r="C928" s="24" t="s">
        <v>1152</v>
      </c>
      <c r="D928" s="24">
        <v>162</v>
      </c>
      <c r="E928" s="34" t="s">
        <v>1358</v>
      </c>
      <c r="F928" s="35" t="s">
        <v>1364</v>
      </c>
    </row>
    <row r="929" spans="1:6" ht="19.5" customHeight="1" thickTop="1" thickBot="1" x14ac:dyDescent="0.25">
      <c r="A929" s="33" t="str">
        <f>مهن[[#This Row],[الدرجة]]&amp;مهن[[#This Row],[المهنة]]</f>
        <v>4عامل مصعد</v>
      </c>
      <c r="B929" s="24">
        <v>4</v>
      </c>
      <c r="C929" s="24" t="s">
        <v>498</v>
      </c>
      <c r="D929" s="24">
        <v>163</v>
      </c>
      <c r="E929" s="34" t="s">
        <v>1365</v>
      </c>
      <c r="F929" s="35" t="s">
        <v>1366</v>
      </c>
    </row>
    <row r="930" spans="1:6" ht="19.5" customHeight="1" thickTop="1" thickBot="1" x14ac:dyDescent="0.25">
      <c r="A930" s="33" t="str">
        <f>مهن[[#This Row],[الدرجة]]&amp;مهن[[#This Row],[المهنة]]</f>
        <v>5عامل مصعد</v>
      </c>
      <c r="B930" s="24">
        <v>5</v>
      </c>
      <c r="C930" s="24" t="s">
        <v>500</v>
      </c>
      <c r="D930" s="24">
        <v>163</v>
      </c>
      <c r="E930" s="34" t="s">
        <v>1365</v>
      </c>
      <c r="F930" s="35" t="s">
        <v>1367</v>
      </c>
    </row>
    <row r="931" spans="1:6" ht="19.5" customHeight="1" thickTop="1" thickBot="1" x14ac:dyDescent="0.25">
      <c r="A931" s="33" t="str">
        <f>مهن[[#This Row],[الدرجة]]&amp;مهن[[#This Row],[المهنة]]</f>
        <v>6عامل مصعد</v>
      </c>
      <c r="B931" s="24">
        <v>6</v>
      </c>
      <c r="C931" s="24" t="s">
        <v>502</v>
      </c>
      <c r="D931" s="24">
        <v>163</v>
      </c>
      <c r="E931" s="34" t="s">
        <v>1365</v>
      </c>
      <c r="F931" s="35" t="s">
        <v>1368</v>
      </c>
    </row>
    <row r="932" spans="1:6" ht="19.5" customHeight="1" thickTop="1" thickBot="1" x14ac:dyDescent="0.25">
      <c r="A932" s="33" t="str">
        <f>مهن[[#This Row],[الدرجة]]&amp;مهن[[#This Row],[المهنة]]</f>
        <v>7عامل مصعد</v>
      </c>
      <c r="B932" s="24">
        <v>7</v>
      </c>
      <c r="C932" s="24" t="s">
        <v>504</v>
      </c>
      <c r="D932" s="24">
        <v>163</v>
      </c>
      <c r="E932" s="34" t="s">
        <v>1365</v>
      </c>
      <c r="F932" s="35" t="s">
        <v>1369</v>
      </c>
    </row>
    <row r="933" spans="1:6" ht="19.5" customHeight="1" thickTop="1" thickBot="1" x14ac:dyDescent="0.25">
      <c r="A933" s="33" t="str">
        <f>مهن[[#This Row],[الدرجة]]&amp;مهن[[#This Row],[المهنة]]</f>
        <v>8عامل مصعد</v>
      </c>
      <c r="B933" s="24">
        <v>8</v>
      </c>
      <c r="C933" s="24" t="s">
        <v>506</v>
      </c>
      <c r="D933" s="24">
        <v>163</v>
      </c>
      <c r="E933" s="34" t="s">
        <v>1365</v>
      </c>
      <c r="F933" s="35" t="s">
        <v>1370</v>
      </c>
    </row>
    <row r="934" spans="1:6" ht="19.5" customHeight="1" thickTop="1" thickBot="1" x14ac:dyDescent="0.25">
      <c r="A934" s="33" t="str">
        <f>مهن[[#This Row],[الدرجة]]&amp;مهن[[#This Row],[المهنة]]</f>
        <v>9عامل مصعد</v>
      </c>
      <c r="B934" s="24">
        <v>9</v>
      </c>
      <c r="C934" s="24" t="s">
        <v>1152</v>
      </c>
      <c r="D934" s="24">
        <v>163</v>
      </c>
      <c r="E934" s="34" t="s">
        <v>1365</v>
      </c>
      <c r="F934" s="35" t="s">
        <v>1371</v>
      </c>
    </row>
    <row r="935" spans="1:6" ht="19.5" customHeight="1" thickTop="1" thickBot="1" x14ac:dyDescent="0.25">
      <c r="A935" s="33" t="str">
        <f>مهن[[#This Row],[الدرجة]]&amp;مهن[[#This Row],[المهنة]]</f>
        <v>4عامل شبكات تليفونية</v>
      </c>
      <c r="B935" s="24">
        <v>4</v>
      </c>
      <c r="C935" s="24" t="s">
        <v>498</v>
      </c>
      <c r="D935" s="24">
        <v>164</v>
      </c>
      <c r="E935" s="34" t="s">
        <v>1372</v>
      </c>
      <c r="F935" s="35" t="s">
        <v>1373</v>
      </c>
    </row>
    <row r="936" spans="1:6" ht="19.5" customHeight="1" thickTop="1" thickBot="1" x14ac:dyDescent="0.25">
      <c r="A936" s="33" t="str">
        <f>مهن[[#This Row],[الدرجة]]&amp;مهن[[#This Row],[المهنة]]</f>
        <v>5عامل شبكات تليفونية</v>
      </c>
      <c r="B936" s="24">
        <v>5</v>
      </c>
      <c r="C936" s="24" t="s">
        <v>500</v>
      </c>
      <c r="D936" s="24">
        <v>164</v>
      </c>
      <c r="E936" s="34" t="s">
        <v>1372</v>
      </c>
      <c r="F936" s="35" t="s">
        <v>1374</v>
      </c>
    </row>
    <row r="937" spans="1:6" ht="19.5" customHeight="1" thickTop="1" thickBot="1" x14ac:dyDescent="0.25">
      <c r="A937" s="33" t="str">
        <f>مهن[[#This Row],[الدرجة]]&amp;مهن[[#This Row],[المهنة]]</f>
        <v>6عامل شبكات تليفونية</v>
      </c>
      <c r="B937" s="24">
        <v>6</v>
      </c>
      <c r="C937" s="24" t="s">
        <v>502</v>
      </c>
      <c r="D937" s="24">
        <v>164</v>
      </c>
      <c r="E937" s="34" t="s">
        <v>1372</v>
      </c>
      <c r="F937" s="35" t="s">
        <v>1375</v>
      </c>
    </row>
    <row r="938" spans="1:6" ht="19.5" customHeight="1" thickTop="1" thickBot="1" x14ac:dyDescent="0.25">
      <c r="A938" s="33" t="str">
        <f>مهن[[#This Row],[الدرجة]]&amp;مهن[[#This Row],[المهنة]]</f>
        <v>7عامل شبكات تليفونية</v>
      </c>
      <c r="B938" s="24">
        <v>7</v>
      </c>
      <c r="C938" s="24" t="s">
        <v>504</v>
      </c>
      <c r="D938" s="24">
        <v>164</v>
      </c>
      <c r="E938" s="34" t="s">
        <v>1372</v>
      </c>
      <c r="F938" s="35" t="s">
        <v>1376</v>
      </c>
    </row>
    <row r="939" spans="1:6" ht="19.5" customHeight="1" thickTop="1" thickBot="1" x14ac:dyDescent="0.25">
      <c r="A939" s="33" t="str">
        <f>مهن[[#This Row],[الدرجة]]&amp;مهن[[#This Row],[المهنة]]</f>
        <v>8عامل شبكات تليفونية</v>
      </c>
      <c r="B939" s="24">
        <v>8</v>
      </c>
      <c r="C939" s="24" t="s">
        <v>506</v>
      </c>
      <c r="D939" s="24">
        <v>164</v>
      </c>
      <c r="E939" s="34" t="s">
        <v>1372</v>
      </c>
      <c r="F939" s="35" t="s">
        <v>1377</v>
      </c>
    </row>
    <row r="940" spans="1:6" ht="19.5" customHeight="1" thickTop="1" thickBot="1" x14ac:dyDescent="0.25">
      <c r="A940" s="33" t="str">
        <f>مهن[[#This Row],[الدرجة]]&amp;مهن[[#This Row],[المهنة]]</f>
        <v>9عامل شبكات تليفونية</v>
      </c>
      <c r="B940" s="24">
        <v>9</v>
      </c>
      <c r="C940" s="24" t="s">
        <v>1152</v>
      </c>
      <c r="D940" s="24">
        <v>164</v>
      </c>
      <c r="E940" s="34" t="s">
        <v>1372</v>
      </c>
      <c r="F940" s="35" t="s">
        <v>1378</v>
      </c>
    </row>
    <row r="941" spans="1:6" ht="19.5" customHeight="1" thickTop="1" thickBot="1" x14ac:dyDescent="0.25">
      <c r="A941" s="33" t="str">
        <f>مهن[[#This Row],[الدرجة]]&amp;مهن[[#This Row],[المهنة]]</f>
        <v>4سفرجى</v>
      </c>
      <c r="B941" s="24">
        <v>4</v>
      </c>
      <c r="C941" s="24" t="s">
        <v>498</v>
      </c>
      <c r="D941" s="24">
        <v>165</v>
      </c>
      <c r="E941" s="34" t="s">
        <v>1379</v>
      </c>
      <c r="F941" s="35" t="s">
        <v>1380</v>
      </c>
    </row>
    <row r="942" spans="1:6" ht="19.5" customHeight="1" thickTop="1" thickBot="1" x14ac:dyDescent="0.25">
      <c r="A942" s="33" t="str">
        <f>مهن[[#This Row],[الدرجة]]&amp;مهن[[#This Row],[المهنة]]</f>
        <v>5سفرجى</v>
      </c>
      <c r="B942" s="24">
        <v>5</v>
      </c>
      <c r="C942" s="24" t="s">
        <v>500</v>
      </c>
      <c r="D942" s="24">
        <v>165</v>
      </c>
      <c r="E942" s="34" t="s">
        <v>1379</v>
      </c>
      <c r="F942" s="35" t="s">
        <v>1381</v>
      </c>
    </row>
    <row r="943" spans="1:6" ht="19.5" customHeight="1" thickTop="1" thickBot="1" x14ac:dyDescent="0.25">
      <c r="A943" s="33" t="str">
        <f>مهن[[#This Row],[الدرجة]]&amp;مهن[[#This Row],[المهنة]]</f>
        <v>6سفرجى</v>
      </c>
      <c r="B943" s="24">
        <v>6</v>
      </c>
      <c r="C943" s="24" t="s">
        <v>502</v>
      </c>
      <c r="D943" s="24">
        <v>165</v>
      </c>
      <c r="E943" s="34" t="s">
        <v>1379</v>
      </c>
      <c r="F943" s="35" t="s">
        <v>1382</v>
      </c>
    </row>
    <row r="944" spans="1:6" ht="19.5" customHeight="1" thickTop="1" thickBot="1" x14ac:dyDescent="0.25">
      <c r="A944" s="33" t="str">
        <f>مهن[[#This Row],[الدرجة]]&amp;مهن[[#This Row],[المهنة]]</f>
        <v>7سفرجى</v>
      </c>
      <c r="B944" s="24">
        <v>7</v>
      </c>
      <c r="C944" s="24" t="s">
        <v>504</v>
      </c>
      <c r="D944" s="24">
        <v>165</v>
      </c>
      <c r="E944" s="34" t="s">
        <v>1379</v>
      </c>
      <c r="F944" s="35" t="s">
        <v>1383</v>
      </c>
    </row>
    <row r="945" spans="1:6" ht="19.5" customHeight="1" thickTop="1" thickBot="1" x14ac:dyDescent="0.25">
      <c r="A945" s="33" t="str">
        <f>مهن[[#This Row],[الدرجة]]&amp;مهن[[#This Row],[المهنة]]</f>
        <v>8سفرجى</v>
      </c>
      <c r="B945" s="24">
        <v>8</v>
      </c>
      <c r="C945" s="24" t="s">
        <v>506</v>
      </c>
      <c r="D945" s="24">
        <v>165</v>
      </c>
      <c r="E945" s="34" t="s">
        <v>1379</v>
      </c>
      <c r="F945" s="35" t="s">
        <v>1384</v>
      </c>
    </row>
    <row r="946" spans="1:6" ht="19.5" customHeight="1" thickTop="1" thickBot="1" x14ac:dyDescent="0.25">
      <c r="A946" s="33" t="str">
        <f>مهن[[#This Row],[الدرجة]]&amp;مهن[[#This Row],[المهنة]]</f>
        <v>9سفرجى</v>
      </c>
      <c r="B946" s="24">
        <v>9</v>
      </c>
      <c r="C946" s="24" t="s">
        <v>1152</v>
      </c>
      <c r="D946" s="24">
        <v>165</v>
      </c>
      <c r="E946" s="34" t="s">
        <v>1379</v>
      </c>
      <c r="F946" s="35" t="s">
        <v>1385</v>
      </c>
    </row>
    <row r="947" spans="1:6" ht="19.5" customHeight="1" thickTop="1" thickBot="1" x14ac:dyDescent="0.25">
      <c r="A947" s="33" t="str">
        <f>مهن[[#This Row],[الدرجة]]&amp;مهن[[#This Row],[المهنة]]</f>
        <v>4طباخ</v>
      </c>
      <c r="B947" s="24">
        <v>4</v>
      </c>
      <c r="C947" s="24" t="s">
        <v>498</v>
      </c>
      <c r="D947" s="24">
        <v>166</v>
      </c>
      <c r="E947" s="34" t="s">
        <v>1386</v>
      </c>
      <c r="F947" s="35" t="s">
        <v>1387</v>
      </c>
    </row>
    <row r="948" spans="1:6" ht="19.5" customHeight="1" thickTop="1" thickBot="1" x14ac:dyDescent="0.25">
      <c r="A948" s="33" t="str">
        <f>مهن[[#This Row],[الدرجة]]&amp;مهن[[#This Row],[المهنة]]</f>
        <v>5طباخ</v>
      </c>
      <c r="B948" s="24">
        <v>5</v>
      </c>
      <c r="C948" s="24" t="s">
        <v>500</v>
      </c>
      <c r="D948" s="24">
        <v>166</v>
      </c>
      <c r="E948" s="34" t="s">
        <v>1386</v>
      </c>
      <c r="F948" s="35" t="s">
        <v>1388</v>
      </c>
    </row>
    <row r="949" spans="1:6" ht="19.5" customHeight="1" thickTop="1" thickBot="1" x14ac:dyDescent="0.25">
      <c r="A949" s="33" t="str">
        <f>مهن[[#This Row],[الدرجة]]&amp;مهن[[#This Row],[المهنة]]</f>
        <v>6طباخ</v>
      </c>
      <c r="B949" s="24">
        <v>6</v>
      </c>
      <c r="C949" s="24" t="s">
        <v>502</v>
      </c>
      <c r="D949" s="24">
        <v>166</v>
      </c>
      <c r="E949" s="34" t="s">
        <v>1386</v>
      </c>
      <c r="F949" s="35" t="s">
        <v>1389</v>
      </c>
    </row>
    <row r="950" spans="1:6" ht="19.5" customHeight="1" thickTop="1" thickBot="1" x14ac:dyDescent="0.25">
      <c r="A950" s="33" t="str">
        <f>مهن[[#This Row],[الدرجة]]&amp;مهن[[#This Row],[المهنة]]</f>
        <v>7طباخ</v>
      </c>
      <c r="B950" s="24">
        <v>7</v>
      </c>
      <c r="C950" s="24" t="s">
        <v>504</v>
      </c>
      <c r="D950" s="24">
        <v>166</v>
      </c>
      <c r="E950" s="34" t="s">
        <v>1386</v>
      </c>
      <c r="F950" s="35" t="s">
        <v>1390</v>
      </c>
    </row>
    <row r="951" spans="1:6" ht="19.5" customHeight="1" thickTop="1" thickBot="1" x14ac:dyDescent="0.25">
      <c r="A951" s="33" t="str">
        <f>مهن[[#This Row],[الدرجة]]&amp;مهن[[#This Row],[المهنة]]</f>
        <v>8طباخ</v>
      </c>
      <c r="B951" s="24">
        <v>8</v>
      </c>
      <c r="C951" s="24" t="s">
        <v>506</v>
      </c>
      <c r="D951" s="24">
        <v>166</v>
      </c>
      <c r="E951" s="34" t="s">
        <v>1386</v>
      </c>
      <c r="F951" s="35" t="s">
        <v>1391</v>
      </c>
    </row>
    <row r="952" spans="1:6" ht="19.5" customHeight="1" thickTop="1" thickBot="1" x14ac:dyDescent="0.25">
      <c r="A952" s="33" t="str">
        <f>مهن[[#This Row],[الدرجة]]&amp;مهن[[#This Row],[المهنة]]</f>
        <v>9طباخ</v>
      </c>
      <c r="B952" s="24">
        <v>9</v>
      </c>
      <c r="C952" s="24" t="s">
        <v>1152</v>
      </c>
      <c r="D952" s="24">
        <v>166</v>
      </c>
      <c r="E952" s="34" t="s">
        <v>1386</v>
      </c>
      <c r="F952" s="35" t="s">
        <v>1392</v>
      </c>
    </row>
    <row r="953" spans="1:6" ht="19.5" customHeight="1" thickTop="1" thickBot="1" x14ac:dyDescent="0.25">
      <c r="A953" s="33" t="str">
        <f>مهن[[#This Row],[الدرجة]]&amp;مهن[[#This Row],[المهنة]]</f>
        <v>4جناينى</v>
      </c>
      <c r="B953" s="24">
        <v>4</v>
      </c>
      <c r="C953" s="24" t="s">
        <v>498</v>
      </c>
      <c r="D953" s="24">
        <v>167</v>
      </c>
      <c r="E953" s="34" t="s">
        <v>1393</v>
      </c>
      <c r="F953" s="35" t="s">
        <v>1394</v>
      </c>
    </row>
    <row r="954" spans="1:6" ht="19.5" customHeight="1" thickTop="1" thickBot="1" x14ac:dyDescent="0.25">
      <c r="A954" s="33" t="str">
        <f>مهن[[#This Row],[الدرجة]]&amp;مهن[[#This Row],[المهنة]]</f>
        <v>5جناينى</v>
      </c>
      <c r="B954" s="24">
        <v>5</v>
      </c>
      <c r="C954" s="24" t="s">
        <v>500</v>
      </c>
      <c r="D954" s="24">
        <v>167</v>
      </c>
      <c r="E954" s="34" t="s">
        <v>1393</v>
      </c>
      <c r="F954" s="35" t="s">
        <v>1395</v>
      </c>
    </row>
    <row r="955" spans="1:6" ht="19.5" customHeight="1" thickTop="1" thickBot="1" x14ac:dyDescent="0.25">
      <c r="A955" s="33" t="str">
        <f>مهن[[#This Row],[الدرجة]]&amp;مهن[[#This Row],[المهنة]]</f>
        <v>6جناينى</v>
      </c>
      <c r="B955" s="24">
        <v>6</v>
      </c>
      <c r="C955" s="24" t="s">
        <v>502</v>
      </c>
      <c r="D955" s="24">
        <v>167</v>
      </c>
      <c r="E955" s="34" t="s">
        <v>1393</v>
      </c>
      <c r="F955" s="35" t="s">
        <v>1396</v>
      </c>
    </row>
    <row r="956" spans="1:6" ht="19.5" customHeight="1" thickTop="1" thickBot="1" x14ac:dyDescent="0.25">
      <c r="A956" s="33" t="str">
        <f>مهن[[#This Row],[الدرجة]]&amp;مهن[[#This Row],[المهنة]]</f>
        <v>7جناينى</v>
      </c>
      <c r="B956" s="24">
        <v>7</v>
      </c>
      <c r="C956" s="24" t="s">
        <v>504</v>
      </c>
      <c r="D956" s="24">
        <v>167</v>
      </c>
      <c r="E956" s="34" t="s">
        <v>1393</v>
      </c>
      <c r="F956" s="35" t="s">
        <v>1397</v>
      </c>
    </row>
    <row r="957" spans="1:6" ht="19.5" customHeight="1" thickTop="1" thickBot="1" x14ac:dyDescent="0.25">
      <c r="A957" s="33" t="str">
        <f>مهن[[#This Row],[الدرجة]]&amp;مهن[[#This Row],[المهنة]]</f>
        <v>8جناينى</v>
      </c>
      <c r="B957" s="24">
        <v>8</v>
      </c>
      <c r="C957" s="24" t="s">
        <v>506</v>
      </c>
      <c r="D957" s="24">
        <v>167</v>
      </c>
      <c r="E957" s="34" t="s">
        <v>1393</v>
      </c>
      <c r="F957" s="35" t="s">
        <v>1398</v>
      </c>
    </row>
    <row r="958" spans="1:6" ht="19.5" customHeight="1" thickTop="1" thickBot="1" x14ac:dyDescent="0.25">
      <c r="A958" s="33" t="str">
        <f>مهن[[#This Row],[الدرجة]]&amp;مهن[[#This Row],[المهنة]]</f>
        <v>9جناينى</v>
      </c>
      <c r="B958" s="24">
        <v>9</v>
      </c>
      <c r="C958" s="24" t="s">
        <v>1152</v>
      </c>
      <c r="D958" s="24">
        <v>167</v>
      </c>
      <c r="E958" s="34" t="s">
        <v>1393</v>
      </c>
      <c r="F958" s="35" t="s">
        <v>1399</v>
      </c>
    </row>
    <row r="959" spans="1:6" ht="19.5" customHeight="1" thickTop="1" thickBot="1" x14ac:dyDescent="0.25">
      <c r="A959" s="33" t="str">
        <f>مهن[[#This Row],[الدرجة]]&amp;مهن[[#This Row],[المهنة]]</f>
        <v>4قلفاط خشب</v>
      </c>
      <c r="B959" s="24">
        <v>4</v>
      </c>
      <c r="C959" s="24" t="s">
        <v>498</v>
      </c>
      <c r="D959" s="24">
        <v>168</v>
      </c>
      <c r="E959" s="34" t="s">
        <v>1400</v>
      </c>
      <c r="F959" s="35" t="s">
        <v>1401</v>
      </c>
    </row>
    <row r="960" spans="1:6" ht="19.5" customHeight="1" thickTop="1" thickBot="1" x14ac:dyDescent="0.25">
      <c r="A960" s="33" t="str">
        <f>مهن[[#This Row],[الدرجة]]&amp;مهن[[#This Row],[المهنة]]</f>
        <v>5قلفاط خشب</v>
      </c>
      <c r="B960" s="24">
        <v>5</v>
      </c>
      <c r="C960" s="24" t="s">
        <v>500</v>
      </c>
      <c r="D960" s="24">
        <v>168</v>
      </c>
      <c r="E960" s="34" t="s">
        <v>1400</v>
      </c>
      <c r="F960" s="35" t="s">
        <v>1402</v>
      </c>
    </row>
    <row r="961" spans="1:6" ht="19.5" customHeight="1" thickTop="1" thickBot="1" x14ac:dyDescent="0.25">
      <c r="A961" s="33" t="str">
        <f>مهن[[#This Row],[الدرجة]]&amp;مهن[[#This Row],[المهنة]]</f>
        <v>6قلفاط خشب</v>
      </c>
      <c r="B961" s="24">
        <v>6</v>
      </c>
      <c r="C961" s="24" t="s">
        <v>502</v>
      </c>
      <c r="D961" s="24">
        <v>168</v>
      </c>
      <c r="E961" s="34" t="s">
        <v>1400</v>
      </c>
      <c r="F961" s="35" t="s">
        <v>1403</v>
      </c>
    </row>
    <row r="962" spans="1:6" ht="19.5" customHeight="1" thickTop="1" thickBot="1" x14ac:dyDescent="0.25">
      <c r="A962" s="33" t="str">
        <f>مهن[[#This Row],[الدرجة]]&amp;مهن[[#This Row],[المهنة]]</f>
        <v>7قلفاط خشب</v>
      </c>
      <c r="B962" s="24">
        <v>7</v>
      </c>
      <c r="C962" s="24" t="s">
        <v>504</v>
      </c>
      <c r="D962" s="24">
        <v>168</v>
      </c>
      <c r="E962" s="34" t="s">
        <v>1400</v>
      </c>
      <c r="F962" s="35" t="s">
        <v>1404</v>
      </c>
    </row>
    <row r="963" spans="1:6" ht="19.5" customHeight="1" thickTop="1" thickBot="1" x14ac:dyDescent="0.25">
      <c r="A963" s="33" t="str">
        <f>مهن[[#This Row],[الدرجة]]&amp;مهن[[#This Row],[المهنة]]</f>
        <v>8قلفاط خشب</v>
      </c>
      <c r="B963" s="24">
        <v>8</v>
      </c>
      <c r="C963" s="24" t="s">
        <v>506</v>
      </c>
      <c r="D963" s="24">
        <v>168</v>
      </c>
      <c r="E963" s="34" t="s">
        <v>1400</v>
      </c>
      <c r="F963" s="35" t="s">
        <v>1405</v>
      </c>
    </row>
    <row r="964" spans="1:6" ht="19.5" customHeight="1" thickTop="1" thickBot="1" x14ac:dyDescent="0.25">
      <c r="A964" s="33" t="str">
        <f>مهن[[#This Row],[الدرجة]]&amp;مهن[[#This Row],[المهنة]]</f>
        <v>9قلفاط خشب</v>
      </c>
      <c r="B964" s="24">
        <v>9</v>
      </c>
      <c r="C964" s="24" t="s">
        <v>1152</v>
      </c>
      <c r="D964" s="24">
        <v>168</v>
      </c>
      <c r="E964" s="34" t="s">
        <v>1400</v>
      </c>
      <c r="F964" s="35" t="s">
        <v>1406</v>
      </c>
    </row>
    <row r="965" spans="1:6" ht="19.5" customHeight="1" thickTop="1" thickBot="1" x14ac:dyDescent="0.25">
      <c r="A965" s="33" t="str">
        <f>مهن[[#This Row],[الدرجة]]&amp;مهن[[#This Row],[المهنة]]</f>
        <v>4سمكرى سيارات</v>
      </c>
      <c r="B965" s="24">
        <v>4</v>
      </c>
      <c r="C965" s="24" t="s">
        <v>498</v>
      </c>
      <c r="D965" s="24">
        <v>169</v>
      </c>
      <c r="E965" s="34" t="s">
        <v>1407</v>
      </c>
      <c r="F965" s="35" t="s">
        <v>1408</v>
      </c>
    </row>
    <row r="966" spans="1:6" ht="19.5" customHeight="1" thickTop="1" thickBot="1" x14ac:dyDescent="0.25">
      <c r="A966" s="33" t="str">
        <f>مهن[[#This Row],[الدرجة]]&amp;مهن[[#This Row],[المهنة]]</f>
        <v>5سمكرى سيارات</v>
      </c>
      <c r="B966" s="24">
        <v>5</v>
      </c>
      <c r="C966" s="24" t="s">
        <v>500</v>
      </c>
      <c r="D966" s="24">
        <v>169</v>
      </c>
      <c r="E966" s="34" t="s">
        <v>1407</v>
      </c>
      <c r="F966" s="35" t="s">
        <v>1409</v>
      </c>
    </row>
    <row r="967" spans="1:6" ht="19.5" customHeight="1" thickTop="1" thickBot="1" x14ac:dyDescent="0.25">
      <c r="A967" s="33" t="str">
        <f>مهن[[#This Row],[الدرجة]]&amp;مهن[[#This Row],[المهنة]]</f>
        <v>6سمكرى سيارات</v>
      </c>
      <c r="B967" s="24">
        <v>6</v>
      </c>
      <c r="C967" s="24" t="s">
        <v>502</v>
      </c>
      <c r="D967" s="24">
        <v>169</v>
      </c>
      <c r="E967" s="34" t="s">
        <v>1407</v>
      </c>
      <c r="F967" s="35" t="s">
        <v>1410</v>
      </c>
    </row>
    <row r="968" spans="1:6" ht="19.5" customHeight="1" thickTop="1" thickBot="1" x14ac:dyDescent="0.25">
      <c r="A968" s="33" t="str">
        <f>مهن[[#This Row],[الدرجة]]&amp;مهن[[#This Row],[المهنة]]</f>
        <v>7سمكرى سيارات</v>
      </c>
      <c r="B968" s="24">
        <v>7</v>
      </c>
      <c r="C968" s="24" t="s">
        <v>504</v>
      </c>
      <c r="D968" s="24">
        <v>169</v>
      </c>
      <c r="E968" s="34" t="s">
        <v>1407</v>
      </c>
      <c r="F968" s="35" t="s">
        <v>1411</v>
      </c>
    </row>
    <row r="969" spans="1:6" ht="19.5" customHeight="1" thickTop="1" thickBot="1" x14ac:dyDescent="0.25">
      <c r="A969" s="33" t="str">
        <f>مهن[[#This Row],[الدرجة]]&amp;مهن[[#This Row],[المهنة]]</f>
        <v>8سمكرى سيارات</v>
      </c>
      <c r="B969" s="24">
        <v>8</v>
      </c>
      <c r="C969" s="24" t="s">
        <v>506</v>
      </c>
      <c r="D969" s="24">
        <v>169</v>
      </c>
      <c r="E969" s="34" t="s">
        <v>1407</v>
      </c>
      <c r="F969" s="35" t="s">
        <v>1412</v>
      </c>
    </row>
    <row r="970" spans="1:6" ht="19.5" customHeight="1" thickTop="1" thickBot="1" x14ac:dyDescent="0.25">
      <c r="A970" s="33" t="str">
        <f>مهن[[#This Row],[الدرجة]]&amp;مهن[[#This Row],[المهنة]]</f>
        <v>9سمكرى سيارات</v>
      </c>
      <c r="B970" s="24">
        <v>9</v>
      </c>
      <c r="C970" s="24" t="s">
        <v>1152</v>
      </c>
      <c r="D970" s="24">
        <v>169</v>
      </c>
      <c r="E970" s="34" t="s">
        <v>1407</v>
      </c>
      <c r="F970" s="35" t="s">
        <v>1413</v>
      </c>
    </row>
    <row r="971" spans="1:6" ht="19.5" customHeight="1" thickTop="1" thickBot="1" x14ac:dyDescent="0.25">
      <c r="A971" s="33" t="str">
        <f>مهن[[#This Row],[الدرجة]]&amp;مهن[[#This Row],[المهنة]]</f>
        <v>4كهربائى توصيلات</v>
      </c>
      <c r="B971" s="24">
        <v>4</v>
      </c>
      <c r="C971" s="24" t="s">
        <v>498</v>
      </c>
      <c r="D971" s="24">
        <v>170</v>
      </c>
      <c r="E971" s="34" t="s">
        <v>1414</v>
      </c>
      <c r="F971" s="35" t="s">
        <v>1415</v>
      </c>
    </row>
    <row r="972" spans="1:6" ht="19.5" customHeight="1" thickTop="1" thickBot="1" x14ac:dyDescent="0.25">
      <c r="A972" s="33" t="str">
        <f>مهن[[#This Row],[الدرجة]]&amp;مهن[[#This Row],[المهنة]]</f>
        <v>5كهربائى توصيلات</v>
      </c>
      <c r="B972" s="24">
        <v>5</v>
      </c>
      <c r="C972" s="24" t="s">
        <v>500</v>
      </c>
      <c r="D972" s="24">
        <v>170</v>
      </c>
      <c r="E972" s="34" t="s">
        <v>1414</v>
      </c>
      <c r="F972" s="35" t="s">
        <v>1416</v>
      </c>
    </row>
    <row r="973" spans="1:6" ht="19.5" customHeight="1" thickTop="1" thickBot="1" x14ac:dyDescent="0.25">
      <c r="A973" s="33" t="str">
        <f>مهن[[#This Row],[الدرجة]]&amp;مهن[[#This Row],[المهنة]]</f>
        <v>6كهربائى توصيلات</v>
      </c>
      <c r="B973" s="24">
        <v>6</v>
      </c>
      <c r="C973" s="24" t="s">
        <v>502</v>
      </c>
      <c r="D973" s="24">
        <v>170</v>
      </c>
      <c r="E973" s="34" t="s">
        <v>1414</v>
      </c>
      <c r="F973" s="35" t="s">
        <v>1417</v>
      </c>
    </row>
    <row r="974" spans="1:6" ht="19.5" customHeight="1" thickTop="1" thickBot="1" x14ac:dyDescent="0.25">
      <c r="A974" s="33" t="str">
        <f>مهن[[#This Row],[الدرجة]]&amp;مهن[[#This Row],[المهنة]]</f>
        <v>7كهربائى توصيلات</v>
      </c>
      <c r="B974" s="24">
        <v>7</v>
      </c>
      <c r="C974" s="24" t="s">
        <v>504</v>
      </c>
      <c r="D974" s="24">
        <v>170</v>
      </c>
      <c r="E974" s="34" t="s">
        <v>1414</v>
      </c>
      <c r="F974" s="35" t="s">
        <v>1418</v>
      </c>
    </row>
    <row r="975" spans="1:6" ht="19.5" customHeight="1" thickTop="1" thickBot="1" x14ac:dyDescent="0.25">
      <c r="A975" s="33" t="str">
        <f>مهن[[#This Row],[الدرجة]]&amp;مهن[[#This Row],[المهنة]]</f>
        <v>8كهربائى توصيلات</v>
      </c>
      <c r="B975" s="24">
        <v>8</v>
      </c>
      <c r="C975" s="24" t="s">
        <v>506</v>
      </c>
      <c r="D975" s="24">
        <v>170</v>
      </c>
      <c r="E975" s="34" t="s">
        <v>1414</v>
      </c>
      <c r="F975" s="35" t="s">
        <v>1419</v>
      </c>
    </row>
    <row r="976" spans="1:6" ht="19.5" customHeight="1" thickTop="1" thickBot="1" x14ac:dyDescent="0.25">
      <c r="A976" s="33" t="str">
        <f>مهن[[#This Row],[الدرجة]]&amp;مهن[[#This Row],[المهنة]]</f>
        <v>9كهربائى توصيلات</v>
      </c>
      <c r="B976" s="24">
        <v>9</v>
      </c>
      <c r="C976" s="24" t="s">
        <v>1152</v>
      </c>
      <c r="D976" s="24">
        <v>170</v>
      </c>
      <c r="E976" s="34" t="s">
        <v>1414</v>
      </c>
      <c r="F976" s="35" t="s">
        <v>1420</v>
      </c>
    </row>
    <row r="977" spans="1:6" ht="19.5" customHeight="1" thickTop="1" thickBot="1" x14ac:dyDescent="0.25">
      <c r="A977" s="33" t="str">
        <f>مهن[[#This Row],[الدرجة]]&amp;مهن[[#This Row],[المهنة]]</f>
        <v>4كهربائى بطاريات</v>
      </c>
      <c r="B977" s="24">
        <v>4</v>
      </c>
      <c r="C977" s="24" t="s">
        <v>498</v>
      </c>
      <c r="D977" s="24">
        <v>171</v>
      </c>
      <c r="E977" s="34" t="s">
        <v>1421</v>
      </c>
      <c r="F977" s="35" t="s">
        <v>1422</v>
      </c>
    </row>
    <row r="978" spans="1:6" ht="19.5" customHeight="1" thickTop="1" thickBot="1" x14ac:dyDescent="0.25">
      <c r="A978" s="33" t="str">
        <f>مهن[[#This Row],[الدرجة]]&amp;مهن[[#This Row],[المهنة]]</f>
        <v>5كهربائى بطاريات</v>
      </c>
      <c r="B978" s="24">
        <v>5</v>
      </c>
      <c r="C978" s="24" t="s">
        <v>500</v>
      </c>
      <c r="D978" s="24">
        <v>171</v>
      </c>
      <c r="E978" s="34" t="s">
        <v>1421</v>
      </c>
      <c r="F978" s="35" t="s">
        <v>1423</v>
      </c>
    </row>
    <row r="979" spans="1:6" ht="19.5" customHeight="1" thickTop="1" thickBot="1" x14ac:dyDescent="0.25">
      <c r="A979" s="33" t="str">
        <f>مهن[[#This Row],[الدرجة]]&amp;مهن[[#This Row],[المهنة]]</f>
        <v>6كهربائى بطاريات</v>
      </c>
      <c r="B979" s="24">
        <v>6</v>
      </c>
      <c r="C979" s="24" t="s">
        <v>502</v>
      </c>
      <c r="D979" s="24">
        <v>171</v>
      </c>
      <c r="E979" s="34" t="s">
        <v>1421</v>
      </c>
      <c r="F979" s="35" t="s">
        <v>1424</v>
      </c>
    </row>
    <row r="980" spans="1:6" ht="19.5" customHeight="1" thickTop="1" thickBot="1" x14ac:dyDescent="0.25">
      <c r="A980" s="33" t="str">
        <f>مهن[[#This Row],[الدرجة]]&amp;مهن[[#This Row],[المهنة]]</f>
        <v>7كهربائى بطاريات</v>
      </c>
      <c r="B980" s="24">
        <v>7</v>
      </c>
      <c r="C980" s="24" t="s">
        <v>504</v>
      </c>
      <c r="D980" s="24">
        <v>171</v>
      </c>
      <c r="E980" s="34" t="s">
        <v>1421</v>
      </c>
      <c r="F980" s="35" t="s">
        <v>1425</v>
      </c>
    </row>
    <row r="981" spans="1:6" ht="19.5" customHeight="1" thickTop="1" thickBot="1" x14ac:dyDescent="0.25">
      <c r="A981" s="33" t="str">
        <f>مهن[[#This Row],[الدرجة]]&amp;مهن[[#This Row],[المهنة]]</f>
        <v>8كهربائى بطاريات</v>
      </c>
      <c r="B981" s="24">
        <v>8</v>
      </c>
      <c r="C981" s="24" t="s">
        <v>506</v>
      </c>
      <c r="D981" s="24">
        <v>171</v>
      </c>
      <c r="E981" s="34" t="s">
        <v>1421</v>
      </c>
      <c r="F981" s="35" t="s">
        <v>1426</v>
      </c>
    </row>
    <row r="982" spans="1:6" ht="19.5" customHeight="1" thickTop="1" thickBot="1" x14ac:dyDescent="0.25">
      <c r="A982" s="33" t="str">
        <f>مهن[[#This Row],[الدرجة]]&amp;مهن[[#This Row],[المهنة]]</f>
        <v>9كهربائى بطاريات</v>
      </c>
      <c r="B982" s="24">
        <v>9</v>
      </c>
      <c r="C982" s="24" t="s">
        <v>1152</v>
      </c>
      <c r="D982" s="24">
        <v>171</v>
      </c>
      <c r="E982" s="34" t="s">
        <v>1421</v>
      </c>
      <c r="F982" s="35" t="s">
        <v>1427</v>
      </c>
    </row>
    <row r="983" spans="1:6" ht="19.5" customHeight="1" thickTop="1" thickBot="1" x14ac:dyDescent="0.25">
      <c r="A983" s="33" t="str">
        <f>مهن[[#This Row],[الدرجة]]&amp;مهن[[#This Row],[المهنة]]</f>
        <v>4كهربائى طلاء معادن</v>
      </c>
      <c r="B983" s="24">
        <v>4</v>
      </c>
      <c r="C983" s="24" t="s">
        <v>498</v>
      </c>
      <c r="D983" s="24">
        <v>172</v>
      </c>
      <c r="E983" s="34" t="s">
        <v>1428</v>
      </c>
      <c r="F983" s="35" t="s">
        <v>1429</v>
      </c>
    </row>
    <row r="984" spans="1:6" ht="19.5" customHeight="1" thickTop="1" thickBot="1" x14ac:dyDescent="0.25">
      <c r="A984" s="33" t="str">
        <f>مهن[[#This Row],[الدرجة]]&amp;مهن[[#This Row],[المهنة]]</f>
        <v>5كهربائى طلاء معادن</v>
      </c>
      <c r="B984" s="24">
        <v>5</v>
      </c>
      <c r="C984" s="24" t="s">
        <v>500</v>
      </c>
      <c r="D984" s="24">
        <v>172</v>
      </c>
      <c r="E984" s="34" t="s">
        <v>1428</v>
      </c>
      <c r="F984" s="35" t="s">
        <v>1430</v>
      </c>
    </row>
    <row r="985" spans="1:6" ht="19.5" customHeight="1" thickTop="1" thickBot="1" x14ac:dyDescent="0.25">
      <c r="A985" s="33" t="str">
        <f>مهن[[#This Row],[الدرجة]]&amp;مهن[[#This Row],[المهنة]]</f>
        <v>6كهربائى طلاء معادن</v>
      </c>
      <c r="B985" s="24">
        <v>6</v>
      </c>
      <c r="C985" s="24" t="s">
        <v>502</v>
      </c>
      <c r="D985" s="24">
        <v>172</v>
      </c>
      <c r="E985" s="34" t="s">
        <v>1428</v>
      </c>
      <c r="F985" s="35" t="s">
        <v>1431</v>
      </c>
    </row>
    <row r="986" spans="1:6" ht="19.5" customHeight="1" thickTop="1" thickBot="1" x14ac:dyDescent="0.25">
      <c r="A986" s="33" t="str">
        <f>مهن[[#This Row],[الدرجة]]&amp;مهن[[#This Row],[المهنة]]</f>
        <v>7كهربائى طلاء معادن</v>
      </c>
      <c r="B986" s="24">
        <v>7</v>
      </c>
      <c r="C986" s="24" t="s">
        <v>504</v>
      </c>
      <c r="D986" s="24">
        <v>172</v>
      </c>
      <c r="E986" s="34" t="s">
        <v>1428</v>
      </c>
      <c r="F986" s="35" t="s">
        <v>1432</v>
      </c>
    </row>
    <row r="987" spans="1:6" ht="19.5" customHeight="1" thickTop="1" thickBot="1" x14ac:dyDescent="0.25">
      <c r="A987" s="33" t="str">
        <f>مهن[[#This Row],[الدرجة]]&amp;مهن[[#This Row],[المهنة]]</f>
        <v>8كهربائى طلاء معادن</v>
      </c>
      <c r="B987" s="24">
        <v>8</v>
      </c>
      <c r="C987" s="24" t="s">
        <v>506</v>
      </c>
      <c r="D987" s="24">
        <v>172</v>
      </c>
      <c r="E987" s="34" t="s">
        <v>1428</v>
      </c>
      <c r="F987" s="35" t="s">
        <v>1433</v>
      </c>
    </row>
    <row r="988" spans="1:6" ht="19.5" customHeight="1" thickTop="1" thickBot="1" x14ac:dyDescent="0.25">
      <c r="A988" s="33" t="str">
        <f>مهن[[#This Row],[الدرجة]]&amp;مهن[[#This Row],[المهنة]]</f>
        <v>9كهربائى طلاء معادن</v>
      </c>
      <c r="B988" s="24">
        <v>9</v>
      </c>
      <c r="C988" s="24" t="s">
        <v>1152</v>
      </c>
      <c r="D988" s="24">
        <v>172</v>
      </c>
      <c r="E988" s="34" t="s">
        <v>1428</v>
      </c>
      <c r="F988" s="35" t="s">
        <v>1434</v>
      </c>
    </row>
    <row r="989" spans="1:6" ht="19.5" customHeight="1" thickTop="1" thickBot="1" x14ac:dyDescent="0.25">
      <c r="A989" s="33" t="str">
        <f>مهن[[#This Row],[الدرجة]]&amp;مهن[[#This Row],[المهنة]]</f>
        <v>4عامل مخزن</v>
      </c>
      <c r="B989" s="24">
        <v>4</v>
      </c>
      <c r="C989" s="24" t="s">
        <v>498</v>
      </c>
      <c r="D989" s="24">
        <v>173</v>
      </c>
      <c r="E989" s="34" t="s">
        <v>1435</v>
      </c>
      <c r="F989" s="35" t="s">
        <v>1436</v>
      </c>
    </row>
    <row r="990" spans="1:6" ht="19.5" customHeight="1" thickTop="1" thickBot="1" x14ac:dyDescent="0.25">
      <c r="A990" s="33" t="str">
        <f>مهن[[#This Row],[الدرجة]]&amp;مهن[[#This Row],[المهنة]]</f>
        <v>5عامل مخزن</v>
      </c>
      <c r="B990" s="24">
        <v>5</v>
      </c>
      <c r="C990" s="24" t="s">
        <v>500</v>
      </c>
      <c r="D990" s="24">
        <v>173</v>
      </c>
      <c r="E990" s="34" t="s">
        <v>1435</v>
      </c>
      <c r="F990" s="35" t="s">
        <v>1437</v>
      </c>
    </row>
    <row r="991" spans="1:6" ht="19.5" customHeight="1" thickTop="1" thickBot="1" x14ac:dyDescent="0.25">
      <c r="A991" s="33" t="str">
        <f>مهن[[#This Row],[الدرجة]]&amp;مهن[[#This Row],[المهنة]]</f>
        <v>6عامل مخزن</v>
      </c>
      <c r="B991" s="24">
        <v>6</v>
      </c>
      <c r="C991" s="24" t="s">
        <v>502</v>
      </c>
      <c r="D991" s="24">
        <v>173</v>
      </c>
      <c r="E991" s="34" t="s">
        <v>1435</v>
      </c>
      <c r="F991" s="35" t="s">
        <v>1438</v>
      </c>
    </row>
    <row r="992" spans="1:6" ht="19.5" customHeight="1" thickTop="1" thickBot="1" x14ac:dyDescent="0.25">
      <c r="A992" s="33" t="str">
        <f>مهن[[#This Row],[الدرجة]]&amp;مهن[[#This Row],[المهنة]]</f>
        <v>7عامل مخزن</v>
      </c>
      <c r="B992" s="24">
        <v>7</v>
      </c>
      <c r="C992" s="24" t="s">
        <v>504</v>
      </c>
      <c r="D992" s="24">
        <v>173</v>
      </c>
      <c r="E992" s="34" t="s">
        <v>1435</v>
      </c>
      <c r="F992" s="35" t="s">
        <v>1439</v>
      </c>
    </row>
    <row r="993" spans="1:6" ht="19.5" customHeight="1" thickTop="1" thickBot="1" x14ac:dyDescent="0.25">
      <c r="A993" s="33" t="str">
        <f>مهن[[#This Row],[الدرجة]]&amp;مهن[[#This Row],[المهنة]]</f>
        <v>8عامل مخزن</v>
      </c>
      <c r="B993" s="24">
        <v>8</v>
      </c>
      <c r="C993" s="24" t="s">
        <v>506</v>
      </c>
      <c r="D993" s="24">
        <v>173</v>
      </c>
      <c r="E993" s="34" t="s">
        <v>1435</v>
      </c>
      <c r="F993" s="35" t="s">
        <v>1440</v>
      </c>
    </row>
    <row r="994" spans="1:6" ht="19.5" customHeight="1" thickTop="1" thickBot="1" x14ac:dyDescent="0.25">
      <c r="A994" s="33" t="str">
        <f>مهن[[#This Row],[الدرجة]]&amp;مهن[[#This Row],[المهنة]]</f>
        <v>9عامل مخزن</v>
      </c>
      <c r="B994" s="24">
        <v>9</v>
      </c>
      <c r="C994" s="24" t="s">
        <v>1152</v>
      </c>
      <c r="D994" s="24">
        <v>173</v>
      </c>
      <c r="E994" s="34" t="s">
        <v>1435</v>
      </c>
      <c r="F994" s="35" t="s">
        <v>1441</v>
      </c>
    </row>
    <row r="995" spans="1:6" ht="19.5" customHeight="1" thickTop="1" thickBot="1" x14ac:dyDescent="0.25">
      <c r="A995" s="33" t="str">
        <f>مهن[[#This Row],[الدرجة]]&amp;مهن[[#This Row],[المهنة]]</f>
        <v>4عامل بياضات</v>
      </c>
      <c r="B995" s="24">
        <v>4</v>
      </c>
      <c r="C995" s="24" t="s">
        <v>498</v>
      </c>
      <c r="D995" s="24">
        <v>174</v>
      </c>
      <c r="E995" s="34" t="s">
        <v>1442</v>
      </c>
      <c r="F995" s="35" t="s">
        <v>1443</v>
      </c>
    </row>
    <row r="996" spans="1:6" ht="19.5" customHeight="1" thickTop="1" thickBot="1" x14ac:dyDescent="0.25">
      <c r="A996" s="33" t="str">
        <f>مهن[[#This Row],[الدرجة]]&amp;مهن[[#This Row],[المهنة]]</f>
        <v>5عامل بياضات</v>
      </c>
      <c r="B996" s="24">
        <v>5</v>
      </c>
      <c r="C996" s="24" t="s">
        <v>500</v>
      </c>
      <c r="D996" s="24">
        <v>174</v>
      </c>
      <c r="E996" s="34" t="s">
        <v>1442</v>
      </c>
      <c r="F996" s="35" t="s">
        <v>1444</v>
      </c>
    </row>
    <row r="997" spans="1:6" ht="19.5" customHeight="1" thickTop="1" thickBot="1" x14ac:dyDescent="0.25">
      <c r="A997" s="33" t="str">
        <f>مهن[[#This Row],[الدرجة]]&amp;مهن[[#This Row],[المهنة]]</f>
        <v>6عامل بياضات</v>
      </c>
      <c r="B997" s="24">
        <v>6</v>
      </c>
      <c r="C997" s="24" t="s">
        <v>502</v>
      </c>
      <c r="D997" s="24">
        <v>174</v>
      </c>
      <c r="E997" s="34" t="s">
        <v>1442</v>
      </c>
      <c r="F997" s="35" t="s">
        <v>1445</v>
      </c>
    </row>
    <row r="998" spans="1:6" ht="19.5" customHeight="1" thickTop="1" thickBot="1" x14ac:dyDescent="0.25">
      <c r="A998" s="33" t="str">
        <f>مهن[[#This Row],[الدرجة]]&amp;مهن[[#This Row],[المهنة]]</f>
        <v>7عامل بياضات</v>
      </c>
      <c r="B998" s="24">
        <v>7</v>
      </c>
      <c r="C998" s="24" t="s">
        <v>504</v>
      </c>
      <c r="D998" s="24">
        <v>174</v>
      </c>
      <c r="E998" s="34" t="s">
        <v>1442</v>
      </c>
      <c r="F998" s="35" t="s">
        <v>1446</v>
      </c>
    </row>
    <row r="999" spans="1:6" ht="19.5" customHeight="1" thickTop="1" thickBot="1" x14ac:dyDescent="0.25">
      <c r="A999" s="33" t="str">
        <f>مهن[[#This Row],[الدرجة]]&amp;مهن[[#This Row],[المهنة]]</f>
        <v>8عامل بياضات</v>
      </c>
      <c r="B999" s="24">
        <v>8</v>
      </c>
      <c r="C999" s="24" t="s">
        <v>506</v>
      </c>
      <c r="D999" s="24">
        <v>174</v>
      </c>
      <c r="E999" s="34" t="s">
        <v>1442</v>
      </c>
      <c r="F999" s="35" t="s">
        <v>1447</v>
      </c>
    </row>
    <row r="1000" spans="1:6" ht="19.5" customHeight="1" thickTop="1" thickBot="1" x14ac:dyDescent="0.25">
      <c r="A1000" s="33" t="str">
        <f>مهن[[#This Row],[الدرجة]]&amp;مهن[[#This Row],[المهنة]]</f>
        <v>9عامل بياضات</v>
      </c>
      <c r="B1000" s="24">
        <v>9</v>
      </c>
      <c r="C1000" s="24" t="s">
        <v>1152</v>
      </c>
      <c r="D1000" s="24">
        <v>174</v>
      </c>
      <c r="E1000" s="34" t="s">
        <v>1442</v>
      </c>
      <c r="F1000" s="35" t="s">
        <v>1448</v>
      </c>
    </row>
    <row r="1001" spans="1:6" ht="19.5" customHeight="1" thickTop="1" thickBot="1" x14ac:dyDescent="0.25">
      <c r="A1001" s="33" t="str">
        <f>مهن[[#This Row],[الدرجة]]&amp;مهن[[#This Row],[المهنة]]</f>
        <v>4عامل تثقيبات للتربة</v>
      </c>
      <c r="B1001" s="24">
        <v>4</v>
      </c>
      <c r="C1001" s="24" t="s">
        <v>498</v>
      </c>
      <c r="D1001" s="24">
        <v>175</v>
      </c>
      <c r="E1001" s="34" t="s">
        <v>1449</v>
      </c>
      <c r="F1001" s="35" t="s">
        <v>1450</v>
      </c>
    </row>
    <row r="1002" spans="1:6" ht="19.5" customHeight="1" thickTop="1" thickBot="1" x14ac:dyDescent="0.25">
      <c r="A1002" s="33" t="str">
        <f>مهن[[#This Row],[الدرجة]]&amp;مهن[[#This Row],[المهنة]]</f>
        <v>5عامل تثقيبات للتربة</v>
      </c>
      <c r="B1002" s="24">
        <v>5</v>
      </c>
      <c r="C1002" s="24" t="s">
        <v>500</v>
      </c>
      <c r="D1002" s="24">
        <v>175</v>
      </c>
      <c r="E1002" s="34" t="s">
        <v>1449</v>
      </c>
      <c r="F1002" s="35" t="s">
        <v>1451</v>
      </c>
    </row>
    <row r="1003" spans="1:6" ht="19.5" customHeight="1" thickTop="1" thickBot="1" x14ac:dyDescent="0.25">
      <c r="A1003" s="33" t="str">
        <f>مهن[[#This Row],[الدرجة]]&amp;مهن[[#This Row],[المهنة]]</f>
        <v>6عامل تثقيبات للتربة</v>
      </c>
      <c r="B1003" s="24">
        <v>6</v>
      </c>
      <c r="C1003" s="24" t="s">
        <v>502</v>
      </c>
      <c r="D1003" s="24">
        <v>175</v>
      </c>
      <c r="E1003" s="34" t="s">
        <v>1449</v>
      </c>
      <c r="F1003" s="35" t="s">
        <v>1452</v>
      </c>
    </row>
    <row r="1004" spans="1:6" ht="19.5" customHeight="1" thickTop="1" thickBot="1" x14ac:dyDescent="0.25">
      <c r="A1004" s="33" t="str">
        <f>مهن[[#This Row],[الدرجة]]&amp;مهن[[#This Row],[المهنة]]</f>
        <v>7عامل تثقيبات للتربة</v>
      </c>
      <c r="B1004" s="24">
        <v>7</v>
      </c>
      <c r="C1004" s="24" t="s">
        <v>504</v>
      </c>
      <c r="D1004" s="24">
        <v>175</v>
      </c>
      <c r="E1004" s="34" t="s">
        <v>1449</v>
      </c>
      <c r="F1004" s="35" t="s">
        <v>1453</v>
      </c>
    </row>
    <row r="1005" spans="1:6" ht="19.5" customHeight="1" thickTop="1" thickBot="1" x14ac:dyDescent="0.25">
      <c r="A1005" s="33" t="str">
        <f>مهن[[#This Row],[الدرجة]]&amp;مهن[[#This Row],[المهنة]]</f>
        <v>8عامل تثقيبات للتربة</v>
      </c>
      <c r="B1005" s="24">
        <v>8</v>
      </c>
      <c r="C1005" s="24" t="s">
        <v>506</v>
      </c>
      <c r="D1005" s="24">
        <v>175</v>
      </c>
      <c r="E1005" s="34" t="s">
        <v>1449</v>
      </c>
      <c r="F1005" s="35" t="s">
        <v>1454</v>
      </c>
    </row>
    <row r="1006" spans="1:6" ht="19.5" customHeight="1" thickTop="1" thickBot="1" x14ac:dyDescent="0.25">
      <c r="A1006" s="33" t="str">
        <f>مهن[[#This Row],[الدرجة]]&amp;مهن[[#This Row],[المهنة]]</f>
        <v>9عامل تثقيبات للتربة</v>
      </c>
      <c r="B1006" s="24">
        <v>9</v>
      </c>
      <c r="C1006" s="24" t="s">
        <v>1152</v>
      </c>
      <c r="D1006" s="24">
        <v>175</v>
      </c>
      <c r="E1006" s="34" t="s">
        <v>1449</v>
      </c>
      <c r="F1006" s="35" t="s">
        <v>1455</v>
      </c>
    </row>
    <row r="1007" spans="1:6" ht="19.5" customHeight="1" thickTop="1" thickBot="1" x14ac:dyDescent="0.25">
      <c r="A1007" s="33" t="str">
        <f>مهن[[#This Row],[الدرجة]]&amp;مهن[[#This Row],[المهنة]]</f>
        <v>4وناش علوى</v>
      </c>
      <c r="B1007" s="24">
        <v>4</v>
      </c>
      <c r="C1007" s="24" t="s">
        <v>498</v>
      </c>
      <c r="D1007" s="24">
        <v>176</v>
      </c>
      <c r="E1007" s="34" t="s">
        <v>1456</v>
      </c>
      <c r="F1007" s="35" t="s">
        <v>1457</v>
      </c>
    </row>
    <row r="1008" spans="1:6" ht="19.5" customHeight="1" thickTop="1" thickBot="1" x14ac:dyDescent="0.25">
      <c r="A1008" s="33" t="str">
        <f>مهن[[#This Row],[الدرجة]]&amp;مهن[[#This Row],[المهنة]]</f>
        <v>5وناش علوى</v>
      </c>
      <c r="B1008" s="24">
        <v>5</v>
      </c>
      <c r="C1008" s="24" t="s">
        <v>500</v>
      </c>
      <c r="D1008" s="24">
        <v>176</v>
      </c>
      <c r="E1008" s="34" t="s">
        <v>1456</v>
      </c>
      <c r="F1008" s="35" t="s">
        <v>1458</v>
      </c>
    </row>
    <row r="1009" spans="1:6" ht="19.5" customHeight="1" thickTop="1" thickBot="1" x14ac:dyDescent="0.25">
      <c r="A1009" s="33" t="str">
        <f>مهن[[#This Row],[الدرجة]]&amp;مهن[[#This Row],[المهنة]]</f>
        <v>6وناش علوى</v>
      </c>
      <c r="B1009" s="24">
        <v>6</v>
      </c>
      <c r="C1009" s="24" t="s">
        <v>502</v>
      </c>
      <c r="D1009" s="24">
        <v>176</v>
      </c>
      <c r="E1009" s="34" t="s">
        <v>1456</v>
      </c>
      <c r="F1009" s="35" t="s">
        <v>1459</v>
      </c>
    </row>
    <row r="1010" spans="1:6" ht="19.5" customHeight="1" thickTop="1" thickBot="1" x14ac:dyDescent="0.25">
      <c r="A1010" s="33" t="str">
        <f>مهن[[#This Row],[الدرجة]]&amp;مهن[[#This Row],[المهنة]]</f>
        <v>7وناش علوى</v>
      </c>
      <c r="B1010" s="24">
        <v>7</v>
      </c>
      <c r="C1010" s="24" t="s">
        <v>504</v>
      </c>
      <c r="D1010" s="24">
        <v>176</v>
      </c>
      <c r="E1010" s="34" t="s">
        <v>1456</v>
      </c>
      <c r="F1010" s="35" t="s">
        <v>1460</v>
      </c>
    </row>
    <row r="1011" spans="1:6" ht="19.5" customHeight="1" thickTop="1" thickBot="1" x14ac:dyDescent="0.25">
      <c r="A1011" s="33" t="str">
        <f>مهن[[#This Row],[الدرجة]]&amp;مهن[[#This Row],[المهنة]]</f>
        <v>8وناش علوى</v>
      </c>
      <c r="B1011" s="24">
        <v>8</v>
      </c>
      <c r="C1011" s="24" t="s">
        <v>506</v>
      </c>
      <c r="D1011" s="24">
        <v>176</v>
      </c>
      <c r="E1011" s="34" t="s">
        <v>1456</v>
      </c>
      <c r="F1011" s="35" t="s">
        <v>1461</v>
      </c>
    </row>
    <row r="1012" spans="1:6" ht="19.5" customHeight="1" thickTop="1" thickBot="1" x14ac:dyDescent="0.25">
      <c r="A1012" s="33" t="str">
        <f>مهن[[#This Row],[الدرجة]]&amp;مهن[[#This Row],[المهنة]]</f>
        <v>9وناش علوى</v>
      </c>
      <c r="B1012" s="24">
        <v>9</v>
      </c>
      <c r="C1012" s="24" t="s">
        <v>1152</v>
      </c>
      <c r="D1012" s="24">
        <v>176</v>
      </c>
      <c r="E1012" s="34" t="s">
        <v>1456</v>
      </c>
      <c r="F1012" s="35" t="s">
        <v>1462</v>
      </c>
    </row>
    <row r="1013" spans="1:6" ht="19.5" customHeight="1" thickTop="1" thickBot="1" x14ac:dyDescent="0.25">
      <c r="A1013" s="33" t="str">
        <f>مهن[[#This Row],[الدرجة]]&amp;مهن[[#This Row],[المهنة]]</f>
        <v>4عامل تشكيل لدائن مقواه</v>
      </c>
      <c r="B1013" s="24">
        <v>4</v>
      </c>
      <c r="C1013" s="24" t="s">
        <v>498</v>
      </c>
      <c r="D1013" s="24">
        <v>177</v>
      </c>
      <c r="E1013" s="34" t="s">
        <v>1463</v>
      </c>
      <c r="F1013" s="35" t="s">
        <v>1464</v>
      </c>
    </row>
    <row r="1014" spans="1:6" ht="19.5" customHeight="1" thickTop="1" thickBot="1" x14ac:dyDescent="0.25">
      <c r="A1014" s="33" t="str">
        <f>مهن[[#This Row],[الدرجة]]&amp;مهن[[#This Row],[المهنة]]</f>
        <v>5عامل تشكيل لدائن مقواه</v>
      </c>
      <c r="B1014" s="24">
        <v>5</v>
      </c>
      <c r="C1014" s="24" t="s">
        <v>500</v>
      </c>
      <c r="D1014" s="24">
        <v>177</v>
      </c>
      <c r="E1014" s="34" t="s">
        <v>1463</v>
      </c>
      <c r="F1014" s="35" t="s">
        <v>1465</v>
      </c>
    </row>
    <row r="1015" spans="1:6" ht="19.5" customHeight="1" thickTop="1" thickBot="1" x14ac:dyDescent="0.25">
      <c r="A1015" s="33" t="str">
        <f>مهن[[#This Row],[الدرجة]]&amp;مهن[[#This Row],[المهنة]]</f>
        <v>6عامل تشكيل لدائن مقواه</v>
      </c>
      <c r="B1015" s="24">
        <v>6</v>
      </c>
      <c r="C1015" s="24" t="s">
        <v>502</v>
      </c>
      <c r="D1015" s="24">
        <v>177</v>
      </c>
      <c r="E1015" s="34" t="s">
        <v>1463</v>
      </c>
      <c r="F1015" s="35" t="s">
        <v>1466</v>
      </c>
    </row>
    <row r="1016" spans="1:6" ht="19.5" customHeight="1" thickTop="1" thickBot="1" x14ac:dyDescent="0.25">
      <c r="A1016" s="33" t="str">
        <f>مهن[[#This Row],[الدرجة]]&amp;مهن[[#This Row],[المهنة]]</f>
        <v>7عامل تشكيل لدائن مقواه</v>
      </c>
      <c r="B1016" s="24">
        <v>7</v>
      </c>
      <c r="C1016" s="24" t="s">
        <v>504</v>
      </c>
      <c r="D1016" s="24">
        <v>177</v>
      </c>
      <c r="E1016" s="34" t="s">
        <v>1463</v>
      </c>
      <c r="F1016" s="35" t="s">
        <v>1467</v>
      </c>
    </row>
    <row r="1017" spans="1:6" ht="19.5" customHeight="1" thickTop="1" thickBot="1" x14ac:dyDescent="0.25">
      <c r="A1017" s="33" t="str">
        <f>مهن[[#This Row],[الدرجة]]&amp;مهن[[#This Row],[المهنة]]</f>
        <v>8عامل تشكيل لدائن مقواه</v>
      </c>
      <c r="B1017" s="24">
        <v>8</v>
      </c>
      <c r="C1017" s="24" t="s">
        <v>506</v>
      </c>
      <c r="D1017" s="24">
        <v>177</v>
      </c>
      <c r="E1017" s="34" t="s">
        <v>1463</v>
      </c>
      <c r="F1017" s="35" t="s">
        <v>1468</v>
      </c>
    </row>
    <row r="1018" spans="1:6" ht="19.5" customHeight="1" thickTop="1" thickBot="1" x14ac:dyDescent="0.25">
      <c r="A1018" s="33" t="str">
        <f>مهن[[#This Row],[الدرجة]]&amp;مهن[[#This Row],[المهنة]]</f>
        <v>9عامل تشكيل لدائن مقواه</v>
      </c>
      <c r="B1018" s="24">
        <v>9</v>
      </c>
      <c r="C1018" s="24" t="s">
        <v>1152</v>
      </c>
      <c r="D1018" s="24">
        <v>177</v>
      </c>
      <c r="E1018" s="34" t="s">
        <v>1463</v>
      </c>
      <c r="F1018" s="35" t="s">
        <v>1469</v>
      </c>
    </row>
    <row r="1019" spans="1:6" ht="19.5" customHeight="1" thickTop="1" thickBot="1" x14ac:dyDescent="0.25">
      <c r="A1019" s="33" t="str">
        <f>مهن[[#This Row],[الدرجة]]&amp;مهن[[#This Row],[المهنة]]</f>
        <v>1اخصائى خدمات مساعده</v>
      </c>
      <c r="B1019" s="24">
        <v>1</v>
      </c>
      <c r="C1019" s="24" t="s">
        <v>586</v>
      </c>
      <c r="D1019" s="24">
        <v>187</v>
      </c>
      <c r="E1019" s="34" t="s">
        <v>1470</v>
      </c>
      <c r="F1019" s="35" t="s">
        <v>613</v>
      </c>
    </row>
    <row r="1020" spans="1:6" ht="19.5" customHeight="1" thickTop="1" thickBot="1" x14ac:dyDescent="0.25">
      <c r="A1020" s="33" t="str">
        <f>مهن[[#This Row],[الدرجة]]&amp;مهن[[#This Row],[المهنة]]</f>
        <v>2اخصائى خدمات مساعده</v>
      </c>
      <c r="B1020" s="24">
        <v>2</v>
      </c>
      <c r="C1020" s="24" t="s">
        <v>493</v>
      </c>
      <c r="D1020" s="24">
        <v>187</v>
      </c>
      <c r="E1020" s="34" t="s">
        <v>1470</v>
      </c>
      <c r="F1020" s="35" t="s">
        <v>614</v>
      </c>
    </row>
    <row r="1021" spans="1:6" ht="19.5" customHeight="1" thickTop="1" thickBot="1" x14ac:dyDescent="0.25">
      <c r="A1021" s="33" t="str">
        <f>مهن[[#This Row],[الدرجة]]&amp;مهن[[#This Row],[المهنة]]</f>
        <v>3اخصائى خدمات مساعده</v>
      </c>
      <c r="B1021" s="24">
        <v>3</v>
      </c>
      <c r="C1021" s="24" t="s">
        <v>496</v>
      </c>
      <c r="D1021" s="24">
        <v>187</v>
      </c>
      <c r="E1021" s="34" t="s">
        <v>1470</v>
      </c>
      <c r="F1021" s="35" t="s">
        <v>615</v>
      </c>
    </row>
    <row r="1022" spans="1:6" ht="19.5" customHeight="1" thickTop="1" thickBot="1" x14ac:dyDescent="0.25">
      <c r="A1022" s="33" t="str">
        <f>مهن[[#This Row],[الدرجة]]&amp;مهن[[#This Row],[المهنة]]</f>
        <v>4اخصائى خدمات مساعده</v>
      </c>
      <c r="B1022" s="24">
        <v>4</v>
      </c>
      <c r="C1022" s="24" t="s">
        <v>498</v>
      </c>
      <c r="D1022" s="24">
        <v>187</v>
      </c>
      <c r="E1022" s="34" t="s">
        <v>1470</v>
      </c>
      <c r="F1022" s="35" t="s">
        <v>616</v>
      </c>
    </row>
    <row r="1023" spans="1:6" ht="19.5" customHeight="1" thickTop="1" thickBot="1" x14ac:dyDescent="0.25">
      <c r="A1023" s="33" t="str">
        <f>مهن[[#This Row],[الدرجة]]&amp;مهن[[#This Row],[المهنة]]</f>
        <v>5اخصائى خدمات مساعده</v>
      </c>
      <c r="B1023" s="24">
        <v>5</v>
      </c>
      <c r="C1023" s="24" t="s">
        <v>500</v>
      </c>
      <c r="D1023" s="24">
        <v>187</v>
      </c>
      <c r="E1023" s="34" t="s">
        <v>1470</v>
      </c>
      <c r="F1023" s="35" t="s">
        <v>617</v>
      </c>
    </row>
    <row r="1024" spans="1:6" ht="19.5" customHeight="1" thickTop="1" thickBot="1" x14ac:dyDescent="0.25">
      <c r="A1024" s="33" t="str">
        <f>مهن[[#This Row],[الدرجة]]&amp;مهن[[#This Row],[المهنة]]</f>
        <v>6اخصائى خدمات مساعده</v>
      </c>
      <c r="B1024" s="24">
        <v>6</v>
      </c>
      <c r="C1024" s="24" t="s">
        <v>502</v>
      </c>
      <c r="D1024" s="24">
        <v>187</v>
      </c>
      <c r="E1024" s="34" t="s">
        <v>1470</v>
      </c>
      <c r="F1024" s="35" t="s">
        <v>618</v>
      </c>
    </row>
    <row r="1025" spans="1:6" ht="19.5" customHeight="1" thickTop="1" thickBot="1" x14ac:dyDescent="0.25">
      <c r="A1025" s="33" t="str">
        <f>مهن[[#This Row],[الدرجة]]&amp;مهن[[#This Row],[المهنة]]</f>
        <v>11اخصائى خدمات مساعده</v>
      </c>
      <c r="B1025" s="24">
        <v>11</v>
      </c>
      <c r="C1025" s="24" t="s">
        <v>521</v>
      </c>
      <c r="D1025" s="24">
        <v>187</v>
      </c>
      <c r="E1025" s="34" t="s">
        <v>1470</v>
      </c>
      <c r="F1025" s="35" t="s">
        <v>664</v>
      </c>
    </row>
    <row r="1026" spans="1:6" ht="19.5" customHeight="1" thickTop="1" thickBot="1" x14ac:dyDescent="0.25">
      <c r="A1026" s="33" t="str">
        <f>مهن[[#This Row],[الدرجة]]&amp;مهن[[#This Row],[المهنة]]</f>
        <v>12اخصائى خدمات مساعده</v>
      </c>
      <c r="B1026" s="24">
        <v>12</v>
      </c>
      <c r="C1026" s="24" t="s">
        <v>594</v>
      </c>
      <c r="D1026" s="24">
        <v>187</v>
      </c>
      <c r="E1026" s="34" t="s">
        <v>1470</v>
      </c>
      <c r="F1026" s="35" t="s">
        <v>620</v>
      </c>
    </row>
    <row r="1027" spans="1:6" ht="19.5" customHeight="1" thickTop="1" thickBot="1" x14ac:dyDescent="0.25">
      <c r="A1027" s="33" t="str">
        <f>مهن[[#This Row],[الدرجة]]&amp;مهن[[#This Row],[المهنة]]</f>
        <v>5مندوب امن</v>
      </c>
      <c r="B1027" s="24">
        <v>5</v>
      </c>
      <c r="C1027" s="24" t="s">
        <v>500</v>
      </c>
      <c r="D1027" s="24">
        <v>191</v>
      </c>
      <c r="E1027" s="34" t="s">
        <v>1471</v>
      </c>
      <c r="F1027" s="35" t="s">
        <v>1472</v>
      </c>
    </row>
    <row r="1028" spans="1:6" ht="19.5" customHeight="1" thickTop="1" thickBot="1" x14ac:dyDescent="0.25">
      <c r="A1028" s="33" t="str">
        <f>مهن[[#This Row],[الدرجة]]&amp;مهن[[#This Row],[المهنة]]</f>
        <v>6مندوب امن</v>
      </c>
      <c r="B1028" s="24">
        <v>6</v>
      </c>
      <c r="C1028" s="24" t="s">
        <v>502</v>
      </c>
      <c r="D1028" s="24">
        <v>191</v>
      </c>
      <c r="E1028" s="34" t="s">
        <v>1471</v>
      </c>
      <c r="F1028" s="35" t="s">
        <v>1473</v>
      </c>
    </row>
    <row r="1029" spans="1:6" ht="19.5" customHeight="1" thickTop="1" thickBot="1" x14ac:dyDescent="0.25">
      <c r="A1029" s="33" t="str">
        <f>مهن[[#This Row],[الدرجة]]&amp;مهن[[#This Row],[المهنة]]</f>
        <v>7مندوب امن</v>
      </c>
      <c r="B1029" s="24">
        <v>7</v>
      </c>
      <c r="C1029" s="24" t="s">
        <v>504</v>
      </c>
      <c r="D1029" s="24">
        <v>191</v>
      </c>
      <c r="E1029" s="34" t="s">
        <v>1471</v>
      </c>
      <c r="F1029" s="35" t="s">
        <v>1474</v>
      </c>
    </row>
    <row r="1030" spans="1:6" ht="19.5" customHeight="1" thickTop="1" thickBot="1" x14ac:dyDescent="0.25">
      <c r="A1030" s="33" t="str">
        <f>مهن[[#This Row],[الدرجة]]&amp;مهن[[#This Row],[المهنة]]</f>
        <v>8مندوب امن</v>
      </c>
      <c r="B1030" s="24">
        <v>8</v>
      </c>
      <c r="C1030" s="24" t="s">
        <v>506</v>
      </c>
      <c r="D1030" s="24">
        <v>191</v>
      </c>
      <c r="E1030" s="34" t="s">
        <v>1471</v>
      </c>
      <c r="F1030" s="35" t="s">
        <v>1475</v>
      </c>
    </row>
    <row r="1031" spans="1:6" ht="19.5" customHeight="1" thickTop="1" thickBot="1" x14ac:dyDescent="0.25">
      <c r="A1031" s="33" t="str">
        <f>مهن[[#This Row],[الدرجة]]&amp;مهن[[#This Row],[المهنة]]</f>
        <v>9مندوب امن</v>
      </c>
      <c r="B1031" s="24">
        <v>9</v>
      </c>
      <c r="C1031" s="24" t="s">
        <v>1152</v>
      </c>
      <c r="D1031" s="24">
        <v>191</v>
      </c>
      <c r="E1031" s="34" t="s">
        <v>1471</v>
      </c>
      <c r="F1031" s="35" t="s">
        <v>1476</v>
      </c>
    </row>
    <row r="1032" spans="1:6" ht="19.5" customHeight="1" thickTop="1" thickBot="1" x14ac:dyDescent="0.25">
      <c r="A1032" s="33" t="str">
        <f>مهن[[#This Row],[الدرجة]]&amp;مهن[[#This Row],[المهنة]]</f>
        <v>10مندوب امن</v>
      </c>
      <c r="B1032" s="24">
        <v>10</v>
      </c>
      <c r="C1032" s="24" t="s">
        <v>1477</v>
      </c>
      <c r="D1032" s="24">
        <v>191</v>
      </c>
      <c r="E1032" s="34" t="s">
        <v>1471</v>
      </c>
      <c r="F1032" s="35" t="s">
        <v>1478</v>
      </c>
    </row>
    <row r="1033" spans="1:6" ht="19.5" customHeight="1" thickTop="1" thickBot="1" x14ac:dyDescent="0.25">
      <c r="A1033" s="33" t="str">
        <f>مهن[[#This Row],[الدرجة]]&amp;مهن[[#This Row],[المهنة]]</f>
        <v>5ساعى</v>
      </c>
      <c r="B1033" s="24">
        <v>5</v>
      </c>
      <c r="C1033" s="24" t="s">
        <v>500</v>
      </c>
      <c r="D1033" s="24">
        <v>192</v>
      </c>
      <c r="E1033" s="34" t="s">
        <v>1479</v>
      </c>
      <c r="F1033" s="35" t="s">
        <v>1480</v>
      </c>
    </row>
    <row r="1034" spans="1:6" ht="19.5" customHeight="1" thickTop="1" thickBot="1" x14ac:dyDescent="0.25">
      <c r="A1034" s="33" t="str">
        <f>مهن[[#This Row],[الدرجة]]&amp;مهن[[#This Row],[المهنة]]</f>
        <v>6ساعى</v>
      </c>
      <c r="B1034" s="24">
        <v>6</v>
      </c>
      <c r="C1034" s="24" t="s">
        <v>502</v>
      </c>
      <c r="D1034" s="24">
        <v>192</v>
      </c>
      <c r="E1034" s="34" t="s">
        <v>1479</v>
      </c>
      <c r="F1034" s="35" t="s">
        <v>1481</v>
      </c>
    </row>
    <row r="1035" spans="1:6" ht="19.5" customHeight="1" thickTop="1" thickBot="1" x14ac:dyDescent="0.25">
      <c r="A1035" s="33" t="str">
        <f>مهن[[#This Row],[الدرجة]]&amp;مهن[[#This Row],[المهنة]]</f>
        <v>7ساعى</v>
      </c>
      <c r="B1035" s="24">
        <v>7</v>
      </c>
      <c r="C1035" s="24" t="s">
        <v>504</v>
      </c>
      <c r="D1035" s="24">
        <v>192</v>
      </c>
      <c r="E1035" s="34" t="s">
        <v>1479</v>
      </c>
      <c r="F1035" s="35" t="s">
        <v>1482</v>
      </c>
    </row>
    <row r="1036" spans="1:6" ht="19.5" customHeight="1" thickTop="1" thickBot="1" x14ac:dyDescent="0.25">
      <c r="A1036" s="33" t="str">
        <f>مهن[[#This Row],[الدرجة]]&amp;مهن[[#This Row],[المهنة]]</f>
        <v>8ساعى</v>
      </c>
      <c r="B1036" s="24">
        <v>8</v>
      </c>
      <c r="C1036" s="24" t="s">
        <v>506</v>
      </c>
      <c r="D1036" s="24">
        <v>192</v>
      </c>
      <c r="E1036" s="34" t="s">
        <v>1479</v>
      </c>
      <c r="F1036" s="35" t="s">
        <v>1483</v>
      </c>
    </row>
    <row r="1037" spans="1:6" ht="19.5" customHeight="1" thickTop="1" thickBot="1" x14ac:dyDescent="0.25">
      <c r="A1037" s="33" t="str">
        <f>مهن[[#This Row],[الدرجة]]&amp;مهن[[#This Row],[المهنة]]</f>
        <v>9ساعى</v>
      </c>
      <c r="B1037" s="24">
        <v>9</v>
      </c>
      <c r="C1037" s="24" t="s">
        <v>1152</v>
      </c>
      <c r="D1037" s="24">
        <v>192</v>
      </c>
      <c r="E1037" s="34" t="s">
        <v>1479</v>
      </c>
      <c r="F1037" s="35" t="s">
        <v>1484</v>
      </c>
    </row>
    <row r="1038" spans="1:6" ht="19.5" customHeight="1" thickTop="1" thickBot="1" x14ac:dyDescent="0.25">
      <c r="A1038" s="33" t="str">
        <f>مهن[[#This Row],[الدرجة]]&amp;مهن[[#This Row],[المهنة]]</f>
        <v>10ساعى</v>
      </c>
      <c r="B1038" s="24">
        <v>10</v>
      </c>
      <c r="C1038" s="24" t="s">
        <v>1477</v>
      </c>
      <c r="D1038" s="24">
        <v>192</v>
      </c>
      <c r="E1038" s="34" t="s">
        <v>1479</v>
      </c>
      <c r="F1038" s="35" t="s">
        <v>1485</v>
      </c>
    </row>
    <row r="1039" spans="1:6" ht="19.5" customHeight="1" thickTop="1" thickBot="1" x14ac:dyDescent="0.25">
      <c r="A1039" s="33" t="str">
        <f>مهن[[#This Row],[الدرجة]]&amp;مهن[[#This Row],[المهنة]]</f>
        <v>5عامل خدمات</v>
      </c>
      <c r="B1039" s="24">
        <v>5</v>
      </c>
      <c r="C1039" s="24" t="s">
        <v>500</v>
      </c>
      <c r="D1039" s="24">
        <v>193</v>
      </c>
      <c r="E1039" s="34" t="s">
        <v>1486</v>
      </c>
      <c r="F1039" s="35" t="s">
        <v>1487</v>
      </c>
    </row>
    <row r="1040" spans="1:6" ht="19.5" customHeight="1" thickTop="1" thickBot="1" x14ac:dyDescent="0.25">
      <c r="A1040" s="33" t="str">
        <f>مهن[[#This Row],[الدرجة]]&amp;مهن[[#This Row],[المهنة]]</f>
        <v>6عامل خدمات</v>
      </c>
      <c r="B1040" s="24">
        <v>6</v>
      </c>
      <c r="C1040" s="24" t="s">
        <v>502</v>
      </c>
      <c r="D1040" s="24">
        <v>193</v>
      </c>
      <c r="E1040" s="34" t="s">
        <v>1486</v>
      </c>
      <c r="F1040" s="35" t="s">
        <v>1488</v>
      </c>
    </row>
    <row r="1041" spans="1:6" ht="19.5" customHeight="1" thickTop="1" thickBot="1" x14ac:dyDescent="0.25">
      <c r="A1041" s="33" t="str">
        <f>مهن[[#This Row],[الدرجة]]&amp;مهن[[#This Row],[المهنة]]</f>
        <v>7عامل خدمات</v>
      </c>
      <c r="B1041" s="24">
        <v>7</v>
      </c>
      <c r="C1041" s="24" t="s">
        <v>504</v>
      </c>
      <c r="D1041" s="24">
        <v>193</v>
      </c>
      <c r="E1041" s="34" t="s">
        <v>1486</v>
      </c>
      <c r="F1041" s="35" t="s">
        <v>1489</v>
      </c>
    </row>
    <row r="1042" spans="1:6" ht="19.5" customHeight="1" thickTop="1" thickBot="1" x14ac:dyDescent="0.25">
      <c r="A1042" s="33" t="str">
        <f>مهن[[#This Row],[الدرجة]]&amp;مهن[[#This Row],[المهنة]]</f>
        <v>8عامل خدمات</v>
      </c>
      <c r="B1042" s="24">
        <v>8</v>
      </c>
      <c r="C1042" s="24" t="s">
        <v>506</v>
      </c>
      <c r="D1042" s="24">
        <v>193</v>
      </c>
      <c r="E1042" s="34" t="s">
        <v>1486</v>
      </c>
      <c r="F1042" s="35" t="s">
        <v>1490</v>
      </c>
    </row>
    <row r="1043" spans="1:6" ht="19.5" customHeight="1" thickTop="1" thickBot="1" x14ac:dyDescent="0.25">
      <c r="A1043" s="33" t="str">
        <f>مهن[[#This Row],[الدرجة]]&amp;مهن[[#This Row],[المهنة]]</f>
        <v>9عامل خدمات</v>
      </c>
      <c r="B1043" s="24">
        <v>9</v>
      </c>
      <c r="C1043" s="24" t="s">
        <v>1152</v>
      </c>
      <c r="D1043" s="24">
        <v>193</v>
      </c>
      <c r="E1043" s="34" t="s">
        <v>1486</v>
      </c>
      <c r="F1043" s="35" t="s">
        <v>1491</v>
      </c>
    </row>
    <row r="1044" spans="1:6" ht="19.5" customHeight="1" thickTop="1" thickBot="1" x14ac:dyDescent="0.25">
      <c r="A1044" s="33" t="str">
        <f>مهن[[#This Row],[الدرجة]]&amp;مهن[[#This Row],[المهنة]]</f>
        <v>10عامل خدمات</v>
      </c>
      <c r="B1044" s="24">
        <v>10</v>
      </c>
      <c r="C1044" s="24" t="s">
        <v>1477</v>
      </c>
      <c r="D1044" s="24">
        <v>193</v>
      </c>
      <c r="E1044" s="34" t="s">
        <v>1486</v>
      </c>
      <c r="F1044" s="35" t="s">
        <v>1486</v>
      </c>
    </row>
    <row r="1045" spans="1:6" ht="19.5" customHeight="1" thickTop="1" thickBot="1" x14ac:dyDescent="0.25">
      <c r="A1045" s="33" t="str">
        <f>مهن[[#This Row],[الدرجة]]&amp;مهن[[#This Row],[المهنة]]</f>
        <v>1اخصائى نظم معلومات</v>
      </c>
      <c r="B1045" s="24">
        <v>1</v>
      </c>
      <c r="C1045" s="24" t="s">
        <v>586</v>
      </c>
      <c r="D1045" s="24">
        <v>194</v>
      </c>
      <c r="E1045" s="34" t="s">
        <v>1492</v>
      </c>
      <c r="F1045" s="35" t="s">
        <v>638</v>
      </c>
    </row>
    <row r="1046" spans="1:6" ht="19.5" customHeight="1" thickTop="1" thickBot="1" x14ac:dyDescent="0.25">
      <c r="A1046" s="33" t="str">
        <f>مهن[[#This Row],[الدرجة]]&amp;مهن[[#This Row],[المهنة]]</f>
        <v>2اخصائى نظم معلومات</v>
      </c>
      <c r="B1046" s="24">
        <v>2</v>
      </c>
      <c r="C1046" s="24" t="s">
        <v>493</v>
      </c>
      <c r="D1046" s="24">
        <v>194</v>
      </c>
      <c r="E1046" s="34" t="s">
        <v>1492</v>
      </c>
      <c r="F1046" s="35" t="s">
        <v>639</v>
      </c>
    </row>
    <row r="1047" spans="1:6" ht="19.5" customHeight="1" thickTop="1" thickBot="1" x14ac:dyDescent="0.25">
      <c r="A1047" s="33" t="str">
        <f>مهن[[#This Row],[الدرجة]]&amp;مهن[[#This Row],[المهنة]]</f>
        <v>3اخصائى نظم معلومات</v>
      </c>
      <c r="B1047" s="24">
        <v>3</v>
      </c>
      <c r="C1047" s="24" t="s">
        <v>496</v>
      </c>
      <c r="D1047" s="24">
        <v>194</v>
      </c>
      <c r="E1047" s="34" t="s">
        <v>1492</v>
      </c>
      <c r="F1047" s="35" t="s">
        <v>640</v>
      </c>
    </row>
    <row r="1048" spans="1:6" ht="19.5" customHeight="1" thickTop="1" thickBot="1" x14ac:dyDescent="0.25">
      <c r="A1048" s="33" t="str">
        <f>مهن[[#This Row],[الدرجة]]&amp;مهن[[#This Row],[المهنة]]</f>
        <v>4اخصائى نظم معلومات</v>
      </c>
      <c r="B1048" s="24">
        <v>4</v>
      </c>
      <c r="C1048" s="24" t="s">
        <v>498</v>
      </c>
      <c r="D1048" s="24">
        <v>194</v>
      </c>
      <c r="E1048" s="34" t="s">
        <v>1492</v>
      </c>
      <c r="F1048" s="35" t="s">
        <v>641</v>
      </c>
    </row>
    <row r="1049" spans="1:6" ht="19.5" customHeight="1" thickTop="1" thickBot="1" x14ac:dyDescent="0.25">
      <c r="A1049" s="33" t="str">
        <f>مهن[[#This Row],[الدرجة]]&amp;مهن[[#This Row],[المهنة]]</f>
        <v>5اخصائى نظم معلومات</v>
      </c>
      <c r="B1049" s="24">
        <v>5</v>
      </c>
      <c r="C1049" s="24" t="s">
        <v>500</v>
      </c>
      <c r="D1049" s="24">
        <v>194</v>
      </c>
      <c r="E1049" s="34" t="s">
        <v>1492</v>
      </c>
      <c r="F1049" s="35" t="s">
        <v>642</v>
      </c>
    </row>
    <row r="1050" spans="1:6" ht="19.5" customHeight="1" thickTop="1" thickBot="1" x14ac:dyDescent="0.25">
      <c r="A1050" s="33" t="str">
        <f>مهن[[#This Row],[الدرجة]]&amp;مهن[[#This Row],[المهنة]]</f>
        <v>6اخصائى نظم معلومات</v>
      </c>
      <c r="B1050" s="24">
        <v>6</v>
      </c>
      <c r="C1050" s="24" t="s">
        <v>502</v>
      </c>
      <c r="D1050" s="24">
        <v>194</v>
      </c>
      <c r="E1050" s="34" t="s">
        <v>1492</v>
      </c>
      <c r="F1050" s="35" t="s">
        <v>643</v>
      </c>
    </row>
    <row r="1051" spans="1:6" ht="19.5" customHeight="1" thickTop="1" thickBot="1" x14ac:dyDescent="0.25">
      <c r="A1051" s="33" t="str">
        <f>مهن[[#This Row],[الدرجة]]&amp;مهن[[#This Row],[المهنة]]</f>
        <v>11اخصائى نظم معلومات</v>
      </c>
      <c r="B1051" s="24">
        <v>11</v>
      </c>
      <c r="C1051" s="24" t="s">
        <v>521</v>
      </c>
      <c r="D1051" s="24">
        <v>194</v>
      </c>
      <c r="E1051" s="34" t="s">
        <v>1492</v>
      </c>
      <c r="F1051" s="35" t="s">
        <v>644</v>
      </c>
    </row>
    <row r="1052" spans="1:6" ht="19.5" customHeight="1" thickTop="1" thickBot="1" x14ac:dyDescent="0.25">
      <c r="A1052" s="33" t="str">
        <f>مهن[[#This Row],[الدرجة]]&amp;مهن[[#This Row],[المهنة]]</f>
        <v>12اخصائى نظم معلومات</v>
      </c>
      <c r="B1052" s="24">
        <v>12</v>
      </c>
      <c r="C1052" s="24" t="s">
        <v>594</v>
      </c>
      <c r="D1052" s="24">
        <v>194</v>
      </c>
      <c r="E1052" s="34" t="s">
        <v>1492</v>
      </c>
      <c r="F1052" s="35" t="s">
        <v>645</v>
      </c>
    </row>
    <row r="1053" spans="1:6" ht="19.5" customHeight="1" thickTop="1" thickBot="1" x14ac:dyDescent="0.25">
      <c r="A1053" s="33" t="str">
        <f>مهن[[#This Row],[الدرجة]]&amp;مهن[[#This Row],[المهنة]]</f>
        <v>1أخصائى بحوث إدارية وقانونية</v>
      </c>
      <c r="B1053" s="24">
        <v>1</v>
      </c>
      <c r="C1053" s="24" t="s">
        <v>586</v>
      </c>
      <c r="D1053" s="24">
        <v>196</v>
      </c>
      <c r="E1053" s="34" t="s">
        <v>1493</v>
      </c>
      <c r="F1053" s="35" t="s">
        <v>638</v>
      </c>
    </row>
    <row r="1054" spans="1:6" ht="19.5" customHeight="1" thickTop="1" thickBot="1" x14ac:dyDescent="0.25">
      <c r="A1054" s="33" t="str">
        <f>مهن[[#This Row],[الدرجة]]&amp;مهن[[#This Row],[المهنة]]</f>
        <v>2أخصائى بحوث إدارية وقانونية</v>
      </c>
      <c r="B1054" s="24">
        <v>2</v>
      </c>
      <c r="C1054" s="24" t="s">
        <v>493</v>
      </c>
      <c r="D1054" s="24">
        <v>196</v>
      </c>
      <c r="E1054" s="34" t="s">
        <v>1493</v>
      </c>
      <c r="F1054" s="35" t="s">
        <v>639</v>
      </c>
    </row>
    <row r="1055" spans="1:6" ht="19.5" customHeight="1" thickTop="1" thickBot="1" x14ac:dyDescent="0.25">
      <c r="A1055" s="33" t="str">
        <f>مهن[[#This Row],[الدرجة]]&amp;مهن[[#This Row],[المهنة]]</f>
        <v>3أخصائى بحوث إدارية وقانونية</v>
      </c>
      <c r="B1055" s="24">
        <v>3</v>
      </c>
      <c r="C1055" s="24" t="s">
        <v>496</v>
      </c>
      <c r="D1055" s="24">
        <v>196</v>
      </c>
      <c r="E1055" s="34" t="s">
        <v>1493</v>
      </c>
      <c r="F1055" s="35" t="s">
        <v>640</v>
      </c>
    </row>
    <row r="1056" spans="1:6" ht="19.5" customHeight="1" thickTop="1" thickBot="1" x14ac:dyDescent="0.25">
      <c r="A1056" s="33" t="str">
        <f>مهن[[#This Row],[الدرجة]]&amp;مهن[[#This Row],[المهنة]]</f>
        <v>4أخصائى بحوث إدارية وقانونية</v>
      </c>
      <c r="B1056" s="24">
        <v>4</v>
      </c>
      <c r="C1056" s="24" t="s">
        <v>498</v>
      </c>
      <c r="D1056" s="24">
        <v>196</v>
      </c>
      <c r="E1056" s="34" t="s">
        <v>1493</v>
      </c>
      <c r="F1056" s="35" t="s">
        <v>641</v>
      </c>
    </row>
    <row r="1057" spans="1:6" ht="19.5" customHeight="1" thickTop="1" thickBot="1" x14ac:dyDescent="0.25">
      <c r="A1057" s="33" t="str">
        <f>مهن[[#This Row],[الدرجة]]&amp;مهن[[#This Row],[المهنة]]</f>
        <v>5أخصائى بحوث إدارية وقانونية</v>
      </c>
      <c r="B1057" s="24">
        <v>5</v>
      </c>
      <c r="C1057" s="24" t="s">
        <v>500</v>
      </c>
      <c r="D1057" s="24">
        <v>196</v>
      </c>
      <c r="E1057" s="34" t="s">
        <v>1493</v>
      </c>
      <c r="F1057" s="35" t="s">
        <v>642</v>
      </c>
    </row>
    <row r="1058" spans="1:6" ht="19.5" customHeight="1" thickTop="1" thickBot="1" x14ac:dyDescent="0.25">
      <c r="A1058" s="33" t="str">
        <f>مهن[[#This Row],[الدرجة]]&amp;مهن[[#This Row],[المهنة]]</f>
        <v>6أخصائى بحوث إدارية وقانونية</v>
      </c>
      <c r="B1058" s="24">
        <v>6</v>
      </c>
      <c r="C1058" s="24" t="s">
        <v>502</v>
      </c>
      <c r="D1058" s="24">
        <v>196</v>
      </c>
      <c r="E1058" s="34" t="s">
        <v>1493</v>
      </c>
      <c r="F1058" s="35" t="s">
        <v>643</v>
      </c>
    </row>
    <row r="1059" spans="1:6" ht="19.5" customHeight="1" thickTop="1" thickBot="1" x14ac:dyDescent="0.25">
      <c r="A1059" s="33" t="str">
        <f>مهن[[#This Row],[الدرجة]]&amp;مهن[[#This Row],[المهنة]]</f>
        <v>11أخصائى بحوث إدارية وقانونية</v>
      </c>
      <c r="B1059" s="24">
        <v>11</v>
      </c>
      <c r="C1059" s="24" t="s">
        <v>521</v>
      </c>
      <c r="D1059" s="24">
        <v>196</v>
      </c>
      <c r="E1059" s="34" t="s">
        <v>1493</v>
      </c>
      <c r="F1059" s="35" t="s">
        <v>644</v>
      </c>
    </row>
    <row r="1060" spans="1:6" ht="19.5" customHeight="1" thickTop="1" thickBot="1" x14ac:dyDescent="0.25">
      <c r="A1060" s="33" t="str">
        <f>مهن[[#This Row],[الدرجة]]&amp;مهن[[#This Row],[المهنة]]</f>
        <v>12أخصائى بحوث إدارية وقانونية</v>
      </c>
      <c r="B1060" s="24">
        <v>12</v>
      </c>
      <c r="C1060" s="24" t="s">
        <v>594</v>
      </c>
      <c r="D1060" s="24">
        <v>196</v>
      </c>
      <c r="E1060" s="34" t="s">
        <v>1493</v>
      </c>
      <c r="F1060" s="35" t="s">
        <v>645</v>
      </c>
    </row>
    <row r="1061" spans="1:6" ht="19.5" customHeight="1" thickTop="1" thickBot="1" x14ac:dyDescent="0.25">
      <c r="A1061" s="33" t="str">
        <f>مهن[[#This Row],[الدرجة]]&amp;مهن[[#This Row],[المهنة]]</f>
        <v>1أخصائى صحافة وإعلام</v>
      </c>
      <c r="B1061" s="24">
        <v>1</v>
      </c>
      <c r="C1061" s="24" t="s">
        <v>586</v>
      </c>
      <c r="D1061" s="24">
        <v>197</v>
      </c>
      <c r="E1061" s="34" t="s">
        <v>1494</v>
      </c>
      <c r="F1061" s="35" t="s">
        <v>638</v>
      </c>
    </row>
    <row r="1062" spans="1:6" ht="19.5" customHeight="1" thickTop="1" thickBot="1" x14ac:dyDescent="0.25">
      <c r="A1062" s="33" t="str">
        <f>مهن[[#This Row],[الدرجة]]&amp;مهن[[#This Row],[المهنة]]</f>
        <v>2أخصائى صحافة وإعلام</v>
      </c>
      <c r="B1062" s="24">
        <v>2</v>
      </c>
      <c r="C1062" s="24" t="s">
        <v>493</v>
      </c>
      <c r="D1062" s="24">
        <v>197</v>
      </c>
      <c r="E1062" s="34" t="s">
        <v>1494</v>
      </c>
      <c r="F1062" s="35" t="s">
        <v>639</v>
      </c>
    </row>
    <row r="1063" spans="1:6" ht="19.5" customHeight="1" thickTop="1" thickBot="1" x14ac:dyDescent="0.25">
      <c r="A1063" s="33" t="str">
        <f>مهن[[#This Row],[الدرجة]]&amp;مهن[[#This Row],[المهنة]]</f>
        <v>3أخصائى صحافة وإعلام</v>
      </c>
      <c r="B1063" s="24">
        <v>3</v>
      </c>
      <c r="C1063" s="24" t="s">
        <v>496</v>
      </c>
      <c r="D1063" s="24">
        <v>197</v>
      </c>
      <c r="E1063" s="34" t="s">
        <v>1494</v>
      </c>
      <c r="F1063" s="35" t="s">
        <v>640</v>
      </c>
    </row>
    <row r="1064" spans="1:6" ht="19.5" customHeight="1" thickTop="1" thickBot="1" x14ac:dyDescent="0.25">
      <c r="A1064" s="33" t="str">
        <f>مهن[[#This Row],[الدرجة]]&amp;مهن[[#This Row],[المهنة]]</f>
        <v>4أخصائى صحافة وإعلام</v>
      </c>
      <c r="B1064" s="24">
        <v>4</v>
      </c>
      <c r="C1064" s="24" t="s">
        <v>498</v>
      </c>
      <c r="D1064" s="24">
        <v>197</v>
      </c>
      <c r="E1064" s="34" t="s">
        <v>1494</v>
      </c>
      <c r="F1064" s="35" t="s">
        <v>641</v>
      </c>
    </row>
    <row r="1065" spans="1:6" ht="19.5" customHeight="1" thickTop="1" thickBot="1" x14ac:dyDescent="0.25">
      <c r="A1065" s="33" t="str">
        <f>مهن[[#This Row],[الدرجة]]&amp;مهن[[#This Row],[المهنة]]</f>
        <v>5أخصائى صحافة وإعلام</v>
      </c>
      <c r="B1065" s="24">
        <v>5</v>
      </c>
      <c r="C1065" s="24" t="s">
        <v>500</v>
      </c>
      <c r="D1065" s="24">
        <v>197</v>
      </c>
      <c r="E1065" s="34" t="s">
        <v>1494</v>
      </c>
      <c r="F1065" s="35" t="s">
        <v>642</v>
      </c>
    </row>
    <row r="1066" spans="1:6" ht="19.5" customHeight="1" thickTop="1" thickBot="1" x14ac:dyDescent="0.25">
      <c r="A1066" s="33" t="str">
        <f>مهن[[#This Row],[الدرجة]]&amp;مهن[[#This Row],[المهنة]]</f>
        <v>6أخصائى صحافة وإعلام</v>
      </c>
      <c r="B1066" s="24">
        <v>6</v>
      </c>
      <c r="C1066" s="24" t="s">
        <v>502</v>
      </c>
      <c r="D1066" s="24">
        <v>197</v>
      </c>
      <c r="E1066" s="34" t="s">
        <v>1494</v>
      </c>
      <c r="F1066" s="35" t="s">
        <v>643</v>
      </c>
    </row>
    <row r="1067" spans="1:6" ht="19.5" customHeight="1" thickTop="1" thickBot="1" x14ac:dyDescent="0.25">
      <c r="A1067" s="33" t="str">
        <f>مهن[[#This Row],[الدرجة]]&amp;مهن[[#This Row],[المهنة]]</f>
        <v>11أخصائى صحافة وإعلام</v>
      </c>
      <c r="B1067" s="24">
        <v>11</v>
      </c>
      <c r="C1067" s="24" t="s">
        <v>521</v>
      </c>
      <c r="D1067" s="24">
        <v>197</v>
      </c>
      <c r="E1067" s="34" t="s">
        <v>1494</v>
      </c>
      <c r="F1067" s="35" t="s">
        <v>644</v>
      </c>
    </row>
    <row r="1068" spans="1:6" ht="19.5" customHeight="1" thickTop="1" thickBot="1" x14ac:dyDescent="0.25">
      <c r="A1068" s="33" t="str">
        <f>مهن[[#This Row],[الدرجة]]&amp;مهن[[#This Row],[المهنة]]</f>
        <v>12أخصائى صحافة وإعلام</v>
      </c>
      <c r="B1068" s="24">
        <v>12</v>
      </c>
      <c r="C1068" s="24" t="s">
        <v>594</v>
      </c>
      <c r="D1068" s="24">
        <v>197</v>
      </c>
      <c r="E1068" s="34" t="s">
        <v>1494</v>
      </c>
      <c r="F1068" s="35" t="s">
        <v>645</v>
      </c>
    </row>
    <row r="1069" spans="1:6" ht="19.5" customHeight="1" thickTop="1" thickBot="1" x14ac:dyDescent="0.25">
      <c r="A1069" s="33" t="str">
        <f>مهن[[#This Row],[الدرجة]]&amp;مهن[[#This Row],[المهنة]]</f>
        <v>2ضابط فنى بحرى</v>
      </c>
      <c r="B1069" s="24">
        <v>2</v>
      </c>
      <c r="C1069" s="24" t="s">
        <v>493</v>
      </c>
      <c r="D1069" s="24">
        <v>201</v>
      </c>
      <c r="E1069" s="34" t="s">
        <v>1495</v>
      </c>
      <c r="F1069" s="35" t="s">
        <v>1496</v>
      </c>
    </row>
    <row r="1070" spans="1:6" ht="19.5" customHeight="1" thickTop="1" thickBot="1" x14ac:dyDescent="0.25">
      <c r="A1070" s="33" t="str">
        <f>مهن[[#This Row],[الدرجة]]&amp;مهن[[#This Row],[المهنة]]</f>
        <v>3ضابط فنى بحرى</v>
      </c>
      <c r="B1070" s="24">
        <v>3</v>
      </c>
      <c r="C1070" s="24" t="s">
        <v>496</v>
      </c>
      <c r="D1070" s="24">
        <v>201</v>
      </c>
      <c r="E1070" s="34" t="s">
        <v>1495</v>
      </c>
      <c r="F1070" s="35" t="s">
        <v>1497</v>
      </c>
    </row>
    <row r="1071" spans="1:6" ht="19.5" customHeight="1" thickTop="1" thickBot="1" x14ac:dyDescent="0.25">
      <c r="A1071" s="33" t="str">
        <f>مهن[[#This Row],[الدرجة]]&amp;مهن[[#This Row],[المهنة]]</f>
        <v>4ضابط فنى بحرى</v>
      </c>
      <c r="B1071" s="24">
        <v>4</v>
      </c>
      <c r="C1071" s="24" t="s">
        <v>498</v>
      </c>
      <c r="D1071" s="24">
        <v>201</v>
      </c>
      <c r="E1071" s="34" t="s">
        <v>1495</v>
      </c>
      <c r="F1071" s="35" t="s">
        <v>1498</v>
      </c>
    </row>
    <row r="1072" spans="1:6" ht="19.5" customHeight="1" thickTop="1" thickBot="1" x14ac:dyDescent="0.25">
      <c r="A1072" s="33" t="str">
        <f>مهن[[#This Row],[الدرجة]]&amp;مهن[[#This Row],[المهنة]]</f>
        <v>5ضابط فنى بحرى</v>
      </c>
      <c r="B1072" s="24">
        <v>5</v>
      </c>
      <c r="C1072" s="24" t="s">
        <v>500</v>
      </c>
      <c r="D1072" s="24">
        <v>201</v>
      </c>
      <c r="E1072" s="34" t="s">
        <v>1495</v>
      </c>
      <c r="F1072" s="35" t="s">
        <v>1499</v>
      </c>
    </row>
    <row r="1073" spans="1:6" ht="19.5" customHeight="1" thickTop="1" thickBot="1" x14ac:dyDescent="0.25">
      <c r="A1073" s="33" t="str">
        <f>مهن[[#This Row],[الدرجة]]&amp;مهن[[#This Row],[المهنة]]</f>
        <v>6ضابط فنى بحرى</v>
      </c>
      <c r="B1073" s="24">
        <v>6</v>
      </c>
      <c r="C1073" s="24" t="s">
        <v>502</v>
      </c>
      <c r="D1073" s="24">
        <v>201</v>
      </c>
      <c r="E1073" s="34" t="s">
        <v>1495</v>
      </c>
      <c r="F1073" s="35" t="s">
        <v>1495</v>
      </c>
    </row>
    <row r="1074" spans="1:6" ht="19.5" customHeight="1" thickTop="1" thickBot="1" x14ac:dyDescent="0.25">
      <c r="A1074" s="33" t="str">
        <f>مهن[[#This Row],[الدرجة]]&amp;مهن[[#This Row],[المهنة]]</f>
        <v>7ضابط فنى بحرى</v>
      </c>
      <c r="B1074" s="24">
        <v>7</v>
      </c>
      <c r="C1074" s="24" t="s">
        <v>504</v>
      </c>
      <c r="D1074" s="24">
        <v>201</v>
      </c>
      <c r="E1074" s="34" t="s">
        <v>1495</v>
      </c>
      <c r="F1074" s="35" t="s">
        <v>1500</v>
      </c>
    </row>
    <row r="1075" spans="1:6" ht="19.5" customHeight="1" thickTop="1" thickBot="1" x14ac:dyDescent="0.25">
      <c r="A1075" s="33" t="str">
        <f>مهن[[#This Row],[الدرجة]]&amp;مهن[[#This Row],[المهنة]]</f>
        <v>1صيدلي اكلينيكي</v>
      </c>
      <c r="B1075" s="24">
        <v>1</v>
      </c>
      <c r="C1075" s="24" t="s">
        <v>586</v>
      </c>
      <c r="D1075" s="24">
        <v>206</v>
      </c>
      <c r="E1075" s="34" t="s">
        <v>1501</v>
      </c>
      <c r="F1075" s="35" t="s">
        <v>605</v>
      </c>
    </row>
    <row r="1076" spans="1:6" ht="19.5" customHeight="1" thickTop="1" thickBot="1" x14ac:dyDescent="0.25">
      <c r="A1076" s="33" t="str">
        <f>مهن[[#This Row],[الدرجة]]&amp;مهن[[#This Row],[المهنة]]</f>
        <v>2صيدلي اكلينيكي</v>
      </c>
      <c r="B1076" s="24">
        <v>2</v>
      </c>
      <c r="C1076" s="24" t="s">
        <v>493</v>
      </c>
      <c r="D1076" s="24">
        <v>206</v>
      </c>
      <c r="E1076" s="34" t="s">
        <v>1501</v>
      </c>
      <c r="F1076" s="35" t="s">
        <v>606</v>
      </c>
    </row>
    <row r="1077" spans="1:6" ht="19.5" customHeight="1" thickTop="1" thickBot="1" x14ac:dyDescent="0.25">
      <c r="A1077" s="33" t="str">
        <f>مهن[[#This Row],[الدرجة]]&amp;مهن[[#This Row],[المهنة]]</f>
        <v>3صيدلي اكلينيكي</v>
      </c>
      <c r="B1077" s="24">
        <v>3</v>
      </c>
      <c r="C1077" s="24" t="s">
        <v>496</v>
      </c>
      <c r="D1077" s="24">
        <v>206</v>
      </c>
      <c r="E1077" s="34" t="s">
        <v>1501</v>
      </c>
      <c r="F1077" s="35" t="s">
        <v>607</v>
      </c>
    </row>
    <row r="1078" spans="1:6" ht="19.5" customHeight="1" thickTop="1" thickBot="1" x14ac:dyDescent="0.25">
      <c r="A1078" s="33" t="str">
        <f>مهن[[#This Row],[الدرجة]]&amp;مهن[[#This Row],[المهنة]]</f>
        <v>4صيدلي اكلينيكي</v>
      </c>
      <c r="B1078" s="24">
        <v>4</v>
      </c>
      <c r="C1078" s="24" t="s">
        <v>498</v>
      </c>
      <c r="D1078" s="24">
        <v>206</v>
      </c>
      <c r="E1078" s="34" t="s">
        <v>1501</v>
      </c>
      <c r="F1078" s="35" t="s">
        <v>608</v>
      </c>
    </row>
    <row r="1079" spans="1:6" ht="19.5" customHeight="1" thickTop="1" thickBot="1" x14ac:dyDescent="0.25">
      <c r="A1079" s="33" t="str">
        <f>مهن[[#This Row],[الدرجة]]&amp;مهن[[#This Row],[المهنة]]</f>
        <v>5صيدلي اكلينيكي</v>
      </c>
      <c r="B1079" s="24">
        <v>5</v>
      </c>
      <c r="C1079" s="24" t="s">
        <v>500</v>
      </c>
      <c r="D1079" s="24">
        <v>206</v>
      </c>
      <c r="E1079" s="34" t="s">
        <v>1501</v>
      </c>
      <c r="F1079" s="35" t="s">
        <v>609</v>
      </c>
    </row>
    <row r="1080" spans="1:6" ht="19.5" customHeight="1" thickTop="1" thickBot="1" x14ac:dyDescent="0.25">
      <c r="A1080" s="33" t="str">
        <f>مهن[[#This Row],[الدرجة]]&amp;مهن[[#This Row],[المهنة]]</f>
        <v>6صيدلي اكلينيكي</v>
      </c>
      <c r="B1080" s="24">
        <v>6</v>
      </c>
      <c r="C1080" s="24" t="s">
        <v>502</v>
      </c>
      <c r="D1080" s="24">
        <v>206</v>
      </c>
      <c r="E1080" s="34" t="s">
        <v>1501</v>
      </c>
      <c r="F1080" s="35" t="s">
        <v>604</v>
      </c>
    </row>
    <row r="1081" spans="1:6" ht="19.5" customHeight="1" thickTop="1" thickBot="1" x14ac:dyDescent="0.25">
      <c r="A1081" s="33" t="str">
        <f>مهن[[#This Row],[الدرجة]]&amp;مهن[[#This Row],[المهنة]]</f>
        <v>11صيدلي اكلينيكي</v>
      </c>
      <c r="B1081" s="24">
        <v>11</v>
      </c>
      <c r="C1081" s="24" t="s">
        <v>521</v>
      </c>
      <c r="D1081" s="24">
        <v>206</v>
      </c>
      <c r="E1081" s="34" t="s">
        <v>1501</v>
      </c>
      <c r="F1081" s="35" t="s">
        <v>610</v>
      </c>
    </row>
    <row r="1082" spans="1:6" ht="19.5" customHeight="1" thickTop="1" thickBot="1" x14ac:dyDescent="0.25">
      <c r="A1082" s="33" t="str">
        <f>مهن[[#This Row],[الدرجة]]&amp;مهن[[#This Row],[المهنة]]</f>
        <v>12صيدلي اكلينيكي</v>
      </c>
      <c r="B1082" s="24">
        <v>12</v>
      </c>
      <c r="C1082" s="24" t="s">
        <v>594</v>
      </c>
      <c r="D1082" s="24">
        <v>206</v>
      </c>
      <c r="E1082" s="34" t="s">
        <v>1501</v>
      </c>
      <c r="F1082" s="35" t="s">
        <v>611</v>
      </c>
    </row>
    <row r="1083" spans="1:6" ht="19.5" customHeight="1" thickTop="1" thickBot="1" x14ac:dyDescent="0.25">
      <c r="A1083" s="33" t="str">
        <f>مهن[[#This Row],[الدرجة]]&amp;مهن[[#This Row],[المهنة]]</f>
        <v>1أخصائى سلامه وصحه مهنيه</v>
      </c>
      <c r="B1083" s="24">
        <v>1</v>
      </c>
      <c r="C1083" s="24" t="s">
        <v>586</v>
      </c>
      <c r="D1083" s="24">
        <v>207</v>
      </c>
      <c r="E1083" s="34" t="s">
        <v>1502</v>
      </c>
      <c r="F1083" s="35" t="s">
        <v>613</v>
      </c>
    </row>
    <row r="1084" spans="1:6" ht="19.5" customHeight="1" thickTop="1" thickBot="1" x14ac:dyDescent="0.25">
      <c r="A1084" s="33" t="str">
        <f>مهن[[#This Row],[الدرجة]]&amp;مهن[[#This Row],[المهنة]]</f>
        <v>2أخصائى سلامه وصحه مهنيه</v>
      </c>
      <c r="B1084" s="24">
        <v>2</v>
      </c>
      <c r="C1084" s="24" t="s">
        <v>493</v>
      </c>
      <c r="D1084" s="24">
        <v>207</v>
      </c>
      <c r="E1084" s="34" t="s">
        <v>1502</v>
      </c>
      <c r="F1084" s="35" t="s">
        <v>614</v>
      </c>
    </row>
    <row r="1085" spans="1:6" ht="19.5" customHeight="1" thickTop="1" thickBot="1" x14ac:dyDescent="0.25">
      <c r="A1085" s="33" t="str">
        <f>مهن[[#This Row],[الدرجة]]&amp;مهن[[#This Row],[المهنة]]</f>
        <v>3أخصائى سلامه وصحه مهنيه</v>
      </c>
      <c r="B1085" s="24">
        <v>3</v>
      </c>
      <c r="C1085" s="24" t="s">
        <v>496</v>
      </c>
      <c r="D1085" s="24">
        <v>207</v>
      </c>
      <c r="E1085" s="34" t="s">
        <v>1502</v>
      </c>
      <c r="F1085" s="35" t="s">
        <v>615</v>
      </c>
    </row>
    <row r="1086" spans="1:6" ht="19.5" customHeight="1" thickTop="1" thickBot="1" x14ac:dyDescent="0.25">
      <c r="A1086" s="33" t="str">
        <f>مهن[[#This Row],[الدرجة]]&amp;مهن[[#This Row],[المهنة]]</f>
        <v>4أخصائى سلامه وصحه مهنيه</v>
      </c>
      <c r="B1086" s="24">
        <v>4</v>
      </c>
      <c r="C1086" s="24" t="s">
        <v>498</v>
      </c>
      <c r="D1086" s="24">
        <v>207</v>
      </c>
      <c r="E1086" s="34" t="s">
        <v>1502</v>
      </c>
      <c r="F1086" s="35" t="s">
        <v>616</v>
      </c>
    </row>
    <row r="1087" spans="1:6" ht="19.5" customHeight="1" thickTop="1" thickBot="1" x14ac:dyDescent="0.25">
      <c r="A1087" s="33" t="str">
        <f>مهن[[#This Row],[الدرجة]]&amp;مهن[[#This Row],[المهنة]]</f>
        <v>5أخصائى سلامه وصحه مهنيه</v>
      </c>
      <c r="B1087" s="24">
        <v>5</v>
      </c>
      <c r="C1087" s="24" t="s">
        <v>500</v>
      </c>
      <c r="D1087" s="24">
        <v>207</v>
      </c>
      <c r="E1087" s="34" t="s">
        <v>1502</v>
      </c>
      <c r="F1087" s="35" t="s">
        <v>617</v>
      </c>
    </row>
    <row r="1088" spans="1:6" ht="19.5" customHeight="1" thickTop="1" thickBot="1" x14ac:dyDescent="0.25">
      <c r="A1088" s="33" t="str">
        <f>مهن[[#This Row],[الدرجة]]&amp;مهن[[#This Row],[المهنة]]</f>
        <v>6أخصائى سلامه وصحه مهنيه</v>
      </c>
      <c r="B1088" s="24">
        <v>6</v>
      </c>
      <c r="C1088" s="24" t="s">
        <v>502</v>
      </c>
      <c r="D1088" s="24">
        <v>207</v>
      </c>
      <c r="E1088" s="34" t="s">
        <v>1502</v>
      </c>
      <c r="F1088" s="35" t="s">
        <v>618</v>
      </c>
    </row>
    <row r="1089" spans="1:6" ht="19.5" customHeight="1" thickTop="1" thickBot="1" x14ac:dyDescent="0.25">
      <c r="A1089" s="33" t="str">
        <f>مهن[[#This Row],[الدرجة]]&amp;مهن[[#This Row],[المهنة]]</f>
        <v>11أخصائى سلامه وصحه مهنيه</v>
      </c>
      <c r="B1089" s="24">
        <v>11</v>
      </c>
      <c r="C1089" s="24" t="s">
        <v>521</v>
      </c>
      <c r="D1089" s="24">
        <v>207</v>
      </c>
      <c r="E1089" s="34" t="s">
        <v>1502</v>
      </c>
      <c r="F1089" s="35" t="s">
        <v>664</v>
      </c>
    </row>
    <row r="1090" spans="1:6" ht="19.5" customHeight="1" thickTop="1" thickBot="1" x14ac:dyDescent="0.25">
      <c r="A1090" s="33" t="str">
        <f>مهن[[#This Row],[الدرجة]]&amp;مهن[[#This Row],[المهنة]]</f>
        <v>12أخصائى سلامه وصحه مهنيه</v>
      </c>
      <c r="B1090" s="24">
        <v>12</v>
      </c>
      <c r="C1090" s="24" t="s">
        <v>594</v>
      </c>
      <c r="D1090" s="24">
        <v>207</v>
      </c>
      <c r="E1090" s="34" t="s">
        <v>1502</v>
      </c>
      <c r="F1090" s="35" t="s">
        <v>620</v>
      </c>
    </row>
    <row r="1091" spans="1:6" ht="19.5" customHeight="1" thickTop="1" thickBot="1" x14ac:dyDescent="0.25">
      <c r="A1091" s="33" t="str">
        <f>مهن[[#This Row],[الدرجة]]&amp;مهن[[#This Row],[المهنة]]</f>
        <v>2مسعف</v>
      </c>
      <c r="B1091" s="24">
        <v>2</v>
      </c>
      <c r="C1091" s="24" t="s">
        <v>493</v>
      </c>
      <c r="D1091" s="24">
        <v>208</v>
      </c>
      <c r="E1091" s="34" t="s">
        <v>1503</v>
      </c>
      <c r="F1091" s="35" t="s">
        <v>1504</v>
      </c>
    </row>
    <row r="1092" spans="1:6" ht="19.5" customHeight="1" thickTop="1" thickBot="1" x14ac:dyDescent="0.25">
      <c r="A1092" s="33" t="str">
        <f>مهن[[#This Row],[الدرجة]]&amp;مهن[[#This Row],[المهنة]]</f>
        <v>3مسعف</v>
      </c>
      <c r="B1092" s="24">
        <v>3</v>
      </c>
      <c r="C1092" s="24" t="s">
        <v>496</v>
      </c>
      <c r="D1092" s="24">
        <v>208</v>
      </c>
      <c r="E1092" s="34" t="s">
        <v>1503</v>
      </c>
      <c r="F1092" s="35" t="s">
        <v>1505</v>
      </c>
    </row>
    <row r="1093" spans="1:6" ht="19.5" customHeight="1" thickTop="1" thickBot="1" x14ac:dyDescent="0.25">
      <c r="A1093" s="33" t="str">
        <f>مهن[[#This Row],[الدرجة]]&amp;مهن[[#This Row],[المهنة]]</f>
        <v>4مسعف</v>
      </c>
      <c r="B1093" s="24">
        <v>4</v>
      </c>
      <c r="C1093" s="24" t="s">
        <v>498</v>
      </c>
      <c r="D1093" s="24">
        <v>208</v>
      </c>
      <c r="E1093" s="34" t="s">
        <v>1503</v>
      </c>
      <c r="F1093" s="35" t="s">
        <v>1506</v>
      </c>
    </row>
    <row r="1094" spans="1:6" ht="19.5" customHeight="1" thickTop="1" thickBot="1" x14ac:dyDescent="0.25">
      <c r="A1094" s="33" t="str">
        <f>مهن[[#This Row],[الدرجة]]&amp;مهن[[#This Row],[المهنة]]</f>
        <v>5مسعف</v>
      </c>
      <c r="B1094" s="24">
        <v>5</v>
      </c>
      <c r="C1094" s="24" t="s">
        <v>500</v>
      </c>
      <c r="D1094" s="24">
        <v>208</v>
      </c>
      <c r="E1094" s="34" t="s">
        <v>1503</v>
      </c>
      <c r="F1094" s="35" t="s">
        <v>1507</v>
      </c>
    </row>
    <row r="1095" spans="1:6" ht="19.5" customHeight="1" thickTop="1" thickBot="1" x14ac:dyDescent="0.25">
      <c r="A1095" s="33" t="str">
        <f>مهن[[#This Row],[الدرجة]]&amp;مهن[[#This Row],[المهنة]]</f>
        <v>6مسعف</v>
      </c>
      <c r="B1095" s="24">
        <v>6</v>
      </c>
      <c r="C1095" s="24" t="s">
        <v>502</v>
      </c>
      <c r="D1095" s="24">
        <v>208</v>
      </c>
      <c r="E1095" s="34" t="s">
        <v>1503</v>
      </c>
      <c r="F1095" s="35" t="s">
        <v>1508</v>
      </c>
    </row>
    <row r="1096" spans="1:6" ht="19.5" customHeight="1" thickTop="1" thickBot="1" x14ac:dyDescent="0.25">
      <c r="A1096" s="33" t="str">
        <f>مهن[[#This Row],[الدرجة]]&amp;مهن[[#This Row],[المهنة]]</f>
        <v>7مسعف</v>
      </c>
      <c r="B1096" s="24">
        <v>7</v>
      </c>
      <c r="C1096" s="24" t="s">
        <v>504</v>
      </c>
      <c r="D1096" s="24">
        <v>208</v>
      </c>
      <c r="E1096" s="34" t="s">
        <v>1503</v>
      </c>
      <c r="F1096" s="35" t="s">
        <v>1509</v>
      </c>
    </row>
    <row r="1097" spans="1:6" ht="19.5" customHeight="1" thickTop="1" thickBot="1" x14ac:dyDescent="0.25">
      <c r="A1097" s="33" t="str">
        <f>مهن[[#This Row],[الدرجة]]&amp;مهن[[#This Row],[المهنة]]</f>
        <v>8مسعف</v>
      </c>
      <c r="B1097" s="24">
        <v>8</v>
      </c>
      <c r="C1097" s="24" t="s">
        <v>506</v>
      </c>
      <c r="D1097" s="24">
        <v>208</v>
      </c>
      <c r="E1097" s="34" t="s">
        <v>1503</v>
      </c>
      <c r="F1097" s="35" t="s">
        <v>1503</v>
      </c>
    </row>
    <row r="1098" spans="1:6" ht="19.5" customHeight="1" thickTop="1" thickBot="1" x14ac:dyDescent="0.25">
      <c r="A1098" s="33" t="str">
        <f>مهن[[#This Row],[الدرجة]]&amp;مهن[[#This Row],[المهنة]]</f>
        <v>2وناش</v>
      </c>
      <c r="B1098" s="24">
        <v>2</v>
      </c>
      <c r="C1098" s="24" t="s">
        <v>493</v>
      </c>
      <c r="D1098" s="24">
        <v>213</v>
      </c>
      <c r="E1098" s="34" t="s">
        <v>1510</v>
      </c>
      <c r="F1098" s="35" t="s">
        <v>1511</v>
      </c>
    </row>
    <row r="1099" spans="1:6" ht="19.5" customHeight="1" thickTop="1" thickBot="1" x14ac:dyDescent="0.25">
      <c r="A1099" s="33" t="str">
        <f>مهن[[#This Row],[الدرجة]]&amp;مهن[[#This Row],[المهنة]]</f>
        <v>3وناش</v>
      </c>
      <c r="B1099" s="24">
        <v>3</v>
      </c>
      <c r="C1099" s="24" t="s">
        <v>496</v>
      </c>
      <c r="D1099" s="24">
        <v>213</v>
      </c>
      <c r="E1099" s="34" t="s">
        <v>1510</v>
      </c>
      <c r="F1099" s="35" t="s">
        <v>1512</v>
      </c>
    </row>
    <row r="1100" spans="1:6" ht="19.5" customHeight="1" thickTop="1" thickBot="1" x14ac:dyDescent="0.25">
      <c r="A1100" s="33" t="str">
        <f>مهن[[#This Row],[الدرجة]]&amp;مهن[[#This Row],[المهنة]]</f>
        <v>4وناش</v>
      </c>
      <c r="B1100" s="24">
        <v>4</v>
      </c>
      <c r="C1100" s="24" t="s">
        <v>498</v>
      </c>
      <c r="D1100" s="24">
        <v>213</v>
      </c>
      <c r="E1100" s="34" t="s">
        <v>1510</v>
      </c>
      <c r="F1100" s="35" t="s">
        <v>1513</v>
      </c>
    </row>
    <row r="1101" spans="1:6" ht="19.5" customHeight="1" thickTop="1" thickBot="1" x14ac:dyDescent="0.25">
      <c r="A1101" s="33" t="str">
        <f>مهن[[#This Row],[الدرجة]]&amp;مهن[[#This Row],[المهنة]]</f>
        <v>5وناش</v>
      </c>
      <c r="B1101" s="24">
        <v>5</v>
      </c>
      <c r="C1101" s="24" t="s">
        <v>500</v>
      </c>
      <c r="D1101" s="24">
        <v>213</v>
      </c>
      <c r="E1101" s="34" t="s">
        <v>1510</v>
      </c>
      <c r="F1101" s="35" t="s">
        <v>1514</v>
      </c>
    </row>
    <row r="1102" spans="1:6" ht="19.5" customHeight="1" thickTop="1" thickBot="1" x14ac:dyDescent="0.25">
      <c r="A1102" s="33" t="str">
        <f>مهن[[#This Row],[الدرجة]]&amp;مهن[[#This Row],[المهنة]]</f>
        <v>6وناش</v>
      </c>
      <c r="B1102" s="24">
        <v>6</v>
      </c>
      <c r="C1102" s="24" t="s">
        <v>502</v>
      </c>
      <c r="D1102" s="24">
        <v>213</v>
      </c>
      <c r="E1102" s="34" t="s">
        <v>1510</v>
      </c>
      <c r="F1102" s="35" t="s">
        <v>1515</v>
      </c>
    </row>
    <row r="1103" spans="1:6" ht="19.5" customHeight="1" thickTop="1" thickBot="1" x14ac:dyDescent="0.25">
      <c r="A1103" s="33" t="str">
        <f>مهن[[#This Row],[الدرجة]]&amp;مهن[[#This Row],[المهنة]]</f>
        <v>7وناش</v>
      </c>
      <c r="B1103" s="24">
        <v>7</v>
      </c>
      <c r="C1103" s="24" t="s">
        <v>504</v>
      </c>
      <c r="D1103" s="24">
        <v>213</v>
      </c>
      <c r="E1103" s="34" t="s">
        <v>1510</v>
      </c>
      <c r="F1103" s="35" t="s">
        <v>1516</v>
      </c>
    </row>
    <row r="1104" spans="1:6" ht="19.5" customHeight="1" thickTop="1" thickBot="1" x14ac:dyDescent="0.25">
      <c r="A1104" s="33" t="str">
        <f>مهن[[#This Row],[الدرجة]]&amp;مهن[[#This Row],[المهنة]]</f>
        <v>8وناش</v>
      </c>
      <c r="B1104" s="24">
        <v>8</v>
      </c>
      <c r="C1104" s="24" t="s">
        <v>506</v>
      </c>
      <c r="D1104" s="24">
        <v>213</v>
      </c>
      <c r="E1104" s="34" t="s">
        <v>1510</v>
      </c>
      <c r="F1104" s="35" t="s">
        <v>1510</v>
      </c>
    </row>
    <row r="1105" spans="1:6" ht="19.5" customHeight="1" thickTop="1" thickBot="1" x14ac:dyDescent="0.25">
      <c r="A1105" s="33" t="str">
        <f>مهن[[#This Row],[الدرجة]]&amp;مهن[[#This Row],[المهنة]]</f>
        <v>2فنى نجارة</v>
      </c>
      <c r="B1105" s="24">
        <v>2</v>
      </c>
      <c r="C1105" s="24" t="s">
        <v>493</v>
      </c>
      <c r="D1105" s="24">
        <v>214</v>
      </c>
      <c r="E1105" s="34" t="s">
        <v>1517</v>
      </c>
      <c r="F1105" s="35" t="s">
        <v>843</v>
      </c>
    </row>
    <row r="1106" spans="1:6" ht="19.5" customHeight="1" thickTop="1" thickBot="1" x14ac:dyDescent="0.25">
      <c r="A1106" s="33" t="str">
        <f>مهن[[#This Row],[الدرجة]]&amp;مهن[[#This Row],[المهنة]]</f>
        <v>3فنى نجارة</v>
      </c>
      <c r="B1106" s="24">
        <v>3</v>
      </c>
      <c r="C1106" s="24" t="s">
        <v>496</v>
      </c>
      <c r="D1106" s="24">
        <v>214</v>
      </c>
      <c r="E1106" s="34" t="s">
        <v>1517</v>
      </c>
      <c r="F1106" s="35" t="s">
        <v>844</v>
      </c>
    </row>
    <row r="1107" spans="1:6" ht="19.5" customHeight="1" thickTop="1" thickBot="1" x14ac:dyDescent="0.25">
      <c r="A1107" s="33" t="str">
        <f>مهن[[#This Row],[الدرجة]]&amp;مهن[[#This Row],[المهنة]]</f>
        <v>4فنى نجارة</v>
      </c>
      <c r="B1107" s="24">
        <v>4</v>
      </c>
      <c r="C1107" s="24" t="s">
        <v>498</v>
      </c>
      <c r="D1107" s="24">
        <v>214</v>
      </c>
      <c r="E1107" s="34" t="s">
        <v>1517</v>
      </c>
      <c r="F1107" s="35" t="s">
        <v>1518</v>
      </c>
    </row>
    <row r="1108" spans="1:6" ht="19.5" customHeight="1" thickTop="1" thickBot="1" x14ac:dyDescent="0.25">
      <c r="A1108" s="33" t="str">
        <f>مهن[[#This Row],[الدرجة]]&amp;مهن[[#This Row],[المهنة]]</f>
        <v>5فنى نجارة</v>
      </c>
      <c r="B1108" s="24">
        <v>5</v>
      </c>
      <c r="C1108" s="24" t="s">
        <v>500</v>
      </c>
      <c r="D1108" s="24">
        <v>214</v>
      </c>
      <c r="E1108" s="34" t="s">
        <v>1517</v>
      </c>
      <c r="F1108" s="35" t="s">
        <v>1519</v>
      </c>
    </row>
    <row r="1109" spans="1:6" ht="19.5" customHeight="1" thickTop="1" thickBot="1" x14ac:dyDescent="0.25">
      <c r="A1109" s="33" t="str">
        <f>مهن[[#This Row],[الدرجة]]&amp;مهن[[#This Row],[المهنة]]</f>
        <v>6فنى نجارة</v>
      </c>
      <c r="B1109" s="24">
        <v>6</v>
      </c>
      <c r="C1109" s="24" t="s">
        <v>502</v>
      </c>
      <c r="D1109" s="24">
        <v>214</v>
      </c>
      <c r="E1109" s="34" t="s">
        <v>1517</v>
      </c>
      <c r="F1109" s="35" t="s">
        <v>1520</v>
      </c>
    </row>
    <row r="1110" spans="1:6" ht="19.5" customHeight="1" thickTop="1" thickBot="1" x14ac:dyDescent="0.25">
      <c r="A1110" s="33" t="str">
        <f>مهن[[#This Row],[الدرجة]]&amp;مهن[[#This Row],[المهنة]]</f>
        <v>7فنى نجارة</v>
      </c>
      <c r="B1110" s="24">
        <v>7</v>
      </c>
      <c r="C1110" s="24" t="s">
        <v>504</v>
      </c>
      <c r="D1110" s="24">
        <v>214</v>
      </c>
      <c r="E1110" s="34" t="s">
        <v>1517</v>
      </c>
      <c r="F1110" s="35" t="s">
        <v>1521</v>
      </c>
    </row>
    <row r="1111" spans="1:6" ht="19.5" customHeight="1" thickTop="1" thickBot="1" x14ac:dyDescent="0.25">
      <c r="A1111" s="36" t="str">
        <f>مهن[[#This Row],[الدرجة]]&amp;مهن[[#This Row],[المهنة]]</f>
        <v>8فنى نجارة</v>
      </c>
      <c r="B1111" s="37">
        <v>8</v>
      </c>
      <c r="C1111" s="37" t="s">
        <v>506</v>
      </c>
      <c r="D1111" s="37">
        <v>214</v>
      </c>
      <c r="E1111" s="38" t="s">
        <v>1517</v>
      </c>
      <c r="F1111" s="35" t="s">
        <v>1517</v>
      </c>
    </row>
    <row r="1112" spans="1:6" ht="19.5" customHeight="1" thickTop="1" thickBot="1" x14ac:dyDescent="0.25">
      <c r="A1112" s="55" t="str">
        <f>مهن[[#This Row],[الدرجة]]&amp;مهن[[#This Row],[المهنة]]</f>
        <v>1اخصائى تحاليل معملية وحقلية</v>
      </c>
      <c r="B1112" s="24">
        <v>1</v>
      </c>
      <c r="C1112" s="24" t="s">
        <v>586</v>
      </c>
      <c r="D1112" s="37">
        <v>188</v>
      </c>
      <c r="E1112" s="38" t="s">
        <v>1535</v>
      </c>
      <c r="F1112" s="35" t="s">
        <v>1538</v>
      </c>
    </row>
    <row r="1113" spans="1:6" ht="19.5" customHeight="1" thickTop="1" thickBot="1" x14ac:dyDescent="0.25">
      <c r="A1113" s="35" t="str">
        <f>مهن[[#This Row],[الدرجة]]&amp;مهن[[#This Row],[المهنة]]</f>
        <v>2اخصائى تحاليل معملية وحقلية</v>
      </c>
      <c r="B1113" s="24">
        <v>2</v>
      </c>
      <c r="C1113" s="24" t="s">
        <v>493</v>
      </c>
      <c r="D1113" s="37">
        <v>188</v>
      </c>
      <c r="E1113" s="38" t="s">
        <v>1535</v>
      </c>
      <c r="F1113" s="35" t="s">
        <v>1539</v>
      </c>
    </row>
    <row r="1114" spans="1:6" ht="19.5" customHeight="1" thickTop="1" thickBot="1" x14ac:dyDescent="0.25">
      <c r="A1114" s="35" t="str">
        <f>مهن[[#This Row],[الدرجة]]&amp;مهن[[#This Row],[المهنة]]</f>
        <v>3اخصائى تحاليل معملية وحقلية</v>
      </c>
      <c r="B1114" s="24">
        <v>3</v>
      </c>
      <c r="C1114" s="24" t="s">
        <v>496</v>
      </c>
      <c r="D1114" s="37">
        <v>188</v>
      </c>
      <c r="E1114" s="38" t="s">
        <v>1535</v>
      </c>
      <c r="F1114" s="35" t="s">
        <v>1540</v>
      </c>
    </row>
    <row r="1115" spans="1:6" ht="19.5" customHeight="1" thickTop="1" thickBot="1" x14ac:dyDescent="0.25">
      <c r="A1115" s="35" t="str">
        <f>مهن[[#This Row],[الدرجة]]&amp;مهن[[#This Row],[المهنة]]</f>
        <v>4اخصائى تحاليل معملية وحقلية</v>
      </c>
      <c r="B1115" s="24">
        <v>4</v>
      </c>
      <c r="C1115" s="24" t="s">
        <v>498</v>
      </c>
      <c r="D1115" s="37">
        <v>188</v>
      </c>
      <c r="E1115" s="38" t="s">
        <v>1535</v>
      </c>
      <c r="F1115" s="35" t="s">
        <v>1541</v>
      </c>
    </row>
    <row r="1116" spans="1:6" ht="19.5" customHeight="1" thickTop="1" thickBot="1" x14ac:dyDescent="0.25">
      <c r="A1116" s="35" t="str">
        <f>مهن[[#This Row],[الدرجة]]&amp;مهن[[#This Row],[المهنة]]</f>
        <v>5اخصائى تحاليل معملية وحقلية</v>
      </c>
      <c r="B1116" s="24">
        <v>5</v>
      </c>
      <c r="C1116" s="24" t="s">
        <v>500</v>
      </c>
      <c r="D1116" s="37">
        <v>188</v>
      </c>
      <c r="E1116" s="38" t="s">
        <v>1535</v>
      </c>
      <c r="F1116" s="35" t="s">
        <v>1542</v>
      </c>
    </row>
    <row r="1117" spans="1:6" ht="19.5" customHeight="1" thickTop="1" thickBot="1" x14ac:dyDescent="0.25">
      <c r="A1117" s="35" t="str">
        <f>مهن[[#This Row],[الدرجة]]&amp;مهن[[#This Row],[المهنة]]</f>
        <v>6اخصائى تحاليل معملية وحقلية</v>
      </c>
      <c r="B1117" s="24">
        <v>6</v>
      </c>
      <c r="C1117" s="24" t="s">
        <v>502</v>
      </c>
      <c r="D1117" s="37">
        <v>188</v>
      </c>
      <c r="E1117" s="38" t="s">
        <v>1535</v>
      </c>
      <c r="F1117" s="35" t="s">
        <v>1543</v>
      </c>
    </row>
    <row r="1118" spans="1:6" ht="19.5" customHeight="1" thickTop="1" thickBot="1" x14ac:dyDescent="0.25">
      <c r="A1118" s="35" t="str">
        <f>مهن[[#This Row],[الدرجة]]&amp;مهن[[#This Row],[المهنة]]</f>
        <v>11اخصائى تحاليل معملية وحقلية</v>
      </c>
      <c r="B1118" s="24">
        <v>11</v>
      </c>
      <c r="C1118" s="24" t="s">
        <v>521</v>
      </c>
      <c r="D1118" s="37">
        <v>188</v>
      </c>
      <c r="E1118" s="38" t="s">
        <v>1535</v>
      </c>
      <c r="F1118" s="35" t="s">
        <v>1537</v>
      </c>
    </row>
    <row r="1119" spans="1:6" ht="19.5" customHeight="1" thickTop="1" thickBot="1" x14ac:dyDescent="0.25">
      <c r="A1119" s="35" t="str">
        <f>مهن[[#This Row],[الدرجة]]&amp;مهن[[#This Row],[المهنة]]</f>
        <v>12اخصائى تحاليل معملية وحقلية</v>
      </c>
      <c r="B1119" s="24">
        <v>12</v>
      </c>
      <c r="C1119" s="24" t="s">
        <v>594</v>
      </c>
      <c r="D1119" s="37">
        <v>188</v>
      </c>
      <c r="E1119" s="38" t="s">
        <v>1535</v>
      </c>
      <c r="F1119" s="35" t="s">
        <v>1536</v>
      </c>
    </row>
    <row r="1120" spans="1:6" ht="19.5" customHeight="1" thickTop="1" thickBot="1" x14ac:dyDescent="0.25">
      <c r="A1120" s="33" t="str">
        <f>مهن[[#This Row],[الدرجة]]&amp;مهن[[#This Row],[المهنة]]</f>
        <v>2فنى كهربائى</v>
      </c>
      <c r="B1120" s="24">
        <v>2</v>
      </c>
      <c r="C1120" s="24" t="s">
        <v>493</v>
      </c>
      <c r="D1120" s="24">
        <v>224</v>
      </c>
      <c r="E1120" s="34" t="s">
        <v>1550</v>
      </c>
      <c r="F1120" s="35" t="s">
        <v>1549</v>
      </c>
    </row>
    <row r="1121" spans="1:6" ht="19.5" customHeight="1" thickTop="1" thickBot="1" x14ac:dyDescent="0.25">
      <c r="A1121" s="33" t="str">
        <f>مهن[[#This Row],[الدرجة]]&amp;مهن[[#This Row],[المهنة]]</f>
        <v>3فنى كهربائى</v>
      </c>
      <c r="B1121" s="24">
        <v>3</v>
      </c>
      <c r="C1121" s="24" t="s">
        <v>496</v>
      </c>
      <c r="D1121" s="24">
        <v>224</v>
      </c>
      <c r="E1121" s="34" t="s">
        <v>1550</v>
      </c>
      <c r="F1121" s="35" t="s">
        <v>1548</v>
      </c>
    </row>
    <row r="1122" spans="1:6" ht="19.5" customHeight="1" thickTop="1" thickBot="1" x14ac:dyDescent="0.25">
      <c r="A1122" s="33" t="str">
        <f>مهن[[#This Row],[الدرجة]]&amp;مهن[[#This Row],[المهنة]]</f>
        <v>4فنى كهربائى</v>
      </c>
      <c r="B1122" s="24">
        <v>4</v>
      </c>
      <c r="C1122" s="24" t="s">
        <v>498</v>
      </c>
      <c r="D1122" s="24">
        <v>224</v>
      </c>
      <c r="E1122" s="34" t="s">
        <v>1550</v>
      </c>
      <c r="F1122" s="35" t="s">
        <v>1544</v>
      </c>
    </row>
    <row r="1123" spans="1:6" ht="19.5" customHeight="1" thickTop="1" thickBot="1" x14ac:dyDescent="0.25">
      <c r="A1123" s="33" t="str">
        <f>مهن[[#This Row],[الدرجة]]&amp;مهن[[#This Row],[المهنة]]</f>
        <v>5فنى كهربائى</v>
      </c>
      <c r="B1123" s="24">
        <v>5</v>
      </c>
      <c r="C1123" s="24" t="s">
        <v>500</v>
      </c>
      <c r="D1123" s="24">
        <v>224</v>
      </c>
      <c r="E1123" s="34" t="s">
        <v>1550</v>
      </c>
      <c r="F1123" s="35" t="s">
        <v>1545</v>
      </c>
    </row>
    <row r="1124" spans="1:6" ht="19.5" customHeight="1" thickTop="1" thickBot="1" x14ac:dyDescent="0.25">
      <c r="A1124" s="33" t="str">
        <f>مهن[[#This Row],[الدرجة]]&amp;مهن[[#This Row],[المهنة]]</f>
        <v>6فنى كهربائى</v>
      </c>
      <c r="B1124" s="24">
        <v>6</v>
      </c>
      <c r="C1124" s="24" t="s">
        <v>502</v>
      </c>
      <c r="D1124" s="24">
        <v>224</v>
      </c>
      <c r="E1124" s="34" t="s">
        <v>1550</v>
      </c>
      <c r="F1124" s="35" t="s">
        <v>1546</v>
      </c>
    </row>
    <row r="1125" spans="1:6" ht="19.5" customHeight="1" thickTop="1" thickBot="1" x14ac:dyDescent="0.25">
      <c r="A1125" s="33" t="str">
        <f>مهن[[#This Row],[الدرجة]]&amp;مهن[[#This Row],[المهنة]]</f>
        <v>7فنى كهربائى</v>
      </c>
      <c r="B1125" s="24">
        <v>7</v>
      </c>
      <c r="C1125" s="24" t="s">
        <v>504</v>
      </c>
      <c r="D1125" s="24">
        <v>224</v>
      </c>
      <c r="E1125" s="34" t="s">
        <v>1550</v>
      </c>
      <c r="F1125" s="35" t="s">
        <v>1547</v>
      </c>
    </row>
    <row r="1126" spans="1:6" ht="19.5" customHeight="1" thickTop="1" thickBot="1" x14ac:dyDescent="0.25">
      <c r="A1126" s="33" t="str">
        <f>مهن[[#This Row],[الدرجة]]&amp;مهن[[#This Row],[المهنة]]</f>
        <v>8فنى كهربائى</v>
      </c>
      <c r="B1126" s="24">
        <v>8</v>
      </c>
      <c r="C1126" s="24" t="s">
        <v>506</v>
      </c>
      <c r="D1126" s="24">
        <v>224</v>
      </c>
      <c r="E1126" s="34" t="s">
        <v>1550</v>
      </c>
      <c r="F1126" s="35" t="s">
        <v>1552</v>
      </c>
    </row>
    <row r="1127" spans="1:6" ht="19.5" customHeight="1" thickTop="1" thickBot="1" x14ac:dyDescent="0.25">
      <c r="A1127" s="33" t="str">
        <f>مهن[[#This Row],[الدرجة]]&amp;مهن[[#This Row],[المهنة]]</f>
        <v>2فنى ميكانيكي</v>
      </c>
      <c r="B1127" s="24">
        <v>2</v>
      </c>
      <c r="C1127" s="24" t="s">
        <v>493</v>
      </c>
      <c r="D1127" s="24">
        <v>225</v>
      </c>
      <c r="E1127" s="34" t="s">
        <v>1551</v>
      </c>
      <c r="F1127" s="35" t="s">
        <v>776</v>
      </c>
    </row>
    <row r="1128" spans="1:6" ht="19.5" customHeight="1" thickTop="1" thickBot="1" x14ac:dyDescent="0.25">
      <c r="A1128" s="33" t="str">
        <f>مهن[[#This Row],[الدرجة]]&amp;مهن[[#This Row],[المهنة]]</f>
        <v>3فنى ميكانيكي</v>
      </c>
      <c r="B1128" s="24">
        <v>3</v>
      </c>
      <c r="C1128" s="24" t="s">
        <v>496</v>
      </c>
      <c r="D1128" s="24">
        <v>225</v>
      </c>
      <c r="E1128" s="34" t="s">
        <v>1551</v>
      </c>
      <c r="F1128" s="35" t="s">
        <v>777</v>
      </c>
    </row>
    <row r="1129" spans="1:6" ht="19.5" customHeight="1" thickTop="1" thickBot="1" x14ac:dyDescent="0.25">
      <c r="A1129" s="33" t="str">
        <f>مهن[[#This Row],[الدرجة]]&amp;مهن[[#This Row],[المهنة]]</f>
        <v>4فنى ميكانيكي</v>
      </c>
      <c r="B1129" s="24">
        <v>4</v>
      </c>
      <c r="C1129" s="24" t="s">
        <v>498</v>
      </c>
      <c r="D1129" s="24">
        <v>225</v>
      </c>
      <c r="E1129" s="34" t="s">
        <v>1551</v>
      </c>
      <c r="F1129" s="35" t="s">
        <v>1553</v>
      </c>
    </row>
    <row r="1130" spans="1:6" ht="19.5" customHeight="1" thickTop="1" thickBot="1" x14ac:dyDescent="0.25">
      <c r="A1130" s="33" t="str">
        <f>مهن[[#This Row],[الدرجة]]&amp;مهن[[#This Row],[المهنة]]</f>
        <v>5فنى ميكانيكي</v>
      </c>
      <c r="B1130" s="24">
        <v>5</v>
      </c>
      <c r="C1130" s="24" t="s">
        <v>500</v>
      </c>
      <c r="D1130" s="24">
        <v>225</v>
      </c>
      <c r="E1130" s="34" t="s">
        <v>1551</v>
      </c>
      <c r="F1130" s="35" t="s">
        <v>1554</v>
      </c>
    </row>
    <row r="1131" spans="1:6" ht="19.5" customHeight="1" thickTop="1" thickBot="1" x14ac:dyDescent="0.25">
      <c r="A1131" s="33" t="str">
        <f>مهن[[#This Row],[الدرجة]]&amp;مهن[[#This Row],[المهنة]]</f>
        <v>6فنى ميكانيكي</v>
      </c>
      <c r="B1131" s="24">
        <v>6</v>
      </c>
      <c r="C1131" s="24" t="s">
        <v>502</v>
      </c>
      <c r="D1131" s="24">
        <v>225</v>
      </c>
      <c r="E1131" s="34" t="s">
        <v>1551</v>
      </c>
      <c r="F1131" s="35" t="s">
        <v>1555</v>
      </c>
    </row>
    <row r="1132" spans="1:6" ht="19.5" customHeight="1" thickTop="1" thickBot="1" x14ac:dyDescent="0.25">
      <c r="A1132" s="33" t="str">
        <f>مهن[[#This Row],[الدرجة]]&amp;مهن[[#This Row],[المهنة]]</f>
        <v>7فنى ميكانيكي</v>
      </c>
      <c r="B1132" s="24">
        <v>7</v>
      </c>
      <c r="C1132" s="24" t="s">
        <v>504</v>
      </c>
      <c r="D1132" s="24">
        <v>225</v>
      </c>
      <c r="E1132" s="34" t="s">
        <v>1551</v>
      </c>
      <c r="F1132" s="35" t="s">
        <v>1556</v>
      </c>
    </row>
    <row r="1133" spans="1:6" ht="19.5" customHeight="1" thickTop="1" thickBot="1" x14ac:dyDescent="0.25">
      <c r="A1133" s="33" t="str">
        <f>مهن[[#This Row],[الدرجة]]&amp;مهن[[#This Row],[المهنة]]</f>
        <v>8فنى ميكانيكي</v>
      </c>
      <c r="B1133" s="24">
        <v>8</v>
      </c>
      <c r="C1133" s="24" t="s">
        <v>506</v>
      </c>
      <c r="D1133" s="24">
        <v>225</v>
      </c>
      <c r="E1133" s="34" t="s">
        <v>1551</v>
      </c>
      <c r="F1133" s="35" t="s">
        <v>1551</v>
      </c>
    </row>
    <row r="1134" spans="1:6" ht="19.5" customHeight="1" thickTop="1" thickBot="1" x14ac:dyDescent="0.25">
      <c r="A1134" s="33" t="str">
        <f>مهن[[#This Row],[الدرجة]]&amp;مهن[[#This Row],[المهنة]]</f>
        <v>2فنى لحام</v>
      </c>
      <c r="B1134" s="24">
        <v>2</v>
      </c>
      <c r="C1134" s="24" t="s">
        <v>493</v>
      </c>
      <c r="D1134" s="24">
        <v>226</v>
      </c>
      <c r="E1134" s="34" t="s">
        <v>1557</v>
      </c>
      <c r="F1134" s="35" t="s">
        <v>1563</v>
      </c>
    </row>
    <row r="1135" spans="1:6" ht="19.5" customHeight="1" thickTop="1" thickBot="1" x14ac:dyDescent="0.25">
      <c r="A1135" s="33" t="str">
        <f>مهن[[#This Row],[الدرجة]]&amp;مهن[[#This Row],[المهنة]]</f>
        <v>3فنى لحام</v>
      </c>
      <c r="B1135" s="24">
        <v>3</v>
      </c>
      <c r="C1135" s="24" t="s">
        <v>496</v>
      </c>
      <c r="D1135" s="24">
        <v>226</v>
      </c>
      <c r="E1135" s="34" t="s">
        <v>1557</v>
      </c>
      <c r="F1135" s="35" t="s">
        <v>1562</v>
      </c>
    </row>
    <row r="1136" spans="1:6" ht="19.5" customHeight="1" thickTop="1" thickBot="1" x14ac:dyDescent="0.25">
      <c r="A1136" s="33" t="str">
        <f>مهن[[#This Row],[الدرجة]]&amp;مهن[[#This Row],[المهنة]]</f>
        <v>4فنى لحام</v>
      </c>
      <c r="B1136" s="24">
        <v>4</v>
      </c>
      <c r="C1136" s="24" t="s">
        <v>498</v>
      </c>
      <c r="D1136" s="24">
        <v>226</v>
      </c>
      <c r="E1136" s="34" t="s">
        <v>1557</v>
      </c>
      <c r="F1136" s="35" t="s">
        <v>1558</v>
      </c>
    </row>
    <row r="1137" spans="1:6" ht="19.5" customHeight="1" thickTop="1" thickBot="1" x14ac:dyDescent="0.25">
      <c r="A1137" s="33" t="str">
        <f>مهن[[#This Row],[الدرجة]]&amp;مهن[[#This Row],[المهنة]]</f>
        <v>5فنى لحام</v>
      </c>
      <c r="B1137" s="24">
        <v>5</v>
      </c>
      <c r="C1137" s="24" t="s">
        <v>500</v>
      </c>
      <c r="D1137" s="24">
        <v>226</v>
      </c>
      <c r="E1137" s="34" t="s">
        <v>1557</v>
      </c>
      <c r="F1137" s="35" t="s">
        <v>1559</v>
      </c>
    </row>
    <row r="1138" spans="1:6" ht="19.5" customHeight="1" thickTop="1" thickBot="1" x14ac:dyDescent="0.25">
      <c r="A1138" s="33" t="str">
        <f>مهن[[#This Row],[الدرجة]]&amp;مهن[[#This Row],[المهنة]]</f>
        <v>6فنى لحام</v>
      </c>
      <c r="B1138" s="24">
        <v>6</v>
      </c>
      <c r="C1138" s="24" t="s">
        <v>502</v>
      </c>
      <c r="D1138" s="24">
        <v>226</v>
      </c>
      <c r="E1138" s="34" t="s">
        <v>1557</v>
      </c>
      <c r="F1138" s="35" t="s">
        <v>1560</v>
      </c>
    </row>
    <row r="1139" spans="1:6" ht="19.5" customHeight="1" thickTop="1" thickBot="1" x14ac:dyDescent="0.25">
      <c r="A1139" s="33" t="str">
        <f>مهن[[#This Row],[الدرجة]]&amp;مهن[[#This Row],[المهنة]]</f>
        <v>7فنى لحام</v>
      </c>
      <c r="B1139" s="24">
        <v>7</v>
      </c>
      <c r="C1139" s="24" t="s">
        <v>504</v>
      </c>
      <c r="D1139" s="24">
        <v>226</v>
      </c>
      <c r="E1139" s="34" t="s">
        <v>1557</v>
      </c>
      <c r="F1139" s="35" t="s">
        <v>1561</v>
      </c>
    </row>
    <row r="1140" spans="1:6" ht="19.5" customHeight="1" thickTop="1" thickBot="1" x14ac:dyDescent="0.25">
      <c r="A1140" s="33" t="str">
        <f>مهن[[#This Row],[الدرجة]]&amp;مهن[[#This Row],[المهنة]]</f>
        <v>8فنى لحام</v>
      </c>
      <c r="B1140" s="24">
        <v>8</v>
      </c>
      <c r="C1140" s="24" t="s">
        <v>506</v>
      </c>
      <c r="D1140" s="24">
        <v>226</v>
      </c>
      <c r="E1140" s="34" t="s">
        <v>1557</v>
      </c>
      <c r="F1140" s="35" t="s">
        <v>1557</v>
      </c>
    </row>
    <row r="1141" spans="1:6" ht="19.5" customHeight="1" thickTop="1" thickBot="1" x14ac:dyDescent="0.25">
      <c r="A1141" s="33" t="str">
        <f>مهن[[#This Row],[الدرجة]]&amp;مهن[[#This Row],[المهنة]]</f>
        <v>2فنى تشغيل معادن</v>
      </c>
      <c r="B1141" s="24">
        <v>2</v>
      </c>
      <c r="C1141" s="24" t="s">
        <v>493</v>
      </c>
      <c r="D1141" s="24">
        <v>227</v>
      </c>
      <c r="E1141" s="34" t="s">
        <v>1564</v>
      </c>
      <c r="F1141" s="35" t="s">
        <v>1571</v>
      </c>
    </row>
    <row r="1142" spans="1:6" ht="19.5" customHeight="1" thickTop="1" thickBot="1" x14ac:dyDescent="0.25">
      <c r="A1142" s="33" t="str">
        <f>مهن[[#This Row],[الدرجة]]&amp;مهن[[#This Row],[المهنة]]</f>
        <v>3فنى تشغيل معادن</v>
      </c>
      <c r="B1142" s="24">
        <v>3</v>
      </c>
      <c r="C1142" s="24" t="s">
        <v>496</v>
      </c>
      <c r="D1142" s="24">
        <v>227</v>
      </c>
      <c r="E1142" s="34" t="s">
        <v>1564</v>
      </c>
      <c r="F1142" s="35" t="s">
        <v>1570</v>
      </c>
    </row>
    <row r="1143" spans="1:6" ht="19.5" customHeight="1" thickTop="1" thickBot="1" x14ac:dyDescent="0.25">
      <c r="A1143" s="33" t="str">
        <f>مهن[[#This Row],[الدرجة]]&amp;مهن[[#This Row],[المهنة]]</f>
        <v>4فنى تشغيل معادن</v>
      </c>
      <c r="B1143" s="24">
        <v>4</v>
      </c>
      <c r="C1143" s="24" t="s">
        <v>498</v>
      </c>
      <c r="D1143" s="24">
        <v>227</v>
      </c>
      <c r="E1143" s="34" t="s">
        <v>1564</v>
      </c>
      <c r="F1143" s="35" t="s">
        <v>1565</v>
      </c>
    </row>
    <row r="1144" spans="1:6" ht="19.5" customHeight="1" thickTop="1" thickBot="1" x14ac:dyDescent="0.25">
      <c r="A1144" s="33" t="str">
        <f>مهن[[#This Row],[الدرجة]]&amp;مهن[[#This Row],[المهنة]]</f>
        <v>5فنى تشغيل معادن</v>
      </c>
      <c r="B1144" s="24">
        <v>5</v>
      </c>
      <c r="C1144" s="24" t="s">
        <v>500</v>
      </c>
      <c r="D1144" s="24">
        <v>227</v>
      </c>
      <c r="E1144" s="34" t="s">
        <v>1564</v>
      </c>
      <c r="F1144" s="35" t="s">
        <v>1566</v>
      </c>
    </row>
    <row r="1145" spans="1:6" ht="19.5" customHeight="1" thickTop="1" thickBot="1" x14ac:dyDescent="0.25">
      <c r="A1145" s="33" t="str">
        <f>مهن[[#This Row],[الدرجة]]&amp;مهن[[#This Row],[المهنة]]</f>
        <v>6فنى تشغيل معادن</v>
      </c>
      <c r="B1145" s="24">
        <v>6</v>
      </c>
      <c r="C1145" s="24" t="s">
        <v>502</v>
      </c>
      <c r="D1145" s="24">
        <v>227</v>
      </c>
      <c r="E1145" s="34" t="s">
        <v>1564</v>
      </c>
      <c r="F1145" s="35" t="s">
        <v>1567</v>
      </c>
    </row>
    <row r="1146" spans="1:6" ht="19.5" customHeight="1" thickTop="1" thickBot="1" x14ac:dyDescent="0.25">
      <c r="A1146" s="33" t="str">
        <f>مهن[[#This Row],[الدرجة]]&amp;مهن[[#This Row],[المهنة]]</f>
        <v>7فنى تشغيل معادن</v>
      </c>
      <c r="B1146" s="24">
        <v>7</v>
      </c>
      <c r="C1146" s="24" t="s">
        <v>504</v>
      </c>
      <c r="D1146" s="24">
        <v>227</v>
      </c>
      <c r="E1146" s="34" t="s">
        <v>1564</v>
      </c>
      <c r="F1146" s="35" t="s">
        <v>1568</v>
      </c>
    </row>
    <row r="1147" spans="1:6" ht="19.5" customHeight="1" thickTop="1" x14ac:dyDescent="0.2">
      <c r="A1147" s="36" t="str">
        <f>مهن[[#This Row],[الدرجة]]&amp;مهن[[#This Row],[المهنة]]</f>
        <v>8فنى تشغيل معادن</v>
      </c>
      <c r="B1147" s="37">
        <v>8</v>
      </c>
      <c r="C1147" s="37" t="s">
        <v>506</v>
      </c>
      <c r="D1147" s="37">
        <v>227</v>
      </c>
      <c r="E1147" s="38" t="s">
        <v>1564</v>
      </c>
      <c r="F1147" s="55" t="s">
        <v>1569</v>
      </c>
    </row>
  </sheetData>
  <mergeCells count="2">
    <mergeCell ref="A1:F1"/>
    <mergeCell ref="K23:L24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737F-9C94-4716-942D-3440AF58D791}">
  <sheetPr codeName="ورقة3"/>
  <dimension ref="F1:X2"/>
  <sheetViews>
    <sheetView rightToLeft="1" workbookViewId="0">
      <selection activeCell="E11" sqref="E11"/>
    </sheetView>
  </sheetViews>
  <sheetFormatPr defaultRowHeight="14.25" x14ac:dyDescent="0.2"/>
  <cols>
    <col min="1" max="1" width="15.875" bestFit="1" customWidth="1"/>
    <col min="2" max="2" width="12.75" bestFit="1" customWidth="1"/>
    <col min="3" max="3" width="12.25" bestFit="1" customWidth="1"/>
    <col min="5" max="5" width="29.375" bestFit="1" customWidth="1"/>
    <col min="6" max="6" width="12.75" bestFit="1" customWidth="1"/>
    <col min="7" max="8" width="12.75" customWidth="1"/>
    <col min="9" max="9" width="12.75" bestFit="1" customWidth="1"/>
    <col min="10" max="10" width="11.25" bestFit="1" customWidth="1"/>
    <col min="12" max="12" width="13.125" bestFit="1" customWidth="1"/>
    <col min="13" max="14" width="13.125" customWidth="1"/>
    <col min="15" max="16" width="12.75" bestFit="1" customWidth="1"/>
    <col min="17" max="17" width="11.25" bestFit="1" customWidth="1"/>
    <col min="18" max="18" width="13.875" bestFit="1" customWidth="1"/>
    <col min="19" max="19" width="12.75" bestFit="1" customWidth="1"/>
    <col min="20" max="20" width="14" bestFit="1" customWidth="1"/>
    <col min="23" max="23" width="11.25" bestFit="1" customWidth="1"/>
    <col min="28" max="28" width="13.125" bestFit="1" customWidth="1"/>
    <col min="29" max="29" width="20" customWidth="1"/>
    <col min="30" max="53" width="5" bestFit="1" customWidth="1"/>
    <col min="54" max="439" width="6" bestFit="1" customWidth="1"/>
    <col min="440" max="533" width="7" bestFit="1" customWidth="1"/>
    <col min="534" max="534" width="11.25" bestFit="1" customWidth="1"/>
  </cols>
  <sheetData>
    <row r="1" spans="6:24" x14ac:dyDescent="0.2">
      <c r="F1" s="61"/>
      <c r="G1" s="61"/>
      <c r="H1" s="61"/>
      <c r="K1" s="61"/>
      <c r="O1" s="61"/>
      <c r="U1" s="61"/>
      <c r="X1" s="61"/>
    </row>
    <row r="2" spans="6:24" x14ac:dyDescent="0.2">
      <c r="F2" s="61"/>
      <c r="G2" s="61"/>
      <c r="H2" s="61"/>
      <c r="K2" s="61"/>
      <c r="O2" s="61"/>
      <c r="R2" s="61"/>
      <c r="X2" s="6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شيت</vt:lpstr>
      <vt:lpstr>جداول</vt:lpstr>
      <vt:lpstr>الاحصائيات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Osama</dc:creator>
  <cp:lastModifiedBy>lily mohamed</cp:lastModifiedBy>
  <dcterms:created xsi:type="dcterms:W3CDTF">2015-06-05T18:17:20Z</dcterms:created>
  <dcterms:modified xsi:type="dcterms:W3CDTF">2026-08-19T23:27:09Z</dcterms:modified>
</cp:coreProperties>
</file>